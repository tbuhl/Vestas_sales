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drawings/drawing3.xml" ContentType="application/vnd.openxmlformats-officedocument.drawingml.chartshapes+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drawings/drawing4.xml" ContentType="application/vnd.openxmlformats-officedocument.drawingml.chartshapes+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charts/chart28.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charts/chart29.xml" ContentType="application/vnd.openxmlformats-officedocument.drawingml.chart+xml"/>
  <Override PartName="/xl/charts/style25.xml" ContentType="application/vnd.ms-office.chartstyle+xml"/>
  <Override PartName="/xl/charts/colors25.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charts/chart30.xml" ContentType="application/vnd.openxmlformats-officedocument.drawingml.chart+xml"/>
  <Override PartName="/xl/charts/style26.xml" ContentType="application/vnd.ms-office.chartstyle+xml"/>
  <Override PartName="/xl/charts/colors26.xml" ContentType="application/vnd.ms-office.chartcolorstyle+xml"/>
  <Override PartName="/xl/charts/chart31.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7.xml" ContentType="application/vnd.openxmlformats-officedocument.drawing+xml"/>
  <Override PartName="/xl/comments4.xml" ContentType="application/vnd.openxmlformats-officedocument.spreadsheetml.comments+xml"/>
  <Override PartName="/xl/charts/chart32.xml" ContentType="application/vnd.openxmlformats-officedocument.drawingml.chart+xml"/>
  <Override PartName="/xl/charts/style28.xml" ContentType="application/vnd.ms-office.chartstyle+xml"/>
  <Override PartName="/xl/charts/colors28.xml" ContentType="application/vnd.ms-office.chartcolorstyle+xml"/>
  <Override PartName="/xl/charts/chart33.xml" ContentType="application/vnd.openxmlformats-officedocument.drawingml.chart+xml"/>
  <Override PartName="/xl/charts/style29.xml" ContentType="application/vnd.ms-office.chartstyle+xml"/>
  <Override PartName="/xl/charts/colors29.xml" ContentType="application/vnd.ms-office.chartcolorstyle+xml"/>
  <Override PartName="/xl/charts/chart34.xml" ContentType="application/vnd.openxmlformats-officedocument.drawingml.chart+xml"/>
  <Override PartName="/xl/charts/style30.xml" ContentType="application/vnd.ms-office.chartstyle+xml"/>
  <Override PartName="/xl/charts/colors30.xml" ContentType="application/vnd.ms-office.chartcolorstyle+xml"/>
  <Override PartName="/xl/charts/chart35.xml" ContentType="application/vnd.openxmlformats-officedocument.drawingml.chart+xml"/>
  <Override PartName="/xl/charts/style31.xml" ContentType="application/vnd.ms-office.chartstyle+xml"/>
  <Override PartName="/xl/charts/colors31.xml" ContentType="application/vnd.ms-office.chartcolorstyle+xml"/>
  <Override PartName="/xl/charts/chart36.xml" ContentType="application/vnd.openxmlformats-officedocument.drawingml.chart+xml"/>
  <Override PartName="/xl/charts/style32.xml" ContentType="application/vnd.ms-office.chartstyle+xml"/>
  <Override PartName="/xl/charts/colors32.xml" ContentType="application/vnd.ms-office.chartcolorstyle+xml"/>
  <Override PartName="/xl/charts/chart37.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8.xml" ContentType="application/vnd.openxmlformats-officedocument.drawing+xml"/>
  <Override PartName="/xl/comments5.xml" ContentType="application/vnd.openxmlformats-officedocument.spreadsheetml.comments+xml"/>
  <Override PartName="/xl/charts/chart38.xml" ContentType="application/vnd.openxmlformats-officedocument.drawingml.chart+xml"/>
  <Override PartName="/xl/charts/style34.xml" ContentType="application/vnd.ms-office.chartstyle+xml"/>
  <Override PartName="/xl/charts/colors34.xml" ContentType="application/vnd.ms-office.chartcolorstyle+xml"/>
  <Override PartName="/xl/charts/chart39.xml" ContentType="application/vnd.openxmlformats-officedocument.drawingml.chart+xml"/>
  <Override PartName="/xl/charts/style35.xml" ContentType="application/vnd.ms-office.chartstyle+xml"/>
  <Override PartName="/xl/charts/colors35.xml" ContentType="application/vnd.ms-office.chartcolorstyle+xml"/>
  <Override PartName="/xl/charts/chart40.xml" ContentType="application/vnd.openxmlformats-officedocument.drawingml.chart+xml"/>
  <Override PartName="/xl/charts/style36.xml" ContentType="application/vnd.ms-office.chartstyle+xml"/>
  <Override PartName="/xl/charts/colors36.xml" ContentType="application/vnd.ms-office.chartcolorstyle+xml"/>
  <Override PartName="/xl/charts/chart41.xml" ContentType="application/vnd.openxmlformats-officedocument.drawingml.chart+xml"/>
  <Override PartName="/xl/charts/style37.xml" ContentType="application/vnd.ms-office.chartstyle+xml"/>
  <Override PartName="/xl/charts/colors37.xml" ContentType="application/vnd.ms-office.chartcolorstyle+xml"/>
  <Override PartName="/xl/charts/chart42.xml" ContentType="application/vnd.openxmlformats-officedocument.drawingml.chart+xml"/>
  <Override PartName="/xl/charts/style38.xml" ContentType="application/vnd.ms-office.chartstyle+xml"/>
  <Override PartName="/xl/charts/colors38.xml" ContentType="application/vnd.ms-office.chartcolorstyle+xml"/>
  <Override PartName="/xl/charts/chart43.xml" ContentType="application/vnd.openxmlformats-officedocument.drawingml.chart+xml"/>
  <Override PartName="/xl/charts/style39.xml" ContentType="application/vnd.ms-office.chartstyle+xml"/>
  <Override PartName="/xl/charts/colors39.xml" ContentType="application/vnd.ms-office.chartcolorstyle+xml"/>
  <Override PartName="/xl/charts/chart44.xml" ContentType="application/vnd.openxmlformats-officedocument.drawingml.chart+xml"/>
  <Override PartName="/xl/charts/style40.xml" ContentType="application/vnd.ms-office.chartstyle+xml"/>
  <Override PartName="/xl/charts/colors40.xml" ContentType="application/vnd.ms-office.chartcolorstyle+xml"/>
  <Override PartName="/xl/charts/chart45.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9.xml" ContentType="application/vnd.openxmlformats-officedocument.drawing+xml"/>
  <Override PartName="/xl/comments6.xml" ContentType="application/vnd.openxmlformats-officedocument.spreadsheetml.comments+xml"/>
  <Override PartName="/xl/charts/chart46.xml" ContentType="application/vnd.openxmlformats-officedocument.drawingml.chart+xml"/>
  <Override PartName="/xl/charts/style42.xml" ContentType="application/vnd.ms-office.chartstyle+xml"/>
  <Override PartName="/xl/charts/colors42.xml" ContentType="application/vnd.ms-office.chartcolorstyle+xml"/>
  <Override PartName="/xl/charts/chart47.xml" ContentType="application/vnd.openxmlformats-officedocument.drawingml.chart+xml"/>
  <Override PartName="/xl/charts/style43.xml" ContentType="application/vnd.ms-office.chartstyle+xml"/>
  <Override PartName="/xl/charts/colors43.xml" ContentType="application/vnd.ms-office.chartcolorstyle+xml"/>
  <Override PartName="/xl/charts/chart48.xml" ContentType="application/vnd.openxmlformats-officedocument.drawingml.chart+xml"/>
  <Override PartName="/xl/charts/style44.xml" ContentType="application/vnd.ms-office.chartstyle+xml"/>
  <Override PartName="/xl/charts/colors44.xml" ContentType="application/vnd.ms-office.chartcolorstyle+xml"/>
  <Override PartName="/xl/charts/chart49.xml" ContentType="application/vnd.openxmlformats-officedocument.drawingml.chart+xml"/>
  <Override PartName="/xl/charts/style45.xml" ContentType="application/vnd.ms-office.chartstyle+xml"/>
  <Override PartName="/xl/charts/colors45.xml" ContentType="application/vnd.ms-office.chartcolorstyle+xml"/>
  <Override PartName="/xl/charts/chart50.xml" ContentType="application/vnd.openxmlformats-officedocument.drawingml.chart+xml"/>
  <Override PartName="/xl/charts/style46.xml" ContentType="application/vnd.ms-office.chartstyle+xml"/>
  <Override PartName="/xl/charts/colors46.xml" ContentType="application/vnd.ms-office.chartcolorstyle+xml"/>
  <Override PartName="/xl/charts/chart51.xml" ContentType="application/vnd.openxmlformats-officedocument.drawingml.chart+xml"/>
  <Override PartName="/xl/charts/style47.xml" ContentType="application/vnd.ms-office.chartstyle+xml"/>
  <Override PartName="/xl/charts/colors47.xml" ContentType="application/vnd.ms-office.chartcolorstyle+xml"/>
  <Override PartName="/xl/charts/chart52.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10.xml" ContentType="application/vnd.openxmlformats-officedocument.drawing+xml"/>
  <Override PartName="/xl/comments7.xml" ContentType="application/vnd.openxmlformats-officedocument.spreadsheetml.comments+xml"/>
  <Override PartName="/xl/charts/chart53.xml" ContentType="application/vnd.openxmlformats-officedocument.drawingml.chart+xml"/>
  <Override PartName="/xl/charts/style49.xml" ContentType="application/vnd.ms-office.chartstyle+xml"/>
  <Override PartName="/xl/charts/colors49.xml" ContentType="application/vnd.ms-office.chartcolorstyle+xml"/>
  <Override PartName="/xl/charts/chart54.xml" ContentType="application/vnd.openxmlformats-officedocument.drawingml.chart+xml"/>
  <Override PartName="/xl/charts/style50.xml" ContentType="application/vnd.ms-office.chartstyle+xml"/>
  <Override PartName="/xl/charts/colors50.xml" ContentType="application/vnd.ms-office.chartcolorstyle+xml"/>
  <Override PartName="/xl/charts/chart55.xml" ContentType="application/vnd.openxmlformats-officedocument.drawingml.chart+xml"/>
  <Override PartName="/xl/charts/style51.xml" ContentType="application/vnd.ms-office.chartstyle+xml"/>
  <Override PartName="/xl/charts/colors51.xml" ContentType="application/vnd.ms-office.chartcolorstyle+xml"/>
  <Override PartName="/xl/charts/chart56.xml" ContentType="application/vnd.openxmlformats-officedocument.drawingml.chart+xml"/>
  <Override PartName="/xl/charts/style52.xml" ContentType="application/vnd.ms-office.chartstyle+xml"/>
  <Override PartName="/xl/charts/colors52.xml" ContentType="application/vnd.ms-office.chartcolorstyle+xml"/>
  <Override PartName="/xl/charts/chart57.xml" ContentType="application/vnd.openxmlformats-officedocument.drawingml.chart+xml"/>
  <Override PartName="/xl/charts/style53.xml" ContentType="application/vnd.ms-office.chartstyle+xml"/>
  <Override PartName="/xl/charts/colors53.xml" ContentType="application/vnd.ms-office.chartcolorstyle+xml"/>
  <Override PartName="/xl/charts/chart58.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11.xml" ContentType="application/vnd.openxmlformats-officedocument.drawing+xml"/>
  <Override PartName="/xl/comments8.xml" ContentType="application/vnd.openxmlformats-officedocument.spreadsheetml.comments+xml"/>
  <Override PartName="/xl/charts/chart59.xml" ContentType="application/vnd.openxmlformats-officedocument.drawingml.chart+xml"/>
  <Override PartName="/xl/charts/style55.xml" ContentType="application/vnd.ms-office.chartstyle+xml"/>
  <Override PartName="/xl/charts/colors55.xml" ContentType="application/vnd.ms-office.chartcolorstyle+xml"/>
  <Override PartName="/xl/charts/chart60.xml" ContentType="application/vnd.openxmlformats-officedocument.drawingml.chart+xml"/>
  <Override PartName="/xl/charts/style56.xml" ContentType="application/vnd.ms-office.chartstyle+xml"/>
  <Override PartName="/xl/charts/colors56.xml" ContentType="application/vnd.ms-office.chartcolorstyle+xml"/>
  <Override PartName="/xl/charts/chart61.xml" ContentType="application/vnd.openxmlformats-officedocument.drawingml.chart+xml"/>
  <Override PartName="/xl/charts/style57.xml" ContentType="application/vnd.ms-office.chartstyle+xml"/>
  <Override PartName="/xl/charts/colors57.xml" ContentType="application/vnd.ms-office.chartcolorstyle+xml"/>
  <Override PartName="/xl/charts/chart62.xml" ContentType="application/vnd.openxmlformats-officedocument.drawingml.chart+xml"/>
  <Override PartName="/xl/charts/style58.xml" ContentType="application/vnd.ms-office.chartstyle+xml"/>
  <Override PartName="/xl/charts/colors58.xml" ContentType="application/vnd.ms-office.chartcolorstyle+xml"/>
  <Override PartName="/xl/charts/chart63.xml" ContentType="application/vnd.openxmlformats-officedocument.drawingml.chart+xml"/>
  <Override PartName="/xl/charts/style59.xml" ContentType="application/vnd.ms-office.chartstyle+xml"/>
  <Override PartName="/xl/charts/colors59.xml" ContentType="application/vnd.ms-office.chartcolorstyle+xml"/>
  <Override PartName="/xl/charts/chart64.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2.xml" ContentType="application/vnd.openxmlformats-officedocument.drawing+xml"/>
  <Override PartName="/xl/comments9.xml" ContentType="application/vnd.openxmlformats-officedocument.spreadsheetml.comments+xml"/>
  <Override PartName="/xl/charts/chart65.xml" ContentType="application/vnd.openxmlformats-officedocument.drawingml.chart+xml"/>
  <Override PartName="/xl/charts/chart66.xml" ContentType="application/vnd.openxmlformats-officedocument.drawingml.chart+xml"/>
  <Override PartName="/xl/charts/style61.xml" ContentType="application/vnd.ms-office.chartstyle+xml"/>
  <Override PartName="/xl/charts/colors61.xml" ContentType="application/vnd.ms-office.chartcolorstyle+xml"/>
  <Override PartName="/xl/charts/chart67.xml" ContentType="application/vnd.openxmlformats-officedocument.drawingml.chart+xml"/>
  <Override PartName="/xl/charts/style62.xml" ContentType="application/vnd.ms-office.chartstyle+xml"/>
  <Override PartName="/xl/charts/colors62.xml" ContentType="application/vnd.ms-office.chartcolorstyle+xml"/>
  <Override PartName="/xl/charts/chart68.xml" ContentType="application/vnd.openxmlformats-officedocument.drawingml.chart+xml"/>
  <Override PartName="/xl/charts/style63.xml" ContentType="application/vnd.ms-office.chartstyle+xml"/>
  <Override PartName="/xl/charts/colors63.xml" ContentType="application/vnd.ms-office.chartcolorstyle+xml"/>
  <Override PartName="/xl/charts/chart69.xml" ContentType="application/vnd.openxmlformats-officedocument.drawingml.chart+xml"/>
  <Override PartName="/xl/charts/style64.xml" ContentType="application/vnd.ms-office.chartstyle+xml"/>
  <Override PartName="/xl/charts/colors64.xml" ContentType="application/vnd.ms-office.chartcolorstyle+xml"/>
  <Override PartName="/xl/drawings/drawing13.xml" ContentType="application/vnd.openxmlformats-officedocument.drawing+xml"/>
  <Override PartName="/xl/comments10.xml" ContentType="application/vnd.openxmlformats-officedocument.spreadsheetml.comments+xml"/>
  <Override PartName="/xl/charts/chart70.xml" ContentType="application/vnd.openxmlformats-officedocument.drawingml.chart+xml"/>
  <Override PartName="/xl/charts/style65.xml" ContentType="application/vnd.ms-office.chartstyle+xml"/>
  <Override PartName="/xl/charts/colors65.xml" ContentType="application/vnd.ms-office.chartcolorstyle+xml"/>
  <Override PartName="/xl/charts/chart71.xml" ContentType="application/vnd.openxmlformats-officedocument.drawingml.chart+xml"/>
  <Override PartName="/xl/charts/style66.xml" ContentType="application/vnd.ms-office.chartstyle+xml"/>
  <Override PartName="/xl/charts/colors66.xml" ContentType="application/vnd.ms-office.chartcolorstyle+xml"/>
  <Override PartName="/xl/charts/chart72.xml" ContentType="application/vnd.openxmlformats-officedocument.drawingml.chart+xml"/>
  <Override PartName="/xl/charts/style67.xml" ContentType="application/vnd.ms-office.chartstyle+xml"/>
  <Override PartName="/xl/charts/colors67.xml" ContentType="application/vnd.ms-office.chartcolorstyle+xml"/>
  <Override PartName="/xl/charts/chart73.xml" ContentType="application/vnd.openxmlformats-officedocument.drawingml.chart+xml"/>
  <Override PartName="/xl/charts/style68.xml" ContentType="application/vnd.ms-office.chartstyle+xml"/>
  <Override PartName="/xl/charts/colors68.xml" ContentType="application/vnd.ms-office.chartcolorstyle+xml"/>
  <Override PartName="/xl/charts/chart74.xml" ContentType="application/vnd.openxmlformats-officedocument.drawingml.chart+xml"/>
  <Override PartName="/xl/charts/style69.xml" ContentType="application/vnd.ms-office.chartstyle+xml"/>
  <Override PartName="/xl/charts/colors69.xml" ContentType="application/vnd.ms-office.chartcolorstyle+xml"/>
  <Override PartName="/xl/drawings/drawing14.xml" ContentType="application/vnd.openxmlformats-officedocument.drawing+xml"/>
  <Override PartName="/xl/comments11.xml" ContentType="application/vnd.openxmlformats-officedocument.spreadsheetml.comments+xml"/>
  <Override PartName="/xl/charts/chart75.xml" ContentType="application/vnd.openxmlformats-officedocument.drawingml.chart+xml"/>
  <Override PartName="/xl/charts/style70.xml" ContentType="application/vnd.ms-office.chartstyle+xml"/>
  <Override PartName="/xl/charts/colors70.xml" ContentType="application/vnd.ms-office.chartcolorstyle+xml"/>
  <Override PartName="/xl/charts/chart76.xml" ContentType="application/vnd.openxmlformats-officedocument.drawingml.chart+xml"/>
  <Override PartName="/xl/charts/style71.xml" ContentType="application/vnd.ms-office.chartstyle+xml"/>
  <Override PartName="/xl/charts/colors71.xml" ContentType="application/vnd.ms-office.chartcolorstyle+xml"/>
  <Override PartName="/xl/charts/chart77.xml" ContentType="application/vnd.openxmlformats-officedocument.drawingml.chart+xml"/>
  <Override PartName="/xl/charts/style72.xml" ContentType="application/vnd.ms-office.chartstyle+xml"/>
  <Override PartName="/xl/charts/colors72.xml" ContentType="application/vnd.ms-office.chartcolorstyle+xml"/>
  <Override PartName="/xl/charts/chart78.xml" ContentType="application/vnd.openxmlformats-officedocument.drawingml.chart+xml"/>
  <Override PartName="/xl/charts/style73.xml" ContentType="application/vnd.ms-office.chartstyle+xml"/>
  <Override PartName="/xl/charts/colors73.xml" ContentType="application/vnd.ms-office.chartcolorstyle+xml"/>
  <Override PartName="/xl/charts/chart79.xml" ContentType="application/vnd.openxmlformats-officedocument.drawingml.chart+xml"/>
  <Override PartName="/xl/charts/style74.xml" ContentType="application/vnd.ms-office.chartstyle+xml"/>
  <Override PartName="/xl/charts/colors74.xml" ContentType="application/vnd.ms-office.chartcolorstyle+xml"/>
  <Override PartName="/xl/drawings/drawing15.xml" ContentType="application/vnd.openxmlformats-officedocument.drawing+xml"/>
  <Override PartName="/xl/comments12.xml" ContentType="application/vnd.openxmlformats-officedocument.spreadsheetml.comments+xml"/>
  <Override PartName="/xl/charts/chart80.xml" ContentType="application/vnd.openxmlformats-officedocument.drawingml.chart+xml"/>
  <Override PartName="/xl/charts/style75.xml" ContentType="application/vnd.ms-office.chartstyle+xml"/>
  <Override PartName="/xl/charts/colors75.xml" ContentType="application/vnd.ms-office.chartcolorstyle+xml"/>
  <Override PartName="/xl/charts/chart81.xml" ContentType="application/vnd.openxmlformats-officedocument.drawingml.chart+xml"/>
  <Override PartName="/xl/charts/style76.xml" ContentType="application/vnd.ms-office.chartstyle+xml"/>
  <Override PartName="/xl/charts/colors76.xml" ContentType="application/vnd.ms-office.chartcolorstyle+xml"/>
  <Override PartName="/xl/charts/chart82.xml" ContentType="application/vnd.openxmlformats-officedocument.drawingml.chart+xml"/>
  <Override PartName="/xl/charts/style77.xml" ContentType="application/vnd.ms-office.chartstyle+xml"/>
  <Override PartName="/xl/charts/colors77.xml" ContentType="application/vnd.ms-office.chartcolorstyle+xml"/>
  <Override PartName="/xl/charts/chart83.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16.xml" ContentType="application/vnd.openxmlformats-officedocument.drawing+xml"/>
  <Override PartName="/xl/comments13.xml" ContentType="application/vnd.openxmlformats-officedocument.spreadsheetml.comments+xml"/>
  <Override PartName="/xl/charts/chart84.xml" ContentType="application/vnd.openxmlformats-officedocument.drawingml.chart+xml"/>
  <Override PartName="/xl/charts/style79.xml" ContentType="application/vnd.ms-office.chartstyle+xml"/>
  <Override PartName="/xl/charts/colors79.xml" ContentType="application/vnd.ms-office.chartcolorstyle+xml"/>
  <Override PartName="/xl/charts/chart85.xml" ContentType="application/vnd.openxmlformats-officedocument.drawingml.chart+xml"/>
  <Override PartName="/xl/charts/style80.xml" ContentType="application/vnd.ms-office.chartstyle+xml"/>
  <Override PartName="/xl/charts/colors80.xml" ContentType="application/vnd.ms-office.chartcolorstyle+xml"/>
  <Override PartName="/xl/charts/chart86.xml" ContentType="application/vnd.openxmlformats-officedocument.drawingml.chart+xml"/>
  <Override PartName="/xl/charts/style81.xml" ContentType="application/vnd.ms-office.chartstyle+xml"/>
  <Override PartName="/xl/charts/colors81.xml" ContentType="application/vnd.ms-office.chartcolorstyle+xml"/>
  <Override PartName="/xl/drawings/drawing17.xml" ContentType="application/vnd.openxmlformats-officedocument.drawing+xml"/>
  <Override PartName="/xl/comments14.xml" ContentType="application/vnd.openxmlformats-officedocument.spreadsheetml.comments+xml"/>
  <Override PartName="/xl/charts/chart87.xml" ContentType="application/vnd.openxmlformats-officedocument.drawingml.chart+xml"/>
  <Override PartName="/xl/charts/style82.xml" ContentType="application/vnd.ms-office.chartstyle+xml"/>
  <Override PartName="/xl/charts/colors82.xml" ContentType="application/vnd.ms-office.chartcolorstyle+xml"/>
  <Override PartName="/xl/charts/chart88.xml" ContentType="application/vnd.openxmlformats-officedocument.drawingml.chart+xml"/>
  <Override PartName="/xl/charts/style83.xml" ContentType="application/vnd.ms-office.chartstyle+xml"/>
  <Override PartName="/xl/charts/colors83.xml" ContentType="application/vnd.ms-office.chartcolorstyle+xml"/>
  <Override PartName="/xl/drawings/drawing18.xml" ContentType="application/vnd.openxmlformats-officedocument.drawing+xml"/>
  <Override PartName="/xl/comments15.xml" ContentType="application/vnd.openxmlformats-officedocument.spreadsheetml.comments+xml"/>
  <Override PartName="/xl/charts/chart89.xml" ContentType="application/vnd.openxmlformats-officedocument.drawingml.chart+xml"/>
  <Override PartName="/xl/charts/style84.xml" ContentType="application/vnd.ms-office.chartstyle+xml"/>
  <Override PartName="/xl/charts/colors84.xml" ContentType="application/vnd.ms-office.chartcolorstyle+xml"/>
  <Override PartName="/xl/charts/chart90.xml" ContentType="application/vnd.openxmlformats-officedocument.drawingml.chart+xml"/>
  <Override PartName="/xl/charts/style85.xml" ContentType="application/vnd.ms-office.chartstyle+xml"/>
  <Override PartName="/xl/charts/colors85.xml" ContentType="application/vnd.ms-office.chartcolorstyle+xml"/>
  <Override PartName="/xl/drawings/drawing19.xml" ContentType="application/vnd.openxmlformats-officedocument.drawing+xml"/>
  <Override PartName="/xl/comments16.xml" ContentType="application/vnd.openxmlformats-officedocument.spreadsheetml.comments+xml"/>
  <Override PartName="/xl/charts/chart91.xml" ContentType="application/vnd.openxmlformats-officedocument.drawingml.chart+xml"/>
  <Override PartName="/xl/charts/style86.xml" ContentType="application/vnd.ms-office.chartstyle+xml"/>
  <Override PartName="/xl/charts/colors86.xml" ContentType="application/vnd.ms-office.chartcolorstyle+xml"/>
  <Override PartName="/xl/charts/chart92.xml" ContentType="application/vnd.openxmlformats-officedocument.drawingml.chart+xml"/>
  <Override PartName="/xl/charts/style87.xml" ContentType="application/vnd.ms-office.chartstyle+xml"/>
  <Override PartName="/xl/charts/colors87.xml" ContentType="application/vnd.ms-office.chartcolorstyle+xml"/>
  <Override PartName="/xl/drawings/drawing20.xml" ContentType="application/vnd.openxmlformats-officedocument.drawing+xml"/>
  <Override PartName="/xl/comments17.xml" ContentType="application/vnd.openxmlformats-officedocument.spreadsheetml.comments+xml"/>
  <Override PartName="/xl/charts/chart93.xml" ContentType="application/vnd.openxmlformats-officedocument.drawingml.chart+xml"/>
  <Override PartName="/xl/charts/style88.xml" ContentType="application/vnd.ms-office.chartstyle+xml"/>
  <Override PartName="/xl/charts/colors88.xml" ContentType="application/vnd.ms-office.chartcolorstyle+xml"/>
  <Override PartName="/xl/charts/chart94.xml" ContentType="application/vnd.openxmlformats-officedocument.drawingml.chart+xml"/>
  <Override PartName="/xl/charts/style89.xml" ContentType="application/vnd.ms-office.chartstyle+xml"/>
  <Override PartName="/xl/charts/colors89.xml" ContentType="application/vnd.ms-office.chartcolorstyle+xml"/>
  <Override PartName="/xl/drawings/drawing21.xml" ContentType="application/vnd.openxmlformats-officedocument.drawing+xml"/>
  <Override PartName="/xl/comments18.xml" ContentType="application/vnd.openxmlformats-officedocument.spreadsheetml.comments+xml"/>
  <Override PartName="/xl/charts/chart95.xml" ContentType="application/vnd.openxmlformats-officedocument.drawingml.chart+xml"/>
  <Override PartName="/xl/charts/style90.xml" ContentType="application/vnd.ms-office.chartstyle+xml"/>
  <Override PartName="/xl/charts/colors90.xml" ContentType="application/vnd.ms-office.chartcolorstyle+xml"/>
  <Override PartName="/xl/charts/chart96.xml" ContentType="application/vnd.openxmlformats-officedocument.drawingml.chart+xml"/>
  <Override PartName="/xl/charts/style91.xml" ContentType="application/vnd.ms-office.chartstyle+xml"/>
  <Override PartName="/xl/charts/colors91.xml" ContentType="application/vnd.ms-office.chartcolorstyle+xml"/>
  <Override PartName="/xl/drawings/drawing22.xml" ContentType="application/vnd.openxmlformats-officedocument.drawing+xml"/>
  <Override PartName="/xl/comments19.xml" ContentType="application/vnd.openxmlformats-officedocument.spreadsheetml.comments+xml"/>
  <Override PartName="/xl/charts/chart97.xml" ContentType="application/vnd.openxmlformats-officedocument.drawingml.chart+xml"/>
  <Override PartName="/xl/charts/style92.xml" ContentType="application/vnd.ms-office.chartstyle+xml"/>
  <Override PartName="/xl/charts/colors92.xml" ContentType="application/vnd.ms-office.chartcolorstyle+xml"/>
  <Override PartName="/xl/charts/chart98.xml" ContentType="application/vnd.openxmlformats-officedocument.drawingml.chart+xml"/>
  <Override PartName="/xl/charts/style93.xml" ContentType="application/vnd.ms-office.chartstyle+xml"/>
  <Override PartName="/xl/charts/colors93.xml" ContentType="application/vnd.ms-office.chartcolorstyle+xml"/>
  <Override PartName="/xl/drawings/drawing23.xml" ContentType="application/vnd.openxmlformats-officedocument.drawing+xml"/>
  <Override PartName="/xl/comments20.xml" ContentType="application/vnd.openxmlformats-officedocument.spreadsheetml.comments+xml"/>
  <Override PartName="/xl/charts/chart99.xml" ContentType="application/vnd.openxmlformats-officedocument.drawingml.chart+xml"/>
  <Override PartName="/xl/charts/style94.xml" ContentType="application/vnd.ms-office.chartstyle+xml"/>
  <Override PartName="/xl/charts/colors94.xml" ContentType="application/vnd.ms-office.chartcolorstyle+xml"/>
  <Override PartName="/xl/charts/chart100.xml" ContentType="application/vnd.openxmlformats-officedocument.drawingml.chart+xml"/>
  <Override PartName="/xl/charts/style95.xml" ContentType="application/vnd.ms-office.chartstyle+xml"/>
  <Override PartName="/xl/charts/colors95.xml" ContentType="application/vnd.ms-office.chartcolorstyle+xml"/>
  <Override PartName="/xl/drawings/drawing24.xml" ContentType="application/vnd.openxmlformats-officedocument.drawing+xml"/>
  <Override PartName="/xl/charts/chart101.xml" ContentType="application/vnd.openxmlformats-officedocument.drawingml.chart+xml"/>
  <Override PartName="/xl/charts/style96.xml" ContentType="application/vnd.ms-office.chartstyle+xml"/>
  <Override PartName="/xl/charts/colors96.xml" ContentType="application/vnd.ms-office.chartcolorstyle+xml"/>
  <Override PartName="/xl/charts/chart102.xml" ContentType="application/vnd.openxmlformats-officedocument.drawingml.chart+xml"/>
  <Override PartName="/xl/charts/style97.xml" ContentType="application/vnd.ms-office.chartstyle+xml"/>
  <Override PartName="/xl/charts/colors97.xml" ContentType="application/vnd.ms-office.chartcolorstyle+xml"/>
  <Override PartName="/xl/charts/chart103.xml" ContentType="application/vnd.openxmlformats-officedocument.drawingml.chart+xml"/>
  <Override PartName="/xl/charts/style98.xml" ContentType="application/vnd.ms-office.chartstyle+xml"/>
  <Override PartName="/xl/charts/colors98.xml" ContentType="application/vnd.ms-office.chartcolorstyle+xml"/>
  <Override PartName="/xl/charts/chart104.xml" ContentType="application/vnd.openxmlformats-officedocument.drawingml.chart+xml"/>
  <Override PartName="/xl/charts/style99.xml" ContentType="application/vnd.ms-office.chartstyle+xml"/>
  <Override PartName="/xl/charts/colors99.xml" ContentType="application/vnd.ms-office.chartcolorstyle+xml"/>
  <Override PartName="/xl/charts/chart105.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6.xml" ContentType="application/vnd.openxmlformats-officedocument.drawingml.chart+xml"/>
  <Override PartName="/xl/charts/style101.xml" ContentType="application/vnd.ms-office.chartstyle+xml"/>
  <Override PartName="/xl/charts/colors101.xml" ContentType="application/vnd.ms-office.chartcolorstyle+xml"/>
  <Override PartName="/xl/drawings/drawing25.xml" ContentType="application/vnd.openxmlformats-officedocument.drawing+xml"/>
  <Override PartName="/xl/charts/chart107.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8.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9.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10.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11.xml" ContentType="application/vnd.openxmlformats-officedocument.drawingml.chart+xml"/>
  <Override PartName="/xl/charts/style106.xml" ContentType="application/vnd.ms-office.chartstyle+xml"/>
  <Override PartName="/xl/charts/colors106.xml" ContentType="application/vnd.ms-office.chartcolorstyle+xml"/>
  <Override PartName="/xl/drawings/drawing26.xml" ContentType="application/vnd.openxmlformats-officedocument.drawing+xml"/>
  <Override PartName="/xl/charts/chart112.xml" ContentType="application/vnd.openxmlformats-officedocument.drawingml.chart+xml"/>
  <Override PartName="/xl/charts/style107.xml" ContentType="application/vnd.ms-office.chartstyle+xml"/>
  <Override PartName="/xl/charts/colors107.xml" ContentType="application/vnd.ms-office.chartcolorstyle+xml"/>
  <Override PartName="/xl/drawings/drawing27.xml" ContentType="application/vnd.openxmlformats-officedocument.drawing+xml"/>
  <Override PartName="/xl/charts/chart113.xml" ContentType="application/vnd.openxmlformats-officedocument.drawingml.chart+xml"/>
  <Override PartName="/xl/charts/style108.xml" ContentType="application/vnd.ms-office.chartstyle+xml"/>
  <Override PartName="/xl/charts/colors10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forsk\Documents\python\Vestas_sales\"/>
    </mc:Choice>
  </mc:AlternateContent>
  <xr:revisionPtr revIDLastSave="0" documentId="13_ncr:1_{91D62D25-3E5F-4FA6-A31C-719A52B4FCA5}" xr6:coauthVersionLast="47" xr6:coauthVersionMax="47" xr10:uidLastSave="{00000000-0000-0000-0000-000000000000}"/>
  <bookViews>
    <workbookView xWindow="9675" yWindow="1395" windowWidth="24915" windowHeight="19410" tabRatio="860" xr2:uid="{00000000-000D-0000-FFFF-FFFF00000000}"/>
  </bookViews>
  <sheets>
    <sheet name="info" sheetId="32" r:id="rId1"/>
    <sheet name="Vestas Economy" sheetId="1" r:id="rId2"/>
    <sheet name="Order and Service summary" sheetId="6" r:id="rId3"/>
    <sheet name="Market share" sheetId="23" r:id="rId4"/>
    <sheet name="blade delivery" sheetId="24" r:id="rId5"/>
    <sheet name="delivery 2024" sheetId="26" r:id="rId6"/>
    <sheet name="delivery 2023" sheetId="25" r:id="rId7"/>
    <sheet name="OI 2025" sheetId="31" r:id="rId8"/>
    <sheet name="OI 2024" sheetId="28" r:id="rId9"/>
    <sheet name="OI 2023" sheetId="27" r:id="rId10"/>
    <sheet name="OI 2022" sheetId="22" r:id="rId11"/>
    <sheet name="OI 2021" sheetId="21" r:id="rId12"/>
    <sheet name="OI 2020" sheetId="20" r:id="rId13"/>
    <sheet name="OI 2019" sheetId="19" r:id="rId14"/>
    <sheet name="OI 2018" sheetId="10" r:id="rId15"/>
    <sheet name="OI 2017" sheetId="2" r:id="rId16"/>
    <sheet name="OI 2016" sheetId="3" r:id="rId17"/>
    <sheet name="OI 2015" sheetId="5" r:id="rId18"/>
    <sheet name="OI 2014" sheetId="7" r:id="rId19"/>
    <sheet name="OI 2013" sheetId="9" r:id="rId20"/>
    <sheet name="OI 2012" sheetId="12" r:id="rId21"/>
    <sheet name="OI 2011" sheetId="13" r:id="rId22"/>
    <sheet name="OI 2010" sheetId="15" r:id="rId23"/>
    <sheet name="OI 2009" sheetId="16" r:id="rId24"/>
    <sheet name="OI 2008" sheetId="18" r:id="rId25"/>
    <sheet name="Vestas turbines hist #" sheetId="4" r:id="rId26"/>
    <sheet name="Vestas turbines hist MW" sheetId="17" r:id="rId27"/>
    <sheet name="Accumulated deliveries" sheetId="14" r:id="rId28"/>
    <sheet name="Track_record_country_end_23" sheetId="29" r:id="rId29"/>
    <sheet name="Track record turbines" sheetId="30" r:id="rId30"/>
  </sheets>
  <externalReferences>
    <externalReference r:id="rId31"/>
  </externalReferences>
  <definedNames>
    <definedName name="_xlnm._FilterDatabase" localSheetId="24" hidden="1">'OI 2008'!$I$49:$I$80</definedName>
    <definedName name="_xlnm._FilterDatabase" localSheetId="23" hidden="1">'OI 2009'!$I$49:$I$80</definedName>
    <definedName name="_xlnm._FilterDatabase" localSheetId="22" hidden="1">'OI 2010'!$I$5:$I$80</definedName>
    <definedName name="_xlnm._FilterDatabase" localSheetId="21" hidden="1">'OI 2011'!$I$5:$I$80</definedName>
    <definedName name="_xlnm._FilterDatabase" localSheetId="20" hidden="1">'OI 2012'!$I$5:$I$72</definedName>
    <definedName name="_xlnm._FilterDatabase" localSheetId="19" hidden="1">'OI 2013'!$I$2:$I$72</definedName>
    <definedName name="_xlnm._FilterDatabase" localSheetId="18" hidden="1">'OI 2014'!$V$83:$V$120</definedName>
    <definedName name="_xlnm._FilterDatabase" localSheetId="17" hidden="1">'OI 2015'!$I$2:$I$72</definedName>
    <definedName name="_xlnm._FilterDatabase" localSheetId="16" hidden="1">'OI 2016'!$I$2:$I$73</definedName>
    <definedName name="_xlnm._FilterDatabase" localSheetId="15" hidden="1">'OI 2017'!$C$2:$C$91</definedName>
    <definedName name="_xlnm._FilterDatabase" localSheetId="14" hidden="1">'OI 2018'!$C$2:$C$100</definedName>
    <definedName name="_xlnm._FilterDatabase" localSheetId="13" hidden="1">'OI 2019'!$C$173:$C$197</definedName>
    <definedName name="_xlnm._FilterDatabase" localSheetId="12" hidden="1">'OI 2020'!$C$191:$C$229</definedName>
    <definedName name="_xlnm._FilterDatabase" localSheetId="11" hidden="1">'OI 2021'!$C$193:$C$231</definedName>
    <definedName name="_xlnm._FilterDatabase" localSheetId="10" hidden="1">'OI 2022'!$C$205:$C$245</definedName>
    <definedName name="_xlnm._FilterDatabase" localSheetId="9" hidden="1">'OI 2023'!$C$197:$C$246</definedName>
    <definedName name="_xlnm._FilterDatabase" localSheetId="8" hidden="1">'OI 2024'!$C$223:$C$272</definedName>
    <definedName name="_xlnm._FilterDatabase" localSheetId="2" hidden="1">'Order and Service summary'!$C$33:$C$64</definedName>
    <definedName name="_xlnm.Criteria" localSheetId="24">'OI 2008'!$I$49:$I$80</definedName>
    <definedName name="_xlnm.Criteria" localSheetId="23">'OI 2009'!$I$49:$I$80</definedName>
    <definedName name="_xlnm.Criteria" localSheetId="22">'OI 2010'!$I$5:$I$80</definedName>
    <definedName name="_xlnm.Criteria" localSheetId="21">'OI 2011'!$I$5:$I$80</definedName>
    <definedName name="_xlnm.Criteria" localSheetId="20">'OI 2012'!$I$5:$I$72</definedName>
    <definedName name="_xlnm.Criteria" localSheetId="19">'OI 2013'!$I$2:$I$72</definedName>
    <definedName name="_xlnm.Criteria" localSheetId="18">'OI 2014'!$V$83:$V$120</definedName>
    <definedName name="_xlnm.Criteria" localSheetId="17">'OI 2015'!$I$2:$I$72</definedName>
    <definedName name="_xlnm.Criteria" localSheetId="16">'OI 2016'!$I$2:$I$73</definedName>
    <definedName name="_xlnm.Criteria" localSheetId="15">'OI 2017'!$C$2:$C$91</definedName>
    <definedName name="_xlnm.Criteria" localSheetId="14">'OI 2018'!$C$2:$C$100</definedName>
    <definedName name="_xlnm.Criteria" localSheetId="2">'Order and Service summary'!$C$33:$C$64</definedName>
    <definedName name="_xlnm.Extract" localSheetId="24">'OI 2008'!$V$99</definedName>
    <definedName name="_xlnm.Extract" localSheetId="23">'OI 2009'!$V$99</definedName>
    <definedName name="_xlnm.Extract" localSheetId="22">'OI 2010'!$V$99</definedName>
    <definedName name="_xlnm.Extract" localSheetId="21">'OI 2011'!$V$99</definedName>
    <definedName name="_xlnm.Extract" localSheetId="20">'OI 2012'!$V$91</definedName>
    <definedName name="_xlnm.Extract" localSheetId="19">'OI 2013'!$V$91</definedName>
    <definedName name="_xlnm.Extract" localSheetId="18">'OI 2014'!$Y$83</definedName>
    <definedName name="_xlnm.Extract" localSheetId="17">'OI 2015'!$I$87</definedName>
    <definedName name="_xlnm.Extract" localSheetId="16">'OI 2016'!$I$87</definedName>
    <definedName name="_xlnm.Extract" localSheetId="15">'OI 2017'!$G$111</definedName>
    <definedName name="_xlnm.Extract" localSheetId="14">'OI 2018'!$G$111</definedName>
    <definedName name="_xlnm.Extract" localSheetId="13">'OI 2019'!$E$173:$E$195</definedName>
    <definedName name="_xlnm.Extract" localSheetId="12">'OI 2020'!$E$190:$E$228</definedName>
    <definedName name="_xlnm.Extract" localSheetId="11">'OI 2021'!$E$192:$E$231</definedName>
    <definedName name="_xlnm.Extract" localSheetId="10">'OI 2022'!$E$204:$E$244</definedName>
    <definedName name="_xlnm.Extract" localSheetId="9">'OI 2023'!$E$196:$E$245</definedName>
    <definedName name="_xlnm.Extract" localSheetId="8">'OI 2024'!$E$222:$E$271</definedName>
    <definedName name="_xlnm.Extract" localSheetId="2">'Order and Service summary'!$F$4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2" i="23" l="1"/>
  <c r="E11" i="23"/>
  <c r="E10" i="23"/>
  <c r="E9" i="23"/>
  <c r="E8" i="23"/>
  <c r="AJ3" i="31"/>
  <c r="AJ4" i="31"/>
  <c r="AJ5" i="31"/>
  <c r="AJ6" i="31"/>
  <c r="AJ7" i="31"/>
  <c r="AJ8" i="31"/>
  <c r="AJ9" i="31"/>
  <c r="AJ10" i="31"/>
  <c r="AJ11" i="31"/>
  <c r="AJ12" i="31"/>
  <c r="AJ13" i="31"/>
  <c r="AJ14" i="31"/>
  <c r="AJ15" i="31"/>
  <c r="AJ16" i="31"/>
  <c r="AJ17" i="31"/>
  <c r="AJ18" i="31"/>
  <c r="AJ19" i="31"/>
  <c r="AJ20" i="31"/>
  <c r="AJ21" i="31"/>
  <c r="AJ22" i="31"/>
  <c r="AJ23" i="31"/>
  <c r="AJ24" i="31"/>
  <c r="AJ25" i="31"/>
  <c r="AJ26" i="31"/>
  <c r="AJ27" i="31"/>
  <c r="AJ28" i="31"/>
  <c r="AJ29" i="31"/>
  <c r="AJ30" i="31"/>
  <c r="AJ31" i="31"/>
  <c r="AJ32" i="31"/>
  <c r="AJ33" i="31"/>
  <c r="AJ34" i="31"/>
  <c r="AJ35" i="31"/>
  <c r="AJ36" i="31"/>
  <c r="AJ37" i="31"/>
  <c r="AJ38" i="31"/>
  <c r="AJ39" i="31"/>
  <c r="AJ40" i="31"/>
  <c r="AJ41" i="31"/>
  <c r="AJ42" i="31"/>
  <c r="AJ43" i="31"/>
  <c r="AJ44" i="31"/>
  <c r="AJ45" i="31"/>
  <c r="AJ46" i="31"/>
  <c r="AJ47" i="31"/>
  <c r="AJ48" i="31"/>
  <c r="AJ49" i="31"/>
  <c r="AJ50" i="31"/>
  <c r="AJ51" i="31"/>
  <c r="AJ52" i="31"/>
  <c r="AJ53" i="31"/>
  <c r="AJ54" i="31"/>
  <c r="AJ55" i="31"/>
  <c r="AJ56" i="31"/>
  <c r="AJ57" i="31"/>
  <c r="AJ58" i="31"/>
  <c r="AJ59" i="31"/>
  <c r="AJ60" i="31"/>
  <c r="AJ61" i="31"/>
  <c r="AJ62" i="31"/>
  <c r="AJ63" i="31"/>
  <c r="AJ64" i="31"/>
  <c r="AJ65" i="31"/>
  <c r="AJ66" i="31"/>
  <c r="AJ67" i="31"/>
  <c r="AJ68" i="31"/>
  <c r="AJ69" i="31"/>
  <c r="AJ70" i="31"/>
  <c r="AJ71" i="31"/>
  <c r="AJ72" i="31"/>
  <c r="AJ73" i="31"/>
  <c r="AJ74" i="31"/>
  <c r="AJ75" i="31"/>
  <c r="AJ76" i="31"/>
  <c r="AJ77" i="31"/>
  <c r="AJ78" i="31"/>
  <c r="AJ79" i="31"/>
  <c r="AJ80" i="31"/>
  <c r="AJ81" i="31"/>
  <c r="AJ82" i="31"/>
  <c r="AJ83" i="31"/>
  <c r="AJ84" i="31"/>
  <c r="AJ85" i="31"/>
  <c r="AJ86" i="31"/>
  <c r="AJ87" i="31"/>
  <c r="AJ88" i="31"/>
  <c r="AJ89" i="31"/>
  <c r="AJ90" i="31"/>
  <c r="AJ91" i="31"/>
  <c r="AJ92" i="31"/>
  <c r="AJ93" i="31"/>
  <c r="AJ94" i="31"/>
  <c r="AJ95" i="31"/>
  <c r="AJ96" i="31"/>
  <c r="AJ97" i="31"/>
  <c r="AJ98" i="31"/>
  <c r="AJ99" i="31"/>
  <c r="AJ100" i="31"/>
  <c r="AJ101" i="31"/>
  <c r="AJ102" i="31"/>
  <c r="AJ103" i="31"/>
  <c r="AJ104" i="31"/>
  <c r="AJ105" i="31"/>
  <c r="AJ106" i="31"/>
  <c r="AJ107" i="31"/>
  <c r="AJ108" i="31"/>
  <c r="AJ2" i="31"/>
  <c r="AK3" i="31"/>
  <c r="AK4" i="31"/>
  <c r="AK5" i="31"/>
  <c r="AK6" i="31"/>
  <c r="AK7" i="31"/>
  <c r="AK8" i="31"/>
  <c r="AK9" i="31"/>
  <c r="AK10" i="31"/>
  <c r="AK11" i="31"/>
  <c r="AK12" i="31"/>
  <c r="AK13" i="31"/>
  <c r="AK14" i="31"/>
  <c r="AK15" i="31"/>
  <c r="AK16" i="31"/>
  <c r="AK17" i="31"/>
  <c r="AK18" i="31"/>
  <c r="AK19" i="31"/>
  <c r="AK20" i="31"/>
  <c r="AK21" i="31"/>
  <c r="AK22" i="31"/>
  <c r="AK23" i="31"/>
  <c r="AK24" i="31"/>
  <c r="AK25" i="31"/>
  <c r="AK26" i="31"/>
  <c r="AK27" i="31"/>
  <c r="AK28" i="31"/>
  <c r="AK29" i="31"/>
  <c r="AK30" i="31"/>
  <c r="AK31" i="31"/>
  <c r="AK32" i="31"/>
  <c r="AK33" i="31"/>
  <c r="AK34" i="31"/>
  <c r="AK35" i="31"/>
  <c r="AK36" i="31"/>
  <c r="AK37" i="31"/>
  <c r="AK38" i="31"/>
  <c r="AK39" i="31"/>
  <c r="AK40" i="31"/>
  <c r="AK41" i="31"/>
  <c r="AK42" i="31"/>
  <c r="AK43" i="31"/>
  <c r="AK44" i="31"/>
  <c r="AK45" i="31"/>
  <c r="AK46" i="31"/>
  <c r="AK47" i="31"/>
  <c r="AK48" i="31"/>
  <c r="AK49" i="31"/>
  <c r="AK50" i="31"/>
  <c r="AK51" i="31"/>
  <c r="AK52" i="31"/>
  <c r="AK53" i="31"/>
  <c r="AK54" i="31"/>
  <c r="AK55" i="31"/>
  <c r="AK56" i="31"/>
  <c r="AK57" i="31"/>
  <c r="AK58" i="31"/>
  <c r="AK59" i="31"/>
  <c r="AK60" i="31"/>
  <c r="AK61" i="31"/>
  <c r="AK62" i="31"/>
  <c r="AK63" i="31"/>
  <c r="AK64" i="31"/>
  <c r="AK65" i="31"/>
  <c r="AK66" i="31"/>
  <c r="AK67" i="31"/>
  <c r="AK68" i="31"/>
  <c r="AK69" i="31"/>
  <c r="AK70" i="31"/>
  <c r="AK71" i="31"/>
  <c r="AK72" i="31"/>
  <c r="AK73" i="31"/>
  <c r="AK74" i="31"/>
  <c r="AK75" i="31"/>
  <c r="AK76" i="31"/>
  <c r="AK77" i="31"/>
  <c r="AK78" i="31"/>
  <c r="AK79" i="31"/>
  <c r="AK80" i="31"/>
  <c r="AK81" i="31"/>
  <c r="AK82" i="31"/>
  <c r="AK83" i="31"/>
  <c r="AK84" i="31"/>
  <c r="AK85" i="31"/>
  <c r="AK86" i="31"/>
  <c r="AK87" i="31"/>
  <c r="AK88" i="31"/>
  <c r="AK89" i="31"/>
  <c r="AK90" i="31"/>
  <c r="AK91" i="31"/>
  <c r="AK92" i="31"/>
  <c r="AK93" i="31"/>
  <c r="AK94" i="31"/>
  <c r="AK95" i="31"/>
  <c r="AK96" i="31"/>
  <c r="AK97" i="31"/>
  <c r="AK98" i="31"/>
  <c r="AK99" i="31"/>
  <c r="AK100" i="31"/>
  <c r="AK101" i="31"/>
  <c r="AK102" i="31"/>
  <c r="AK103" i="31"/>
  <c r="AK104" i="31"/>
  <c r="AK105" i="31"/>
  <c r="AK106" i="31"/>
  <c r="AK107" i="31"/>
  <c r="AK108" i="31"/>
  <c r="AK2" i="31"/>
  <c r="F12" i="23"/>
  <c r="F11" i="23"/>
  <c r="F10" i="23"/>
  <c r="F9" i="23"/>
  <c r="F8" i="23"/>
  <c r="F7" i="23"/>
  <c r="D226" i="21"/>
  <c r="E226" i="21"/>
  <c r="F226" i="21"/>
  <c r="AE3" i="21"/>
  <c r="AE4" i="21"/>
  <c r="AE5" i="21"/>
  <c r="AE6" i="21"/>
  <c r="AE7" i="21"/>
  <c r="AE8" i="21"/>
  <c r="AE9" i="21"/>
  <c r="AE10" i="21"/>
  <c r="AE11" i="21"/>
  <c r="AE12" i="21"/>
  <c r="AE13" i="21"/>
  <c r="AE14" i="21"/>
  <c r="AE15" i="21"/>
  <c r="AE16" i="21"/>
  <c r="AE17" i="21"/>
  <c r="AE18" i="21"/>
  <c r="AE19" i="21"/>
  <c r="AE20" i="21"/>
  <c r="AE21" i="21"/>
  <c r="AE22" i="21"/>
  <c r="AE23" i="21"/>
  <c r="AE24" i="21"/>
  <c r="AE25" i="21"/>
  <c r="AE26" i="21"/>
  <c r="AE27" i="21"/>
  <c r="AE28" i="21"/>
  <c r="AE29" i="21"/>
  <c r="AE30" i="21"/>
  <c r="AE31" i="21"/>
  <c r="AE32" i="21"/>
  <c r="AE33" i="21"/>
  <c r="AE34" i="21"/>
  <c r="AE35" i="21"/>
  <c r="AE36" i="21"/>
  <c r="AE37" i="21"/>
  <c r="AE38" i="21"/>
  <c r="AE39" i="21"/>
  <c r="AE40" i="21"/>
  <c r="AE41" i="21"/>
  <c r="AE42" i="21"/>
  <c r="AE43" i="21"/>
  <c r="AE44" i="21"/>
  <c r="AE45" i="21"/>
  <c r="AE46" i="21"/>
  <c r="AE47" i="21"/>
  <c r="AE48" i="21"/>
  <c r="AE49" i="21"/>
  <c r="AE50" i="21"/>
  <c r="AE51" i="21"/>
  <c r="AE52" i="21"/>
  <c r="AE53" i="21"/>
  <c r="AE54" i="21"/>
  <c r="AE55" i="21"/>
  <c r="AE56" i="21"/>
  <c r="AE57" i="21"/>
  <c r="AE58" i="21"/>
  <c r="AE59" i="21"/>
  <c r="AE60" i="21"/>
  <c r="AE61" i="21"/>
  <c r="AE62" i="21"/>
  <c r="AE63" i="21"/>
  <c r="AE64" i="21"/>
  <c r="AE65" i="21"/>
  <c r="AE66" i="21"/>
  <c r="AE67" i="21"/>
  <c r="AE68" i="21"/>
  <c r="AE69" i="21"/>
  <c r="AE70" i="21"/>
  <c r="AE71" i="21"/>
  <c r="AE72" i="21"/>
  <c r="AE73" i="21"/>
  <c r="AE74" i="21"/>
  <c r="AE75" i="21"/>
  <c r="AE76" i="21"/>
  <c r="AE77" i="21"/>
  <c r="AE78" i="21"/>
  <c r="AE79" i="21"/>
  <c r="AE80" i="21"/>
  <c r="AE81" i="21"/>
  <c r="AE82" i="21"/>
  <c r="AE83" i="21"/>
  <c r="AE84" i="21"/>
  <c r="AE85" i="21"/>
  <c r="AE2" i="21"/>
  <c r="D225" i="22"/>
  <c r="E225" i="22"/>
  <c r="F225" i="22"/>
  <c r="D224" i="22"/>
  <c r="E224" i="22"/>
  <c r="F224" i="22"/>
  <c r="AK3" i="22"/>
  <c r="AK4" i="22"/>
  <c r="AK5" i="22"/>
  <c r="AK6" i="22"/>
  <c r="AK7" i="22"/>
  <c r="AK8" i="22"/>
  <c r="AK9" i="22"/>
  <c r="AK10" i="22"/>
  <c r="AK11" i="22"/>
  <c r="AK12" i="22"/>
  <c r="AK13" i="22"/>
  <c r="AK14" i="22"/>
  <c r="AK15" i="22"/>
  <c r="AK16" i="22"/>
  <c r="AK17" i="22"/>
  <c r="AK18" i="22"/>
  <c r="AK19" i="22"/>
  <c r="AK20" i="22"/>
  <c r="AK21" i="22"/>
  <c r="AK22" i="22"/>
  <c r="AK23" i="22"/>
  <c r="AK24" i="22"/>
  <c r="AK25" i="22"/>
  <c r="AK26" i="22"/>
  <c r="AK27" i="22"/>
  <c r="AK28" i="22"/>
  <c r="AK29" i="22"/>
  <c r="AK30" i="22"/>
  <c r="AK31" i="22"/>
  <c r="AK32" i="22"/>
  <c r="AK33" i="22"/>
  <c r="AK34" i="22"/>
  <c r="AK35" i="22"/>
  <c r="AK36" i="22"/>
  <c r="AK37" i="22"/>
  <c r="AK38" i="22"/>
  <c r="AK39" i="22"/>
  <c r="AK40" i="22"/>
  <c r="AK41" i="22"/>
  <c r="AK42" i="22"/>
  <c r="AK43" i="22"/>
  <c r="AK44" i="22"/>
  <c r="AK45" i="22"/>
  <c r="AK46" i="22"/>
  <c r="AK47" i="22"/>
  <c r="AK48" i="22"/>
  <c r="AK49" i="22"/>
  <c r="AK50" i="22"/>
  <c r="AK51" i="22"/>
  <c r="AK52" i="22"/>
  <c r="AK53" i="22"/>
  <c r="AK54" i="22"/>
  <c r="AK55" i="22"/>
  <c r="AK56" i="22"/>
  <c r="AK57" i="22"/>
  <c r="AK58" i="22"/>
  <c r="AK59" i="22"/>
  <c r="AK60" i="22"/>
  <c r="AK61" i="22"/>
  <c r="AK62" i="22"/>
  <c r="AK63" i="22"/>
  <c r="AK64" i="22"/>
  <c r="AK65" i="22"/>
  <c r="AK66" i="22"/>
  <c r="AK67" i="22"/>
  <c r="AK68" i="22"/>
  <c r="AK69" i="22"/>
  <c r="AK70" i="22"/>
  <c r="AK71" i="22"/>
  <c r="AK72" i="22"/>
  <c r="AK2" i="22"/>
  <c r="G7" i="23"/>
  <c r="G213" i="27"/>
  <c r="H213" i="27"/>
  <c r="G235" i="27"/>
  <c r="D226" i="27"/>
  <c r="E226" i="27"/>
  <c r="F226" i="27"/>
  <c r="D234" i="27"/>
  <c r="E234" i="27"/>
  <c r="F234" i="27"/>
  <c r="AK3" i="27"/>
  <c r="AK4" i="27"/>
  <c r="AK5" i="27"/>
  <c r="AK6" i="27"/>
  <c r="AK7" i="27"/>
  <c r="AK8" i="27"/>
  <c r="AK9" i="27"/>
  <c r="AK10" i="27"/>
  <c r="AK11" i="27"/>
  <c r="AK12" i="27"/>
  <c r="AK13" i="27"/>
  <c r="AK14" i="27"/>
  <c r="AK15" i="27"/>
  <c r="AK16" i="27"/>
  <c r="AK17" i="27"/>
  <c r="AK18" i="27"/>
  <c r="AK19" i="27"/>
  <c r="AK20" i="27"/>
  <c r="AK21" i="27"/>
  <c r="AK22" i="27"/>
  <c r="AK23" i="27"/>
  <c r="AK24" i="27"/>
  <c r="AK25" i="27"/>
  <c r="AK26" i="27"/>
  <c r="AK27" i="27"/>
  <c r="AK28" i="27"/>
  <c r="AK29" i="27"/>
  <c r="AK30" i="27"/>
  <c r="AK31" i="27"/>
  <c r="AK32" i="27"/>
  <c r="AK33" i="27"/>
  <c r="AK34" i="27"/>
  <c r="AK35" i="27"/>
  <c r="AK36" i="27"/>
  <c r="AK37" i="27"/>
  <c r="AK38" i="27"/>
  <c r="AK39" i="27"/>
  <c r="AK40" i="27"/>
  <c r="AK41" i="27"/>
  <c r="AK42" i="27"/>
  <c r="AK43" i="27"/>
  <c r="AK44" i="27"/>
  <c r="AK45" i="27"/>
  <c r="AK46" i="27"/>
  <c r="AK47" i="27"/>
  <c r="AK48" i="27"/>
  <c r="AK49" i="27"/>
  <c r="AK50" i="27"/>
  <c r="AK51" i="27"/>
  <c r="AK52" i="27"/>
  <c r="AK53" i="27"/>
  <c r="AK54" i="27"/>
  <c r="AK55" i="27"/>
  <c r="AK56" i="27"/>
  <c r="AK57" i="27"/>
  <c r="AK58" i="27"/>
  <c r="AK59" i="27"/>
  <c r="AK60" i="27"/>
  <c r="AK61" i="27"/>
  <c r="AK62" i="27"/>
  <c r="AK63" i="27"/>
  <c r="AK64" i="27"/>
  <c r="AK65" i="27"/>
  <c r="AK66" i="27"/>
  <c r="AK67" i="27"/>
  <c r="AK68" i="27"/>
  <c r="AK69" i="27"/>
  <c r="AK70" i="27"/>
  <c r="AK71" i="27"/>
  <c r="AK72" i="27"/>
  <c r="AK73" i="27"/>
  <c r="AK75" i="27"/>
  <c r="AK76" i="27"/>
  <c r="AK77" i="27"/>
  <c r="AK78" i="27"/>
  <c r="AK79" i="27"/>
  <c r="AK74" i="27"/>
  <c r="D213" i="27"/>
  <c r="E213" i="27"/>
  <c r="F213" i="27"/>
  <c r="AK2" i="27"/>
  <c r="D246" i="28"/>
  <c r="E246" i="28"/>
  <c r="F246" i="28"/>
  <c r="D247" i="28"/>
  <c r="E247" i="28"/>
  <c r="F247" i="28"/>
  <c r="D258" i="28"/>
  <c r="E258" i="28"/>
  <c r="F258" i="28"/>
  <c r="D257" i="28"/>
  <c r="E257" i="28"/>
  <c r="F257" i="28"/>
  <c r="D245" i="28"/>
  <c r="E245" i="28"/>
  <c r="F245" i="28"/>
  <c r="F233" i="28"/>
  <c r="E233" i="28"/>
  <c r="G233" i="28" s="1"/>
  <c r="D233" i="28"/>
  <c r="D259" i="28"/>
  <c r="E259" i="28"/>
  <c r="F259" i="28"/>
  <c r="AK10" i="28"/>
  <c r="AK11" i="28"/>
  <c r="AK12" i="28"/>
  <c r="AK13" i="28"/>
  <c r="AK14" i="28"/>
  <c r="AK15" i="28"/>
  <c r="AK16" i="28"/>
  <c r="AK17" i="28"/>
  <c r="AK18" i="28"/>
  <c r="AK19" i="28"/>
  <c r="AK20" i="28"/>
  <c r="AK21" i="28"/>
  <c r="AK22" i="28"/>
  <c r="AK23" i="28"/>
  <c r="AK24" i="28"/>
  <c r="AK25" i="28"/>
  <c r="AK26" i="28"/>
  <c r="AK27" i="28"/>
  <c r="AK28" i="28"/>
  <c r="AK29" i="28"/>
  <c r="AK30" i="28"/>
  <c r="AK31" i="28"/>
  <c r="AK32" i="28"/>
  <c r="AK33" i="28"/>
  <c r="AK34" i="28"/>
  <c r="AK35" i="28"/>
  <c r="AK36" i="28"/>
  <c r="AK37" i="28"/>
  <c r="AK38" i="28"/>
  <c r="AK39" i="28"/>
  <c r="AK40" i="28"/>
  <c r="AK41" i="28"/>
  <c r="AK42" i="28"/>
  <c r="AK43" i="28"/>
  <c r="AK44" i="28"/>
  <c r="AK45" i="28"/>
  <c r="AK46" i="28"/>
  <c r="AK47" i="28"/>
  <c r="AK48" i="28"/>
  <c r="AK49" i="28"/>
  <c r="AK50" i="28"/>
  <c r="AK51" i="28"/>
  <c r="AK52" i="28"/>
  <c r="AK53" i="28"/>
  <c r="AK54" i="28"/>
  <c r="AK55" i="28"/>
  <c r="AK56" i="28"/>
  <c r="AK57" i="28"/>
  <c r="AK58" i="28"/>
  <c r="AK59" i="28"/>
  <c r="AK60" i="28"/>
  <c r="AK61" i="28"/>
  <c r="AK62" i="28"/>
  <c r="AK63" i="28"/>
  <c r="AK64" i="28"/>
  <c r="AK65" i="28"/>
  <c r="AK66" i="28"/>
  <c r="AK67" i="28"/>
  <c r="AK68" i="28"/>
  <c r="AK69" i="28"/>
  <c r="AK70" i="28"/>
  <c r="AK71" i="28"/>
  <c r="AK72" i="28"/>
  <c r="AK73" i="28"/>
  <c r="AK74" i="28"/>
  <c r="AK75" i="28"/>
  <c r="AK76" i="28"/>
  <c r="AK77" i="28"/>
  <c r="AK78" i="28"/>
  <c r="AK79" i="28"/>
  <c r="AK80" i="28"/>
  <c r="AK81" i="28"/>
  <c r="AK82" i="28"/>
  <c r="AK83" i="28"/>
  <c r="AK84" i="28"/>
  <c r="AK85" i="28"/>
  <c r="AK86" i="28"/>
  <c r="AK87" i="28"/>
  <c r="AK88" i="28"/>
  <c r="AK89" i="28"/>
  <c r="AK90" i="28"/>
  <c r="AK91" i="28"/>
  <c r="AK92" i="28"/>
  <c r="AK93" i="28"/>
  <c r="AK94" i="28"/>
  <c r="AK95" i="28"/>
  <c r="AK2" i="28"/>
  <c r="AK4" i="28"/>
  <c r="AK5" i="28"/>
  <c r="AK6" i="28"/>
  <c r="AK7" i="28"/>
  <c r="AK8" i="28"/>
  <c r="AK9" i="28"/>
  <c r="F260" i="28"/>
  <c r="E260" i="28"/>
  <c r="E256" i="28"/>
  <c r="F256" i="28"/>
  <c r="D260" i="28"/>
  <c r="D256" i="28"/>
  <c r="AK3" i="28"/>
  <c r="R62" i="1"/>
  <c r="Q62" i="1"/>
  <c r="P62" i="1"/>
  <c r="O62" i="1"/>
  <c r="N62" i="1"/>
  <c r="J200" i="31"/>
  <c r="K193" i="31"/>
  <c r="K194" i="31"/>
  <c r="K195" i="31"/>
  <c r="K196" i="31"/>
  <c r="K197" i="31"/>
  <c r="K198" i="31"/>
  <c r="K199" i="31"/>
  <c r="K200" i="31"/>
  <c r="K201" i="31"/>
  <c r="K179" i="31"/>
  <c r="K180" i="31"/>
  <c r="K181" i="31"/>
  <c r="K182" i="31"/>
  <c r="K183" i="31"/>
  <c r="K184" i="31"/>
  <c r="K185" i="31"/>
  <c r="K186" i="31"/>
  <c r="K187" i="31"/>
  <c r="K188" i="31"/>
  <c r="K189" i="31"/>
  <c r="K190" i="31"/>
  <c r="K191" i="31"/>
  <c r="J193" i="31"/>
  <c r="J181" i="31"/>
  <c r="J182" i="31"/>
  <c r="AI3" i="31"/>
  <c r="AI4" i="31"/>
  <c r="AI5" i="31"/>
  <c r="AI6" i="31"/>
  <c r="AI7" i="31"/>
  <c r="AI8" i="31"/>
  <c r="AI9" i="31"/>
  <c r="AI10" i="31"/>
  <c r="AI11" i="31"/>
  <c r="AI12" i="31"/>
  <c r="AI13" i="31"/>
  <c r="AI14" i="31"/>
  <c r="AI15" i="31"/>
  <c r="AI16" i="31"/>
  <c r="AI17" i="31"/>
  <c r="AI18" i="31"/>
  <c r="AI19" i="31"/>
  <c r="AI20" i="31"/>
  <c r="AI21" i="31"/>
  <c r="AI22" i="31"/>
  <c r="AI23" i="31"/>
  <c r="AI24" i="31"/>
  <c r="AI25" i="31"/>
  <c r="AI26" i="31"/>
  <c r="AI27" i="31"/>
  <c r="AI28" i="31"/>
  <c r="AI29" i="31"/>
  <c r="AI30" i="31"/>
  <c r="AI31" i="31"/>
  <c r="AI32" i="31"/>
  <c r="AI33" i="31"/>
  <c r="AI34" i="31"/>
  <c r="AI35" i="31"/>
  <c r="AI36" i="31"/>
  <c r="AI37" i="31"/>
  <c r="AI38" i="31"/>
  <c r="AI39" i="31"/>
  <c r="AI40" i="31"/>
  <c r="AI41" i="31"/>
  <c r="AI42" i="31"/>
  <c r="AI43" i="31"/>
  <c r="AI44" i="31"/>
  <c r="AI45" i="31"/>
  <c r="AI46" i="31"/>
  <c r="AI47" i="31"/>
  <c r="AI48" i="31"/>
  <c r="AI49" i="31"/>
  <c r="AI50" i="31"/>
  <c r="AI51" i="31"/>
  <c r="AI52" i="31"/>
  <c r="AI53" i="31"/>
  <c r="AI54" i="31"/>
  <c r="AI55" i="31"/>
  <c r="AI56" i="31"/>
  <c r="AI57" i="31"/>
  <c r="AI58" i="31"/>
  <c r="AI59" i="31"/>
  <c r="AI60" i="31"/>
  <c r="AI61" i="31"/>
  <c r="AI62" i="31"/>
  <c r="AI63" i="31"/>
  <c r="AI64" i="31"/>
  <c r="AI65" i="31"/>
  <c r="AI66" i="31"/>
  <c r="AI67" i="31"/>
  <c r="AI68" i="31"/>
  <c r="AI69" i="31"/>
  <c r="AI70" i="31"/>
  <c r="AI71" i="31"/>
  <c r="AI72" i="31"/>
  <c r="AI73" i="31"/>
  <c r="AI74" i="31"/>
  <c r="AI75" i="31"/>
  <c r="AI76" i="31"/>
  <c r="AI77" i="31"/>
  <c r="AI78" i="31"/>
  <c r="AI79" i="31"/>
  <c r="AI80" i="31"/>
  <c r="AI81" i="31"/>
  <c r="AI82" i="31"/>
  <c r="AI83" i="31"/>
  <c r="AI84" i="31"/>
  <c r="AI85" i="31"/>
  <c r="AI86" i="31"/>
  <c r="AI87" i="31"/>
  <c r="AI88" i="31"/>
  <c r="AI89" i="31"/>
  <c r="AI90" i="31"/>
  <c r="AI91" i="31"/>
  <c r="AI92" i="31"/>
  <c r="AI93" i="31"/>
  <c r="AI94" i="31"/>
  <c r="AI95" i="31"/>
  <c r="AI96" i="31"/>
  <c r="AI97" i="31"/>
  <c r="AI98" i="31"/>
  <c r="AI99" i="31"/>
  <c r="AI100" i="31"/>
  <c r="AI101" i="31"/>
  <c r="AI102" i="31"/>
  <c r="AI103" i="31"/>
  <c r="AI104" i="31"/>
  <c r="AI105" i="31"/>
  <c r="AI106" i="31"/>
  <c r="AI107" i="31"/>
  <c r="AI108" i="31"/>
  <c r="AI2" i="31"/>
  <c r="G256" i="31"/>
  <c r="G259" i="31"/>
  <c r="D245" i="31"/>
  <c r="E245" i="31"/>
  <c r="F245" i="31"/>
  <c r="D254" i="31"/>
  <c r="E254" i="31"/>
  <c r="F254" i="31"/>
  <c r="D255" i="31"/>
  <c r="E255" i="31"/>
  <c r="F255" i="31"/>
  <c r="D258" i="31"/>
  <c r="E258" i="31"/>
  <c r="F258" i="31"/>
  <c r="D253" i="31"/>
  <c r="E253" i="31"/>
  <c r="F253" i="31"/>
  <c r="N168" i="31"/>
  <c r="N169" i="31" s="1"/>
  <c r="N170" i="31" s="1"/>
  <c r="D171" i="31"/>
  <c r="D170" i="31"/>
  <c r="D173" i="31" s="1"/>
  <c r="D169" i="31"/>
  <c r="L173" i="31"/>
  <c r="F259" i="31"/>
  <c r="E259" i="31"/>
  <c r="D259" i="31"/>
  <c r="F257" i="31"/>
  <c r="E257" i="31"/>
  <c r="D257" i="31"/>
  <c r="F256" i="31"/>
  <c r="E256" i="31"/>
  <c r="D256" i="31"/>
  <c r="F252" i="31"/>
  <c r="E252" i="31"/>
  <c r="D252" i="31"/>
  <c r="F251" i="31"/>
  <c r="E251" i="31"/>
  <c r="D251" i="31"/>
  <c r="F250" i="31"/>
  <c r="E250" i="31"/>
  <c r="D250" i="31"/>
  <c r="F249" i="31"/>
  <c r="E249" i="31"/>
  <c r="D249" i="31"/>
  <c r="F248" i="31"/>
  <c r="E248" i="31"/>
  <c r="D248" i="31"/>
  <c r="F247" i="31"/>
  <c r="E247" i="31"/>
  <c r="D247" i="31"/>
  <c r="F246" i="31"/>
  <c r="E246" i="31"/>
  <c r="D246" i="31"/>
  <c r="F244" i="31"/>
  <c r="E244" i="31"/>
  <c r="D244" i="31"/>
  <c r="F243" i="31"/>
  <c r="E243" i="31"/>
  <c r="D243" i="31"/>
  <c r="F242" i="31"/>
  <c r="E242" i="31"/>
  <c r="D242" i="31"/>
  <c r="F241" i="31"/>
  <c r="E241" i="31"/>
  <c r="D241" i="31"/>
  <c r="F240" i="31"/>
  <c r="E240" i="31"/>
  <c r="D240" i="31"/>
  <c r="F239" i="31"/>
  <c r="E239" i="31"/>
  <c r="D239" i="31"/>
  <c r="F238" i="31"/>
  <c r="E238" i="31"/>
  <c r="D238" i="31"/>
  <c r="F237" i="31"/>
  <c r="E237" i="31"/>
  <c r="D237" i="31"/>
  <c r="F236" i="31"/>
  <c r="E236" i="31"/>
  <c r="D236" i="31"/>
  <c r="F235" i="31"/>
  <c r="E235" i="31"/>
  <c r="D235" i="31"/>
  <c r="F234" i="31"/>
  <c r="E234" i="31"/>
  <c r="D234" i="31"/>
  <c r="F233" i="31"/>
  <c r="E233" i="31"/>
  <c r="D233" i="31"/>
  <c r="E227" i="31"/>
  <c r="E226" i="31"/>
  <c r="E225" i="31"/>
  <c r="E223" i="31"/>
  <c r="E222" i="31"/>
  <c r="E221" i="31"/>
  <c r="E219" i="31"/>
  <c r="E218" i="31"/>
  <c r="F211" i="31"/>
  <c r="E211" i="31"/>
  <c r="D211" i="31"/>
  <c r="G203" i="31"/>
  <c r="F203" i="31"/>
  <c r="E203" i="31"/>
  <c r="D203" i="31"/>
  <c r="G202" i="31"/>
  <c r="F202" i="31"/>
  <c r="E202" i="31"/>
  <c r="D202" i="31"/>
  <c r="A202" i="31"/>
  <c r="J201" i="31"/>
  <c r="G201" i="31"/>
  <c r="F201" i="31"/>
  <c r="E201" i="31"/>
  <c r="D201" i="31"/>
  <c r="A201" i="31"/>
  <c r="G200" i="31"/>
  <c r="F200" i="31"/>
  <c r="E200" i="31"/>
  <c r="D200" i="31"/>
  <c r="A200" i="31"/>
  <c r="J199" i="31"/>
  <c r="G199" i="31"/>
  <c r="F199" i="31"/>
  <c r="E199" i="31"/>
  <c r="D199" i="31"/>
  <c r="A199" i="31"/>
  <c r="J198" i="31"/>
  <c r="G198" i="31"/>
  <c r="F198" i="31"/>
  <c r="E198" i="31"/>
  <c r="D198" i="31"/>
  <c r="A198" i="31"/>
  <c r="J197" i="31"/>
  <c r="G197" i="31"/>
  <c r="F197" i="31"/>
  <c r="E197" i="31"/>
  <c r="D197" i="31"/>
  <c r="A197" i="31"/>
  <c r="J196" i="31"/>
  <c r="G196" i="31"/>
  <c r="F196" i="31"/>
  <c r="E196" i="31"/>
  <c r="D196" i="31"/>
  <c r="A196" i="31"/>
  <c r="J195" i="31"/>
  <c r="G195" i="31"/>
  <c r="F195" i="31"/>
  <c r="E195" i="31"/>
  <c r="D195" i="31"/>
  <c r="A195" i="31"/>
  <c r="J194" i="31"/>
  <c r="G194" i="31"/>
  <c r="F194" i="31"/>
  <c r="E194" i="31"/>
  <c r="D194" i="31"/>
  <c r="A194" i="31"/>
  <c r="G193" i="31"/>
  <c r="F193" i="31"/>
  <c r="E193" i="31"/>
  <c r="D193" i="31"/>
  <c r="A193" i="31"/>
  <c r="J192" i="31"/>
  <c r="G192" i="31"/>
  <c r="F192" i="31"/>
  <c r="E192" i="31"/>
  <c r="D192" i="31"/>
  <c r="A192" i="31"/>
  <c r="J191" i="31"/>
  <c r="G191" i="31"/>
  <c r="F191" i="31"/>
  <c r="E191" i="31"/>
  <c r="D191" i="31"/>
  <c r="A191" i="31"/>
  <c r="J190" i="31"/>
  <c r="G190" i="31"/>
  <c r="F190" i="31"/>
  <c r="E190" i="31"/>
  <c r="D190" i="31"/>
  <c r="A190" i="31"/>
  <c r="N189" i="31"/>
  <c r="J189" i="31"/>
  <c r="G189" i="31"/>
  <c r="F189" i="31"/>
  <c r="E189" i="31"/>
  <c r="D189" i="31"/>
  <c r="A189" i="31"/>
  <c r="N188" i="31"/>
  <c r="J188" i="31"/>
  <c r="G188" i="31"/>
  <c r="F188" i="31"/>
  <c r="E188" i="31"/>
  <c r="D188" i="31"/>
  <c r="A188" i="31"/>
  <c r="N187" i="31"/>
  <c r="J187" i="31"/>
  <c r="G187" i="31"/>
  <c r="F187" i="31"/>
  <c r="E187" i="31"/>
  <c r="D187" i="31"/>
  <c r="A187" i="31"/>
  <c r="N186" i="31"/>
  <c r="J186" i="31"/>
  <c r="G186" i="31"/>
  <c r="F186" i="31"/>
  <c r="E186" i="31"/>
  <c r="D186" i="31"/>
  <c r="A186" i="31"/>
  <c r="N185" i="31"/>
  <c r="J185" i="31"/>
  <c r="G185" i="31"/>
  <c r="F185" i="31"/>
  <c r="E185" i="31"/>
  <c r="D185" i="31"/>
  <c r="A185" i="31"/>
  <c r="N184" i="31"/>
  <c r="J184" i="31"/>
  <c r="G184" i="31"/>
  <c r="F184" i="31"/>
  <c r="E184" i="31"/>
  <c r="D184" i="31"/>
  <c r="A184" i="31"/>
  <c r="N183" i="31"/>
  <c r="J183" i="31"/>
  <c r="G183" i="31"/>
  <c r="F183" i="31"/>
  <c r="E183" i="31"/>
  <c r="D183" i="31"/>
  <c r="A183" i="31"/>
  <c r="N182" i="31"/>
  <c r="G182" i="31"/>
  <c r="F182" i="31"/>
  <c r="E182" i="31"/>
  <c r="D182" i="31"/>
  <c r="A182" i="31"/>
  <c r="N181" i="31"/>
  <c r="G181" i="31"/>
  <c r="F181" i="31"/>
  <c r="E181" i="31"/>
  <c r="D181" i="31"/>
  <c r="A181" i="31"/>
  <c r="N180" i="31"/>
  <c r="J180" i="31"/>
  <c r="G180" i="31"/>
  <c r="F180" i="31"/>
  <c r="E180" i="31"/>
  <c r="D180" i="31"/>
  <c r="A180" i="31"/>
  <c r="N179" i="31"/>
  <c r="J179" i="31"/>
  <c r="G179" i="31"/>
  <c r="F179" i="31"/>
  <c r="E179" i="31"/>
  <c r="D179" i="31"/>
  <c r="A179" i="31"/>
  <c r="N178" i="31"/>
  <c r="G178" i="31"/>
  <c r="F178" i="31"/>
  <c r="E178" i="31"/>
  <c r="D178" i="31"/>
  <c r="A178" i="31"/>
  <c r="N177" i="31"/>
  <c r="G177" i="31"/>
  <c r="F177" i="31"/>
  <c r="E177" i="31"/>
  <c r="D177" i="31"/>
  <c r="A177" i="31"/>
  <c r="G176" i="31"/>
  <c r="F176" i="31"/>
  <c r="E176" i="31"/>
  <c r="D176" i="31"/>
  <c r="A176" i="31"/>
  <c r="D172" i="31"/>
  <c r="E171" i="31"/>
  <c r="E170" i="31"/>
  <c r="M168" i="31"/>
  <c r="L168" i="31"/>
  <c r="L169" i="31" s="1"/>
  <c r="L170" i="31" s="1"/>
  <c r="E168" i="31"/>
  <c r="AL97" i="31"/>
  <c r="AL98" i="31"/>
  <c r="AL99" i="31"/>
  <c r="AL100" i="31"/>
  <c r="AL101" i="31"/>
  <c r="AL102" i="31"/>
  <c r="AL103" i="31"/>
  <c r="AL104" i="31"/>
  <c r="AL105" i="31"/>
  <c r="AL106" i="31"/>
  <c r="AL107" i="31"/>
  <c r="AL108" i="31"/>
  <c r="AL89" i="31"/>
  <c r="AL90" i="31"/>
  <c r="AL91" i="31"/>
  <c r="AL92" i="31"/>
  <c r="AL93" i="31"/>
  <c r="AL94" i="31"/>
  <c r="AL95" i="31"/>
  <c r="AL96" i="31"/>
  <c r="AL80" i="31"/>
  <c r="AL81" i="31"/>
  <c r="AL82" i="31"/>
  <c r="AL83" i="31"/>
  <c r="AL84" i="31"/>
  <c r="AL85" i="31"/>
  <c r="AL86" i="31"/>
  <c r="AL87" i="31"/>
  <c r="AL88" i="31"/>
  <c r="AL71" i="31"/>
  <c r="AL72" i="31"/>
  <c r="AL73" i="31"/>
  <c r="AL74" i="31"/>
  <c r="AL75" i="31"/>
  <c r="AL76" i="31"/>
  <c r="AL77" i="31"/>
  <c r="AL78" i="31"/>
  <c r="AL79" i="31"/>
  <c r="AL70" i="31"/>
  <c r="AL69" i="31"/>
  <c r="AL68" i="31"/>
  <c r="A108" i="31"/>
  <c r="AL59" i="31"/>
  <c r="AL60" i="31"/>
  <c r="AL61" i="31"/>
  <c r="AL62" i="31"/>
  <c r="AL63" i="31"/>
  <c r="AL64" i="31"/>
  <c r="AL65" i="31"/>
  <c r="AL66" i="31"/>
  <c r="AL67" i="31"/>
  <c r="AL16" i="31"/>
  <c r="AL57" i="31"/>
  <c r="AL56" i="31"/>
  <c r="AL55" i="31"/>
  <c r="AL54" i="31"/>
  <c r="AL8" i="31"/>
  <c r="AL9" i="31"/>
  <c r="AL10" i="31"/>
  <c r="AL11" i="31"/>
  <c r="AL12" i="31"/>
  <c r="AL13" i="31"/>
  <c r="AL14" i="31"/>
  <c r="AL15" i="31"/>
  <c r="AL41" i="31"/>
  <c r="AL42" i="31"/>
  <c r="AL43" i="31"/>
  <c r="AL44" i="31"/>
  <c r="AL45" i="31"/>
  <c r="AL46" i="31"/>
  <c r="AL47" i="31"/>
  <c r="AL48" i="31"/>
  <c r="AL49" i="31"/>
  <c r="AL50" i="31"/>
  <c r="AL51" i="31"/>
  <c r="AL52" i="31"/>
  <c r="AL53" i="31"/>
  <c r="AL58" i="31"/>
  <c r="A66" i="31"/>
  <c r="AL40" i="31"/>
  <c r="AL39" i="31"/>
  <c r="AL29" i="31"/>
  <c r="AL28" i="31"/>
  <c r="AL27" i="31"/>
  <c r="AL30" i="31"/>
  <c r="AL21" i="31"/>
  <c r="AL18" i="31"/>
  <c r="AL19" i="31"/>
  <c r="AL20" i="31"/>
  <c r="AL22" i="31"/>
  <c r="AL23" i="31"/>
  <c r="AL24" i="31"/>
  <c r="AL25" i="31"/>
  <c r="AL26" i="31"/>
  <c r="AL31" i="31"/>
  <c r="AL32" i="31"/>
  <c r="AL33" i="31"/>
  <c r="AL34" i="31"/>
  <c r="AL35" i="31"/>
  <c r="AL36" i="31"/>
  <c r="AL37" i="31"/>
  <c r="AL38" i="31"/>
  <c r="AL17" i="31"/>
  <c r="A32" i="31"/>
  <c r="D160" i="31"/>
  <c r="D159" i="31"/>
  <c r="AL6" i="31"/>
  <c r="AL7" i="31"/>
  <c r="AL5" i="31"/>
  <c r="AL4" i="31"/>
  <c r="AL3" i="31"/>
  <c r="AL2" i="31"/>
  <c r="A16" i="31"/>
  <c r="AF29" i="1"/>
  <c r="AF40" i="1"/>
  <c r="AF39" i="1"/>
  <c r="AF37" i="1"/>
  <c r="AF36" i="1"/>
  <c r="AF14" i="1"/>
  <c r="AF13" i="1"/>
  <c r="A200" i="28"/>
  <c r="D200" i="28"/>
  <c r="E200" i="28"/>
  <c r="F200" i="28"/>
  <c r="G200" i="28"/>
  <c r="F199" i="28"/>
  <c r="G199" i="28"/>
  <c r="D199" i="28"/>
  <c r="E199" i="28"/>
  <c r="A199" i="28"/>
  <c r="A198" i="28"/>
  <c r="D198" i="28"/>
  <c r="E198" i="28"/>
  <c r="F198" i="28"/>
  <c r="G198" i="28"/>
  <c r="A197" i="28"/>
  <c r="D197" i="28"/>
  <c r="E197" i="28"/>
  <c r="F197" i="28"/>
  <c r="G197" i="28"/>
  <c r="A196" i="28"/>
  <c r="D196" i="28"/>
  <c r="E196" i="28"/>
  <c r="F196" i="28"/>
  <c r="G196" i="28"/>
  <c r="AL88" i="28"/>
  <c r="A95" i="28"/>
  <c r="Q63" i="1" s="1"/>
  <c r="AE39" i="1"/>
  <c r="AE37" i="1"/>
  <c r="AE13" i="1"/>
  <c r="AE14" i="1"/>
  <c r="AL87" i="28"/>
  <c r="AI88" i="28"/>
  <c r="AI87" i="28"/>
  <c r="AJ88" i="28"/>
  <c r="AJ87" i="28"/>
  <c r="AL85" i="28"/>
  <c r="AL84" i="28"/>
  <c r="AI85" i="28"/>
  <c r="AI84" i="28"/>
  <c r="AJ85" i="28"/>
  <c r="AJ84" i="28"/>
  <c r="AL82" i="28"/>
  <c r="AL81" i="28"/>
  <c r="AI82" i="28"/>
  <c r="AI81" i="28"/>
  <c r="AJ82" i="28"/>
  <c r="AJ81" i="28"/>
  <c r="AL77" i="28"/>
  <c r="AL76" i="28"/>
  <c r="AL75" i="28"/>
  <c r="AI77" i="28"/>
  <c r="AI76" i="28"/>
  <c r="AI75" i="28"/>
  <c r="AJ77" i="28"/>
  <c r="AJ76" i="28"/>
  <c r="AJ75" i="28"/>
  <c r="AI74" i="28"/>
  <c r="AJ74" i="28"/>
  <c r="AJ73" i="28"/>
  <c r="AJ72" i="28"/>
  <c r="AJ71" i="28"/>
  <c r="AJ70" i="28"/>
  <c r="AL74" i="28"/>
  <c r="AL72" i="28"/>
  <c r="AL71" i="28"/>
  <c r="AI72" i="28"/>
  <c r="AI71" i="28"/>
  <c r="AJ60" i="28"/>
  <c r="AL60" i="28"/>
  <c r="AI60" i="28"/>
  <c r="AL51" i="28"/>
  <c r="AL52" i="28"/>
  <c r="AJ52" i="28"/>
  <c r="AJ51" i="28"/>
  <c r="AJ50" i="28"/>
  <c r="AI52" i="28"/>
  <c r="AI51" i="28"/>
  <c r="A54" i="28"/>
  <c r="P63" i="1" s="1"/>
  <c r="J179" i="28"/>
  <c r="J180" i="28"/>
  <c r="J183" i="28"/>
  <c r="J184" i="28"/>
  <c r="J185" i="28"/>
  <c r="J186" i="28"/>
  <c r="J187" i="28"/>
  <c r="J188" i="28"/>
  <c r="J189" i="28"/>
  <c r="J190" i="28"/>
  <c r="J191" i="28"/>
  <c r="J192" i="28"/>
  <c r="J194" i="28"/>
  <c r="J195" i="28"/>
  <c r="J196" i="28"/>
  <c r="J197" i="28"/>
  <c r="J198" i="28"/>
  <c r="J199" i="28"/>
  <c r="J201" i="28"/>
  <c r="A193" i="28"/>
  <c r="G193" i="28"/>
  <c r="F193" i="28"/>
  <c r="E193" i="28"/>
  <c r="D193" i="28"/>
  <c r="AL44" i="28"/>
  <c r="AL43" i="28"/>
  <c r="AL42" i="28"/>
  <c r="AL41" i="28"/>
  <c r="AI44" i="28"/>
  <c r="AI43" i="28"/>
  <c r="AI42" i="28"/>
  <c r="AI41" i="28"/>
  <c r="AJ44" i="28"/>
  <c r="AJ43" i="28"/>
  <c r="AJ42" i="28"/>
  <c r="AJ41" i="28"/>
  <c r="AI11" i="28"/>
  <c r="AI12" i="28"/>
  <c r="AI13" i="28"/>
  <c r="AI14" i="28"/>
  <c r="AI15" i="28"/>
  <c r="AI16" i="28"/>
  <c r="AI17" i="28"/>
  <c r="AI18" i="28"/>
  <c r="AI19" i="28"/>
  <c r="AI20" i="28"/>
  <c r="AI21" i="28"/>
  <c r="AI22" i="28"/>
  <c r="AI23" i="28"/>
  <c r="AI24" i="28"/>
  <c r="AI25" i="28"/>
  <c r="AI26" i="28"/>
  <c r="AI27" i="28"/>
  <c r="AI28" i="28"/>
  <c r="AI29" i="28"/>
  <c r="AI30" i="28"/>
  <c r="AI31" i="28"/>
  <c r="AI32" i="28"/>
  <c r="AI33" i="28"/>
  <c r="AI34" i="28"/>
  <c r="AI35" i="28"/>
  <c r="AI36" i="28"/>
  <c r="AI37" i="28"/>
  <c r="AI38" i="28"/>
  <c r="AI39" i="28"/>
  <c r="AI40" i="28"/>
  <c r="AI45" i="28"/>
  <c r="AI46" i="28"/>
  <c r="AI47" i="28"/>
  <c r="AI48" i="28"/>
  <c r="AI49" i="28"/>
  <c r="AJ12" i="28"/>
  <c r="AJ13" i="28"/>
  <c r="AJ14" i="28"/>
  <c r="AJ15" i="28"/>
  <c r="AJ16" i="28"/>
  <c r="AJ17" i="28"/>
  <c r="AJ18" i="28"/>
  <c r="AJ19" i="28"/>
  <c r="AJ20" i="28"/>
  <c r="AJ21" i="28"/>
  <c r="AJ22" i="28"/>
  <c r="AJ23" i="28"/>
  <c r="AJ24" i="28"/>
  <c r="AJ25" i="28"/>
  <c r="AJ26" i="28"/>
  <c r="AJ27" i="28"/>
  <c r="AJ28" i="28"/>
  <c r="AJ29" i="28"/>
  <c r="AJ30" i="28"/>
  <c r="AJ31" i="28"/>
  <c r="AJ32" i="28"/>
  <c r="AJ33" i="28"/>
  <c r="AJ34" i="28"/>
  <c r="AJ35" i="28"/>
  <c r="AJ36" i="28"/>
  <c r="AJ37" i="28"/>
  <c r="AJ38" i="28"/>
  <c r="AJ39" i="28"/>
  <c r="AJ40" i="28"/>
  <c r="AJ45" i="28"/>
  <c r="AJ46" i="28"/>
  <c r="AJ47" i="28"/>
  <c r="AJ48" i="28"/>
  <c r="AJ49" i="28"/>
  <c r="AJ53" i="28"/>
  <c r="AJ54" i="28"/>
  <c r="AJ55" i="28"/>
  <c r="A31" i="28"/>
  <c r="O63" i="1" s="1"/>
  <c r="AL17" i="28"/>
  <c r="AL16" i="28"/>
  <c r="A12" i="28"/>
  <c r="N63" i="1" s="1"/>
  <c r="AF5" i="20"/>
  <c r="AF6" i="20"/>
  <c r="AF7" i="20"/>
  <c r="AF8" i="20"/>
  <c r="AF9" i="20"/>
  <c r="AF10" i="20"/>
  <c r="AF11" i="20"/>
  <c r="AF12" i="20"/>
  <c r="AF13" i="20"/>
  <c r="AF14" i="20"/>
  <c r="AF15" i="20"/>
  <c r="AF16" i="20"/>
  <c r="AF17" i="20"/>
  <c r="AF18" i="20"/>
  <c r="AF19" i="20"/>
  <c r="AF20" i="20"/>
  <c r="AF21" i="20"/>
  <c r="AF22" i="20"/>
  <c r="AF23" i="20"/>
  <c r="AF24" i="20"/>
  <c r="AF25" i="20"/>
  <c r="AF26" i="20"/>
  <c r="AF27" i="20"/>
  <c r="AF28" i="20"/>
  <c r="AF29" i="20"/>
  <c r="AF30" i="20"/>
  <c r="AF31" i="20"/>
  <c r="AF32" i="20"/>
  <c r="AF33" i="20"/>
  <c r="AF34" i="20"/>
  <c r="AF35" i="20"/>
  <c r="AF36" i="20"/>
  <c r="AF37" i="20"/>
  <c r="AF38" i="20"/>
  <c r="AF39" i="20"/>
  <c r="AF40" i="20"/>
  <c r="AF41" i="20"/>
  <c r="AF42" i="20"/>
  <c r="AF43" i="20"/>
  <c r="AF44" i="20"/>
  <c r="AF45" i="20"/>
  <c r="AF46" i="20"/>
  <c r="AF47" i="20"/>
  <c r="AF48" i="20"/>
  <c r="AF49" i="20"/>
  <c r="AF50" i="20"/>
  <c r="AF51" i="20"/>
  <c r="AF52" i="20"/>
  <c r="AF53" i="20"/>
  <c r="AF54" i="20"/>
  <c r="AF55" i="20"/>
  <c r="AF56" i="20"/>
  <c r="AF57" i="20"/>
  <c r="AF58" i="20"/>
  <c r="AF59" i="20"/>
  <c r="AF60" i="20"/>
  <c r="AF61" i="20"/>
  <c r="AF62" i="20"/>
  <c r="AF63" i="20"/>
  <c r="AF64" i="20"/>
  <c r="AF65" i="20"/>
  <c r="AF66" i="20"/>
  <c r="AF67" i="20"/>
  <c r="AF68" i="20"/>
  <c r="AF69" i="20"/>
  <c r="AF70" i="20"/>
  <c r="AF71" i="20"/>
  <c r="AF72" i="20"/>
  <c r="AF73" i="20"/>
  <c r="AF74" i="20"/>
  <c r="AF75" i="20"/>
  <c r="AF76" i="20"/>
  <c r="AF77" i="20"/>
  <c r="AF78" i="20"/>
  <c r="AF79" i="20"/>
  <c r="AF80" i="20"/>
  <c r="AF81" i="20"/>
  <c r="AF82" i="20"/>
  <c r="AF83" i="20"/>
  <c r="AF84" i="20"/>
  <c r="AF85" i="20"/>
  <c r="AF86" i="20"/>
  <c r="AF87" i="20"/>
  <c r="AF88" i="20"/>
  <c r="AF89" i="20"/>
  <c r="AF90" i="20"/>
  <c r="AF91" i="20"/>
  <c r="AF92" i="20"/>
  <c r="AF93" i="20"/>
  <c r="AF94" i="20"/>
  <c r="AF95" i="20"/>
  <c r="AF96" i="20"/>
  <c r="AF97" i="20"/>
  <c r="AF98" i="20"/>
  <c r="AF99" i="20"/>
  <c r="AF100" i="20"/>
  <c r="AF101" i="20"/>
  <c r="AF102" i="20"/>
  <c r="AF103" i="20"/>
  <c r="AF104" i="20"/>
  <c r="AF105" i="20"/>
  <c r="AF106" i="20"/>
  <c r="AF107" i="20"/>
  <c r="AF108" i="20"/>
  <c r="AF109" i="20"/>
  <c r="AF110" i="20"/>
  <c r="AF111" i="20"/>
  <c r="AF112" i="20"/>
  <c r="AF113" i="20"/>
  <c r="AF114" i="20"/>
  <c r="AF115" i="20"/>
  <c r="AF116" i="20"/>
  <c r="AF117" i="20"/>
  <c r="AF118" i="20"/>
  <c r="AF119" i="20"/>
  <c r="AF120" i="20"/>
  <c r="AF121" i="20"/>
  <c r="AF4" i="20"/>
  <c r="AF3" i="20"/>
  <c r="AF2" i="20"/>
  <c r="AF3" i="21"/>
  <c r="AF4" i="21"/>
  <c r="AF5" i="21"/>
  <c r="AF6" i="21"/>
  <c r="AF7" i="21"/>
  <c r="AF8" i="21"/>
  <c r="AF9" i="21"/>
  <c r="AF10" i="21"/>
  <c r="AF11" i="21"/>
  <c r="AF12" i="21"/>
  <c r="AF13" i="21"/>
  <c r="AF14" i="21"/>
  <c r="AF15" i="21"/>
  <c r="AF16" i="21"/>
  <c r="AF17" i="21"/>
  <c r="AF18" i="21"/>
  <c r="AF19" i="21"/>
  <c r="AF20" i="21"/>
  <c r="AF21" i="21"/>
  <c r="AF22" i="21"/>
  <c r="AF23" i="21"/>
  <c r="AF24" i="21"/>
  <c r="AF25" i="21"/>
  <c r="AF26" i="21"/>
  <c r="AF27" i="21"/>
  <c r="AF28" i="21"/>
  <c r="AF29" i="21"/>
  <c r="AF30" i="21"/>
  <c r="AF31" i="21"/>
  <c r="AF32" i="21"/>
  <c r="AF33" i="21"/>
  <c r="AF34" i="21"/>
  <c r="AF35" i="21"/>
  <c r="AF36" i="21"/>
  <c r="AF37" i="21"/>
  <c r="AF38" i="21"/>
  <c r="AF39" i="21"/>
  <c r="AF40" i="21"/>
  <c r="AF41" i="21"/>
  <c r="AF42" i="21"/>
  <c r="AF43" i="21"/>
  <c r="AF44" i="21"/>
  <c r="AF45" i="21"/>
  <c r="AF46" i="21"/>
  <c r="AF47" i="21"/>
  <c r="AF48" i="21"/>
  <c r="AF49" i="21"/>
  <c r="AF50" i="21"/>
  <c r="AF51" i="21"/>
  <c r="AF52" i="21"/>
  <c r="AF53" i="21"/>
  <c r="AF54" i="21"/>
  <c r="AF55" i="21"/>
  <c r="AF56" i="21"/>
  <c r="AF57" i="21"/>
  <c r="AF58" i="21"/>
  <c r="AF59" i="21"/>
  <c r="AF60" i="21"/>
  <c r="AF61" i="21"/>
  <c r="AF62" i="21"/>
  <c r="AF63" i="21"/>
  <c r="AF64" i="21"/>
  <c r="AF65" i="21"/>
  <c r="AF66" i="21"/>
  <c r="AF67" i="21"/>
  <c r="AF68" i="21"/>
  <c r="AF69" i="21"/>
  <c r="AF70" i="21"/>
  <c r="AF71" i="21"/>
  <c r="AF72" i="21"/>
  <c r="AF73" i="21"/>
  <c r="AF74" i="21"/>
  <c r="AF75" i="21"/>
  <c r="AF76" i="21"/>
  <c r="AF77" i="21"/>
  <c r="AF78" i="21"/>
  <c r="AF79" i="21"/>
  <c r="AF80" i="21"/>
  <c r="AF81" i="21"/>
  <c r="AF82" i="21"/>
  <c r="AF83" i="21"/>
  <c r="AF84" i="21"/>
  <c r="AF85" i="21"/>
  <c r="AF2" i="21"/>
  <c r="AL2" i="22"/>
  <c r="AD39" i="1"/>
  <c r="AD37" i="1"/>
  <c r="AD13" i="1"/>
  <c r="AD14" i="1"/>
  <c r="P82" i="4"/>
  <c r="P114" i="4" s="1"/>
  <c r="Q82" i="4"/>
  <c r="Q114" i="4" s="1"/>
  <c r="R82" i="4"/>
  <c r="S82" i="4"/>
  <c r="S114" i="4" s="1"/>
  <c r="T82" i="4"/>
  <c r="T114" i="4" s="1"/>
  <c r="U82" i="4"/>
  <c r="V82" i="4"/>
  <c r="W82" i="4"/>
  <c r="X82" i="4"/>
  <c r="Y82" i="4"/>
  <c r="Z82" i="4"/>
  <c r="AA82" i="4"/>
  <c r="AA114" i="4" s="1"/>
  <c r="AB82" i="4"/>
  <c r="AC82" i="4"/>
  <c r="AD82" i="4"/>
  <c r="AD114" i="4" s="1"/>
  <c r="R114" i="4"/>
  <c r="U114" i="4"/>
  <c r="V114" i="4"/>
  <c r="W114" i="4"/>
  <c r="X114" i="4"/>
  <c r="Y114" i="4"/>
  <c r="Z114" i="4"/>
  <c r="AB114" i="4"/>
  <c r="AC114" i="4"/>
  <c r="O7" i="4"/>
  <c r="O8" i="4"/>
  <c r="O9" i="4"/>
  <c r="M9" i="4" s="1"/>
  <c r="O10" i="4"/>
  <c r="O11" i="4"/>
  <c r="O12" i="4"/>
  <c r="O13" i="4"/>
  <c r="O14" i="4"/>
  <c r="O15" i="4"/>
  <c r="O16" i="4"/>
  <c r="O17" i="4"/>
  <c r="O18" i="4"/>
  <c r="O19" i="4"/>
  <c r="O20" i="4"/>
  <c r="O21" i="4"/>
  <c r="O22" i="4"/>
  <c r="O23" i="4"/>
  <c r="O24" i="4"/>
  <c r="O97" i="4" s="1"/>
  <c r="O25" i="4"/>
  <c r="O26" i="4"/>
  <c r="O27" i="4"/>
  <c r="O28" i="4"/>
  <c r="O29" i="4"/>
  <c r="O30" i="4"/>
  <c r="O31" i="4"/>
  <c r="O32" i="4"/>
  <c r="O33" i="4"/>
  <c r="O34" i="4"/>
  <c r="O35" i="4"/>
  <c r="O36" i="4"/>
  <c r="O37" i="4"/>
  <c r="O38" i="4"/>
  <c r="O39" i="4"/>
  <c r="O41" i="4"/>
  <c r="O42" i="4"/>
  <c r="O43" i="4"/>
  <c r="O44" i="4"/>
  <c r="O45" i="4"/>
  <c r="O47" i="4"/>
  <c r="O48" i="4"/>
  <c r="O49" i="4"/>
  <c r="O50" i="4"/>
  <c r="O51" i="4"/>
  <c r="O52" i="4"/>
  <c r="O53" i="4"/>
  <c r="O104" i="4" s="1"/>
  <c r="O54" i="4"/>
  <c r="O55" i="4"/>
  <c r="O57" i="4"/>
  <c r="O59" i="4"/>
  <c r="O60" i="4"/>
  <c r="O62" i="4"/>
  <c r="O63" i="4"/>
  <c r="O64" i="4"/>
  <c r="O65" i="4"/>
  <c r="O66" i="4"/>
  <c r="O70" i="4"/>
  <c r="O73" i="4"/>
  <c r="O76" i="4"/>
  <c r="O78" i="4"/>
  <c r="O79" i="4"/>
  <c r="O80" i="4"/>
  <c r="O6" i="4"/>
  <c r="AL3" i="22"/>
  <c r="AL4" i="22"/>
  <c r="AL5" i="22"/>
  <c r="AL6" i="22"/>
  <c r="AL7" i="22"/>
  <c r="AL8" i="22"/>
  <c r="AL9" i="22"/>
  <c r="AL10" i="22"/>
  <c r="AL11" i="22"/>
  <c r="AL12" i="22"/>
  <c r="AL13" i="22"/>
  <c r="AL14" i="22"/>
  <c r="AL15" i="22"/>
  <c r="AL16" i="22"/>
  <c r="AL17" i="22"/>
  <c r="AL18" i="22"/>
  <c r="AL19" i="22"/>
  <c r="AL20" i="22"/>
  <c r="AL21" i="22"/>
  <c r="AL22" i="22"/>
  <c r="AL23" i="22"/>
  <c r="AL24" i="22"/>
  <c r="AL26" i="22"/>
  <c r="AL27" i="22"/>
  <c r="AL28" i="22"/>
  <c r="AL29" i="22"/>
  <c r="AL30" i="22"/>
  <c r="AL31" i="22"/>
  <c r="AL32" i="22"/>
  <c r="AL33" i="22"/>
  <c r="AL34" i="22"/>
  <c r="AL35" i="22"/>
  <c r="AL36" i="22"/>
  <c r="AL37" i="22"/>
  <c r="AL38" i="22"/>
  <c r="AL39"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L64" i="22"/>
  <c r="AL65" i="22"/>
  <c r="AL66" i="22"/>
  <c r="AL67" i="22"/>
  <c r="AL68" i="22"/>
  <c r="AL69" i="22"/>
  <c r="AL70" i="22"/>
  <c r="AL71" i="22"/>
  <c r="AL72" i="22"/>
  <c r="E263" i="28"/>
  <c r="D263" i="28"/>
  <c r="F262" i="28"/>
  <c r="E262" i="28"/>
  <c r="D262" i="28"/>
  <c r="E261" i="28"/>
  <c r="D261" i="28"/>
  <c r="F255" i="28"/>
  <c r="E255" i="28"/>
  <c r="D255" i="28"/>
  <c r="F254" i="28"/>
  <c r="E254" i="28"/>
  <c r="D254" i="28"/>
  <c r="F253" i="28"/>
  <c r="E253" i="28"/>
  <c r="D253" i="28"/>
  <c r="F252" i="28"/>
  <c r="E252" i="28"/>
  <c r="D252" i="28"/>
  <c r="F251" i="28"/>
  <c r="E251" i="28"/>
  <c r="D251" i="28"/>
  <c r="F250" i="28"/>
  <c r="E250" i="28"/>
  <c r="D250" i="28"/>
  <c r="F249" i="28"/>
  <c r="E249" i="28"/>
  <c r="D249" i="28"/>
  <c r="F248" i="28"/>
  <c r="E248" i="28"/>
  <c r="D248" i="28"/>
  <c r="F244" i="28"/>
  <c r="E244" i="28"/>
  <c r="D244" i="28"/>
  <c r="F243" i="28"/>
  <c r="E243" i="28"/>
  <c r="D243" i="28"/>
  <c r="E242" i="28"/>
  <c r="D242" i="28"/>
  <c r="F241" i="28"/>
  <c r="E241" i="28"/>
  <c r="D241" i="28"/>
  <c r="F240" i="28"/>
  <c r="E240" i="28"/>
  <c r="D240" i="28"/>
  <c r="F239" i="28"/>
  <c r="E239" i="28"/>
  <c r="D239" i="28"/>
  <c r="F238" i="28"/>
  <c r="E238" i="28"/>
  <c r="D238" i="28"/>
  <c r="F237" i="28"/>
  <c r="E237" i="28"/>
  <c r="D237" i="28"/>
  <c r="F236" i="28"/>
  <c r="E236" i="28"/>
  <c r="D236" i="28"/>
  <c r="F235" i="28"/>
  <c r="E235" i="28"/>
  <c r="D235" i="28"/>
  <c r="F234" i="28"/>
  <c r="E234" i="28"/>
  <c r="D234" i="28"/>
  <c r="E225" i="28"/>
  <c r="E221" i="28"/>
  <c r="E218" i="28"/>
  <c r="D211" i="28"/>
  <c r="G203" i="28"/>
  <c r="F203" i="28"/>
  <c r="E203" i="28"/>
  <c r="D203" i="28"/>
  <c r="G202" i="28"/>
  <c r="F202" i="28"/>
  <c r="E202" i="28"/>
  <c r="D202" i="28"/>
  <c r="A202" i="28"/>
  <c r="G201" i="28"/>
  <c r="F201" i="28"/>
  <c r="E201" i="28"/>
  <c r="D201" i="28"/>
  <c r="A201" i="28"/>
  <c r="G195" i="28"/>
  <c r="F195" i="28"/>
  <c r="E195" i="28"/>
  <c r="D195" i="28"/>
  <c r="A195" i="28"/>
  <c r="G194" i="28"/>
  <c r="F194" i="28"/>
  <c r="E194" i="28"/>
  <c r="D194" i="28"/>
  <c r="A194" i="28"/>
  <c r="G192" i="28"/>
  <c r="F192" i="28"/>
  <c r="E192" i="28"/>
  <c r="D192" i="28"/>
  <c r="A192" i="28"/>
  <c r="G191" i="28"/>
  <c r="F191" i="28"/>
  <c r="E191" i="28"/>
  <c r="D191" i="28"/>
  <c r="A191" i="28"/>
  <c r="G190" i="28"/>
  <c r="F190" i="28"/>
  <c r="E190" i="28"/>
  <c r="D190" i="28"/>
  <c r="A190" i="28"/>
  <c r="N189" i="28"/>
  <c r="G189" i="28"/>
  <c r="F189" i="28"/>
  <c r="E189" i="28"/>
  <c r="D189" i="28"/>
  <c r="A189" i="28"/>
  <c r="N188" i="28"/>
  <c r="G188" i="28"/>
  <c r="F188" i="28"/>
  <c r="E188" i="28"/>
  <c r="D188" i="28"/>
  <c r="A188" i="28"/>
  <c r="N187" i="28"/>
  <c r="G187" i="28"/>
  <c r="F187" i="28"/>
  <c r="E187" i="28"/>
  <c r="D187" i="28"/>
  <c r="A187" i="28"/>
  <c r="N186" i="28"/>
  <c r="G186" i="28"/>
  <c r="F186" i="28"/>
  <c r="E186" i="28"/>
  <c r="D186" i="28"/>
  <c r="A186" i="28"/>
  <c r="G185" i="28"/>
  <c r="F185" i="28"/>
  <c r="E185" i="28"/>
  <c r="D185" i="28"/>
  <c r="A185" i="28"/>
  <c r="N184" i="28"/>
  <c r="G184" i="28"/>
  <c r="F184" i="28"/>
  <c r="E184" i="28"/>
  <c r="D184" i="28"/>
  <c r="A184" i="28"/>
  <c r="G183" i="28"/>
  <c r="F183" i="28"/>
  <c r="E183" i="28"/>
  <c r="D183" i="28"/>
  <c r="A183" i="28"/>
  <c r="N182" i="28"/>
  <c r="G182" i="28"/>
  <c r="F182" i="28"/>
  <c r="E182" i="28"/>
  <c r="D182" i="28"/>
  <c r="A182" i="28"/>
  <c r="N181" i="28"/>
  <c r="G181" i="28"/>
  <c r="F181" i="28"/>
  <c r="E181" i="28"/>
  <c r="D181" i="28"/>
  <c r="A181" i="28"/>
  <c r="N180" i="28"/>
  <c r="G180" i="28"/>
  <c r="F180" i="28"/>
  <c r="E180" i="28"/>
  <c r="D180" i="28"/>
  <c r="A180" i="28"/>
  <c r="N179" i="28"/>
  <c r="G179" i="28"/>
  <c r="F179" i="28"/>
  <c r="E179" i="28"/>
  <c r="D179" i="28"/>
  <c r="A179" i="28"/>
  <c r="G178" i="28"/>
  <c r="F178" i="28"/>
  <c r="E178" i="28"/>
  <c r="D178" i="28"/>
  <c r="A178" i="28"/>
  <c r="N177" i="28"/>
  <c r="G177" i="28"/>
  <c r="F177" i="28"/>
  <c r="E177" i="28"/>
  <c r="D177" i="28"/>
  <c r="A177" i="28"/>
  <c r="G176" i="28"/>
  <c r="F176" i="28"/>
  <c r="E176" i="28"/>
  <c r="D176" i="28"/>
  <c r="A176" i="28"/>
  <c r="L173" i="28"/>
  <c r="E171" i="28"/>
  <c r="E170" i="28"/>
  <c r="N168" i="28"/>
  <c r="N169" i="28" s="1"/>
  <c r="N170" i="28" s="1"/>
  <c r="L168" i="28"/>
  <c r="L169" i="28" s="1"/>
  <c r="L170" i="28" s="1"/>
  <c r="E168" i="28"/>
  <c r="D146" i="28"/>
  <c r="D117" i="28"/>
  <c r="D116" i="28"/>
  <c r="AL95" i="28"/>
  <c r="AJ95" i="28"/>
  <c r="AI95" i="28"/>
  <c r="AL94" i="28"/>
  <c r="K186" i="28" s="1"/>
  <c r="AJ94" i="28"/>
  <c r="AI94" i="28"/>
  <c r="AL93" i="28"/>
  <c r="AJ93" i="28"/>
  <c r="AI93" i="28"/>
  <c r="AL92" i="28"/>
  <c r="AJ92" i="28"/>
  <c r="AI92" i="28"/>
  <c r="AL91" i="28"/>
  <c r="AJ91" i="28"/>
  <c r="AI91" i="28"/>
  <c r="AL90" i="28"/>
  <c r="AJ90" i="28"/>
  <c r="AI90" i="28"/>
  <c r="AL89" i="28"/>
  <c r="K185" i="28" s="1"/>
  <c r="AJ89" i="28"/>
  <c r="AI89" i="28"/>
  <c r="AL86" i="28"/>
  <c r="AJ86" i="28"/>
  <c r="AI86" i="28"/>
  <c r="AL83" i="28"/>
  <c r="AJ83" i="28"/>
  <c r="AI83" i="28"/>
  <c r="AL80" i="28"/>
  <c r="AJ80" i="28"/>
  <c r="AI80" i="28"/>
  <c r="AL79" i="28"/>
  <c r="AJ79" i="28"/>
  <c r="AI79" i="28"/>
  <c r="AL78" i="28"/>
  <c r="AJ78" i="28"/>
  <c r="AI78" i="28"/>
  <c r="AL73" i="28"/>
  <c r="K191" i="28" s="1"/>
  <c r="AI73" i="28"/>
  <c r="AL70" i="28"/>
  <c r="AI70" i="28"/>
  <c r="AL69" i="28"/>
  <c r="AJ69" i="28"/>
  <c r="AI69" i="28"/>
  <c r="AL68" i="28"/>
  <c r="AJ68" i="28"/>
  <c r="AI68" i="28"/>
  <c r="AL67" i="28"/>
  <c r="AJ67" i="28"/>
  <c r="AI67" i="28"/>
  <c r="AL66" i="28"/>
  <c r="AJ66" i="28"/>
  <c r="AI66" i="28"/>
  <c r="AL65" i="28"/>
  <c r="AJ65" i="28"/>
  <c r="AI65" i="28"/>
  <c r="AL64" i="28"/>
  <c r="AJ64" i="28"/>
  <c r="AI64" i="28"/>
  <c r="AL63" i="28"/>
  <c r="AJ63" i="28"/>
  <c r="AI63" i="28"/>
  <c r="AL62" i="28"/>
  <c r="AJ62" i="28"/>
  <c r="AI62" i="28"/>
  <c r="AL61" i="28"/>
  <c r="AJ61" i="28"/>
  <c r="AI61" i="28"/>
  <c r="AL59" i="28"/>
  <c r="AJ59" i="28"/>
  <c r="AI59" i="28"/>
  <c r="AL58" i="28"/>
  <c r="AJ58" i="28"/>
  <c r="AI58" i="28"/>
  <c r="AL57" i="28"/>
  <c r="K189" i="28" s="1"/>
  <c r="AJ57" i="28"/>
  <c r="AI57" i="28"/>
  <c r="AL56" i="28"/>
  <c r="AJ56" i="28"/>
  <c r="AI56" i="28"/>
  <c r="AL55" i="28"/>
  <c r="AI55" i="28"/>
  <c r="AL54" i="28"/>
  <c r="AI54" i="28"/>
  <c r="AL53" i="28"/>
  <c r="AI53" i="28"/>
  <c r="AL50" i="28"/>
  <c r="AI50" i="28"/>
  <c r="AL49" i="28"/>
  <c r="AL48" i="28"/>
  <c r="AL47" i="28"/>
  <c r="AL46" i="28"/>
  <c r="AL45" i="28"/>
  <c r="AL40" i="28"/>
  <c r="AL39" i="28"/>
  <c r="AL38" i="28"/>
  <c r="AL37" i="28"/>
  <c r="AL36" i="28"/>
  <c r="AL35" i="28"/>
  <c r="AL34" i="28"/>
  <c r="AL33" i="28"/>
  <c r="AL32" i="28"/>
  <c r="AL31" i="28"/>
  <c r="AL30" i="28"/>
  <c r="AL29" i="28"/>
  <c r="AL28" i="28"/>
  <c r="AL27" i="28"/>
  <c r="AL26" i="28"/>
  <c r="AL25" i="28"/>
  <c r="AL24" i="28"/>
  <c r="AL23" i="28"/>
  <c r="AL22" i="28"/>
  <c r="AL21" i="28"/>
  <c r="AL20" i="28"/>
  <c r="AL19" i="28"/>
  <c r="AL18" i="28"/>
  <c r="N185" i="28"/>
  <c r="AL15" i="28"/>
  <c r="AL14" i="28"/>
  <c r="N178" i="28"/>
  <c r="AL13" i="28"/>
  <c r="AL12" i="28"/>
  <c r="AL11" i="28"/>
  <c r="AJ11" i="28"/>
  <c r="AL10" i="28"/>
  <c r="AJ10" i="28"/>
  <c r="AI10" i="28"/>
  <c r="AL9" i="28"/>
  <c r="AJ9" i="28"/>
  <c r="AI9" i="28"/>
  <c r="AL8" i="28"/>
  <c r="AJ8" i="28"/>
  <c r="AI8" i="28"/>
  <c r="E223" i="28"/>
  <c r="AL7" i="28"/>
  <c r="AJ7" i="28"/>
  <c r="AI7" i="28"/>
  <c r="AL6" i="28"/>
  <c r="AJ6" i="28"/>
  <c r="AI6" i="28"/>
  <c r="AL5" i="28"/>
  <c r="AJ5" i="28"/>
  <c r="AI5" i="28"/>
  <c r="AL4" i="28"/>
  <c r="AJ4" i="28"/>
  <c r="AI4" i="28"/>
  <c r="AL3" i="28"/>
  <c r="AJ3" i="28"/>
  <c r="AI3" i="28"/>
  <c r="AL2" i="28"/>
  <c r="AJ2" i="28"/>
  <c r="AI2" i="28"/>
  <c r="K167" i="27"/>
  <c r="K162" i="27"/>
  <c r="K158" i="27"/>
  <c r="AL9" i="27"/>
  <c r="AL10" i="27"/>
  <c r="AL11" i="27"/>
  <c r="AL12" i="27"/>
  <c r="AL13" i="27"/>
  <c r="K169" i="27" s="1"/>
  <c r="AL14" i="27"/>
  <c r="AL15" i="27"/>
  <c r="K175" i="27" s="1"/>
  <c r="AL16" i="27"/>
  <c r="AL17" i="27"/>
  <c r="AL18" i="27"/>
  <c r="AL19" i="27"/>
  <c r="AL20" i="27"/>
  <c r="AL21" i="27"/>
  <c r="AL22" i="27"/>
  <c r="AL23" i="27"/>
  <c r="AL24" i="27"/>
  <c r="AL25" i="27"/>
  <c r="AL26" i="27"/>
  <c r="AL27" i="27"/>
  <c r="AL28" i="27"/>
  <c r="AL29" i="27"/>
  <c r="AL30" i="27"/>
  <c r="AL31" i="27"/>
  <c r="AL32" i="27"/>
  <c r="AL33" i="27"/>
  <c r="K161" i="27" s="1"/>
  <c r="AL34" i="27"/>
  <c r="AL35" i="27"/>
  <c r="AL36" i="27"/>
  <c r="AL37" i="27"/>
  <c r="AL38" i="27"/>
  <c r="AL39" i="27"/>
  <c r="AL40" i="27"/>
  <c r="AL41" i="27"/>
  <c r="AL42" i="27"/>
  <c r="AL43" i="27"/>
  <c r="AL44" i="27"/>
  <c r="AL45" i="27"/>
  <c r="AL46" i="27"/>
  <c r="AL47" i="27"/>
  <c r="AL48" i="27"/>
  <c r="AL49" i="27"/>
  <c r="K172" i="27" s="1"/>
  <c r="AL50" i="27"/>
  <c r="AL51" i="27"/>
  <c r="AL52" i="27"/>
  <c r="K174" i="27" s="1"/>
  <c r="AL53" i="27"/>
  <c r="AL54" i="27"/>
  <c r="AL55" i="27"/>
  <c r="AL56" i="27"/>
  <c r="AL57" i="27"/>
  <c r="AL58" i="27"/>
  <c r="AL59" i="27"/>
  <c r="AL60" i="27"/>
  <c r="AL61" i="27"/>
  <c r="AL62" i="27"/>
  <c r="AL63" i="27"/>
  <c r="AL64" i="27"/>
  <c r="AL65" i="27"/>
  <c r="AL66" i="27"/>
  <c r="AL67" i="27"/>
  <c r="AL68" i="27"/>
  <c r="AL69" i="27"/>
  <c r="AL70" i="27"/>
  <c r="AL71" i="27"/>
  <c r="AL72" i="27"/>
  <c r="AL73" i="27"/>
  <c r="AL74" i="27"/>
  <c r="AL75" i="27"/>
  <c r="AL76" i="27"/>
  <c r="AL77" i="27"/>
  <c r="AL78" i="27"/>
  <c r="AL79" i="27"/>
  <c r="AL3" i="27"/>
  <c r="AL4" i="27"/>
  <c r="AL5" i="27"/>
  <c r="AL6" i="27"/>
  <c r="AL7" i="27"/>
  <c r="AL8" i="27"/>
  <c r="AL2" i="27"/>
  <c r="E157" i="27"/>
  <c r="N168" i="27"/>
  <c r="N170" i="27"/>
  <c r="N160" i="27"/>
  <c r="N161" i="27"/>
  <c r="N162" i="27"/>
  <c r="N163" i="27"/>
  <c r="N165" i="27"/>
  <c r="N167" i="27"/>
  <c r="N169" i="27"/>
  <c r="N158" i="27"/>
  <c r="D185" i="27"/>
  <c r="J174" i="27"/>
  <c r="J172" i="27"/>
  <c r="J176" i="27"/>
  <c r="O82" i="4" s="1"/>
  <c r="O114" i="4" s="1"/>
  <c r="H27" i="27"/>
  <c r="A79" i="27"/>
  <c r="Q64" i="1" s="1"/>
  <c r="A28" i="27"/>
  <c r="O64" i="1" s="1"/>
  <c r="A49" i="27"/>
  <c r="P64" i="1" s="1"/>
  <c r="H18" i="27"/>
  <c r="N166" i="27" s="1"/>
  <c r="H14" i="27"/>
  <c r="N159" i="27" s="1"/>
  <c r="J167" i="27"/>
  <c r="M39" i="6" s="1"/>
  <c r="J170" i="27"/>
  <c r="M42" i="6" s="1"/>
  <c r="A14" i="27"/>
  <c r="N64" i="1" s="1"/>
  <c r="Y67" i="6"/>
  <c r="Y68" i="6" s="1"/>
  <c r="Y69" i="6" s="1"/>
  <c r="X67" i="6"/>
  <c r="X68" i="6" s="1"/>
  <c r="X69" i="6" s="1"/>
  <c r="W67" i="6"/>
  <c r="M4" i="6"/>
  <c r="M5" i="6"/>
  <c r="M6" i="6"/>
  <c r="M7" i="6"/>
  <c r="M8" i="6"/>
  <c r="M9" i="6"/>
  <c r="M10" i="6"/>
  <c r="M13" i="6"/>
  <c r="M16" i="6"/>
  <c r="M17" i="6"/>
  <c r="M18" i="6"/>
  <c r="M20" i="6"/>
  <c r="M21" i="6"/>
  <c r="M22" i="6"/>
  <c r="M25" i="6"/>
  <c r="M27" i="6"/>
  <c r="M29" i="6"/>
  <c r="M30" i="6"/>
  <c r="M31" i="6"/>
  <c r="M33" i="6"/>
  <c r="M37" i="6"/>
  <c r="M40" i="6"/>
  <c r="M43" i="6"/>
  <c r="M47" i="6"/>
  <c r="M3" i="6"/>
  <c r="L4" i="6"/>
  <c r="L5" i="6"/>
  <c r="L6" i="6"/>
  <c r="L7" i="6"/>
  <c r="L8" i="6"/>
  <c r="L9" i="6"/>
  <c r="L10" i="6"/>
  <c r="L13" i="6"/>
  <c r="L14" i="6"/>
  <c r="L16" i="6"/>
  <c r="L17" i="6"/>
  <c r="L18" i="6"/>
  <c r="L20" i="6"/>
  <c r="L21" i="6"/>
  <c r="L22" i="6"/>
  <c r="L25" i="6"/>
  <c r="L27" i="6"/>
  <c r="L29" i="6"/>
  <c r="L30" i="6"/>
  <c r="L31" i="6"/>
  <c r="L33" i="6"/>
  <c r="L37" i="6"/>
  <c r="L39" i="6"/>
  <c r="L40" i="6"/>
  <c r="L42" i="6"/>
  <c r="L43" i="6"/>
  <c r="L45" i="6"/>
  <c r="L3" i="6"/>
  <c r="D45" i="6"/>
  <c r="E45" i="6"/>
  <c r="F45" i="6"/>
  <c r="G45" i="6"/>
  <c r="H45" i="6"/>
  <c r="I45" i="6"/>
  <c r="J45" i="6"/>
  <c r="K45" i="6"/>
  <c r="L149" i="27"/>
  <c r="L150" i="27" s="1"/>
  <c r="L151" i="27" s="1"/>
  <c r="L149" i="22"/>
  <c r="L150" i="22" s="1"/>
  <c r="L151" i="22" s="1"/>
  <c r="N137" i="21"/>
  <c r="AA4" i="6" s="1"/>
  <c r="L142" i="21"/>
  <c r="L137" i="21"/>
  <c r="L138" i="21" s="1"/>
  <c r="L139" i="21" s="1"/>
  <c r="G139" i="21"/>
  <c r="G140" i="21"/>
  <c r="E137" i="21"/>
  <c r="D140" i="21"/>
  <c r="D139" i="21"/>
  <c r="D138" i="21"/>
  <c r="J173" i="27"/>
  <c r="M45" i="6" s="1"/>
  <c r="H8" i="27"/>
  <c r="N164" i="27" s="1"/>
  <c r="AI3" i="27"/>
  <c r="AI4" i="27"/>
  <c r="AI5" i="27"/>
  <c r="AI6" i="27"/>
  <c r="AI7" i="27"/>
  <c r="AI8" i="27"/>
  <c r="AI9" i="27"/>
  <c r="AI10" i="27"/>
  <c r="AI11" i="27"/>
  <c r="AI12" i="27"/>
  <c r="AI13" i="27"/>
  <c r="AI14" i="27"/>
  <c r="AI15" i="27"/>
  <c r="AI16" i="27"/>
  <c r="AI17" i="27"/>
  <c r="AI18" i="27"/>
  <c r="AI19" i="27"/>
  <c r="AI20" i="27"/>
  <c r="AI21" i="27"/>
  <c r="AI22" i="27"/>
  <c r="AI23" i="27"/>
  <c r="AI24" i="27"/>
  <c r="AI25" i="27"/>
  <c r="AI26" i="27"/>
  <c r="AI27" i="27"/>
  <c r="AI28" i="27"/>
  <c r="AI29" i="27"/>
  <c r="AI30" i="27"/>
  <c r="AI31" i="27"/>
  <c r="AI32" i="27"/>
  <c r="AI33" i="27"/>
  <c r="AI34" i="27"/>
  <c r="AI35" i="27"/>
  <c r="AI36" i="27"/>
  <c r="AI37" i="27"/>
  <c r="AI38" i="27"/>
  <c r="AI39" i="27"/>
  <c r="AI40" i="27"/>
  <c r="AI41" i="27"/>
  <c r="AI42" i="27"/>
  <c r="AI43" i="27"/>
  <c r="AI44" i="27"/>
  <c r="AI45" i="27"/>
  <c r="AI46" i="27"/>
  <c r="AI47" i="27"/>
  <c r="AI48" i="27"/>
  <c r="AI49" i="27"/>
  <c r="AI50" i="27"/>
  <c r="AI51" i="27"/>
  <c r="AI52" i="27"/>
  <c r="AI53" i="27"/>
  <c r="AI54" i="27"/>
  <c r="AI55" i="27"/>
  <c r="AI56" i="27"/>
  <c r="AI57" i="27"/>
  <c r="AI58" i="27"/>
  <c r="AI59" i="27"/>
  <c r="AI60" i="27"/>
  <c r="AI61" i="27"/>
  <c r="AI62" i="27"/>
  <c r="AI63" i="27"/>
  <c r="AI64" i="27"/>
  <c r="AI65" i="27"/>
  <c r="AI66" i="27"/>
  <c r="AI67" i="27"/>
  <c r="AI68" i="27"/>
  <c r="AI69" i="27"/>
  <c r="AI70" i="27"/>
  <c r="AI71" i="27"/>
  <c r="AI72" i="27"/>
  <c r="AI73" i="27"/>
  <c r="AI74" i="27"/>
  <c r="AI75" i="27"/>
  <c r="AI76" i="27"/>
  <c r="AI77" i="27"/>
  <c r="AI78" i="27"/>
  <c r="AI79" i="27"/>
  <c r="AI80" i="27"/>
  <c r="AI81" i="27"/>
  <c r="N13" i="1"/>
  <c r="O13" i="1"/>
  <c r="N145" i="20"/>
  <c r="N146" i="20"/>
  <c r="N147" i="20"/>
  <c r="N148" i="20"/>
  <c r="N149" i="20"/>
  <c r="N150" i="20"/>
  <c r="N151" i="20"/>
  <c r="N152" i="20"/>
  <c r="N154" i="20"/>
  <c r="N155" i="20"/>
  <c r="N144" i="20"/>
  <c r="K166" i="20"/>
  <c r="D91" i="1"/>
  <c r="D92" i="1"/>
  <c r="D93" i="1"/>
  <c r="D94" i="1"/>
  <c r="D95" i="1"/>
  <c r="D96" i="1"/>
  <c r="D97" i="1"/>
  <c r="D98" i="1"/>
  <c r="D99" i="1"/>
  <c r="D100" i="1"/>
  <c r="D101" i="1"/>
  <c r="D102" i="1"/>
  <c r="D103" i="1"/>
  <c r="D104" i="1"/>
  <c r="D105" i="1"/>
  <c r="D106" i="1"/>
  <c r="D107" i="1"/>
  <c r="D108" i="1"/>
  <c r="D90" i="1"/>
  <c r="AC37" i="1"/>
  <c r="AC14" i="1"/>
  <c r="AC13" i="1"/>
  <c r="AC39" i="1"/>
  <c r="E237" i="27"/>
  <c r="D237" i="27"/>
  <c r="F236" i="27"/>
  <c r="E236" i="27"/>
  <c r="D236" i="27"/>
  <c r="E235" i="27"/>
  <c r="D235" i="27"/>
  <c r="F233" i="27"/>
  <c r="E233" i="27"/>
  <c r="D233" i="27"/>
  <c r="F232" i="27"/>
  <c r="E232" i="27"/>
  <c r="D232" i="27"/>
  <c r="F231" i="27"/>
  <c r="E231" i="27"/>
  <c r="D231" i="27"/>
  <c r="F230" i="27"/>
  <c r="E230" i="27"/>
  <c r="D230" i="27"/>
  <c r="F229" i="27"/>
  <c r="E229" i="27"/>
  <c r="D229" i="27"/>
  <c r="F228" i="27"/>
  <c r="E228" i="27"/>
  <c r="D228" i="27"/>
  <c r="F227" i="27"/>
  <c r="E227" i="27"/>
  <c r="D227" i="27"/>
  <c r="F225" i="27"/>
  <c r="E225" i="27"/>
  <c r="D225" i="27"/>
  <c r="F224" i="27"/>
  <c r="E224" i="27"/>
  <c r="D224" i="27"/>
  <c r="F223" i="27"/>
  <c r="E223" i="27"/>
  <c r="D223" i="27"/>
  <c r="E222" i="27"/>
  <c r="D222" i="27"/>
  <c r="F221" i="27"/>
  <c r="E221" i="27"/>
  <c r="D221" i="27"/>
  <c r="F220" i="27"/>
  <c r="E220" i="27"/>
  <c r="D220" i="27"/>
  <c r="F219" i="27"/>
  <c r="E219" i="27"/>
  <c r="D219" i="27"/>
  <c r="F218" i="27"/>
  <c r="E218" i="27"/>
  <c r="D218" i="27"/>
  <c r="F217" i="27"/>
  <c r="E217" i="27"/>
  <c r="D217" i="27"/>
  <c r="F216" i="27"/>
  <c r="E216" i="27"/>
  <c r="D216" i="27"/>
  <c r="F215" i="27"/>
  <c r="E215" i="27"/>
  <c r="D215" i="27"/>
  <c r="F214" i="27"/>
  <c r="E214" i="27"/>
  <c r="D214" i="27"/>
  <c r="E199" i="27"/>
  <c r="E195" i="27"/>
  <c r="E192" i="27"/>
  <c r="G178" i="27"/>
  <c r="F178" i="27"/>
  <c r="E178" i="27"/>
  <c r="D178" i="27"/>
  <c r="G177" i="27"/>
  <c r="F177" i="27"/>
  <c r="E177" i="27"/>
  <c r="D177" i="27"/>
  <c r="A177" i="27"/>
  <c r="G176" i="27"/>
  <c r="F176" i="27"/>
  <c r="E176" i="27"/>
  <c r="D176" i="27"/>
  <c r="A176" i="27"/>
  <c r="G175" i="27"/>
  <c r="F175" i="27"/>
  <c r="E175" i="27"/>
  <c r="D175" i="27"/>
  <c r="A175" i="27"/>
  <c r="G174" i="27"/>
  <c r="F174" i="27"/>
  <c r="E174" i="27"/>
  <c r="D174" i="27"/>
  <c r="A174" i="27"/>
  <c r="G173" i="27"/>
  <c r="F173" i="27"/>
  <c r="E173" i="27"/>
  <c r="D173" i="27"/>
  <c r="A173" i="27"/>
  <c r="G172" i="27"/>
  <c r="F172" i="27"/>
  <c r="E172" i="27"/>
  <c r="D172" i="27"/>
  <c r="A172" i="27"/>
  <c r="G171" i="27"/>
  <c r="F171" i="27"/>
  <c r="E171" i="27"/>
  <c r="D171" i="27"/>
  <c r="A171" i="27"/>
  <c r="G170" i="27"/>
  <c r="F170" i="27"/>
  <c r="E170" i="27"/>
  <c r="D170" i="27"/>
  <c r="A170" i="27"/>
  <c r="J175" i="27"/>
  <c r="O81" i="4" s="1"/>
  <c r="O113" i="4" s="1"/>
  <c r="G169" i="27"/>
  <c r="F169" i="27"/>
  <c r="E169" i="27"/>
  <c r="D169" i="27"/>
  <c r="A169" i="27"/>
  <c r="M46" i="6"/>
  <c r="J169" i="27"/>
  <c r="M41" i="6" s="1"/>
  <c r="J168" i="27"/>
  <c r="G168" i="27"/>
  <c r="F168" i="27"/>
  <c r="E168" i="27"/>
  <c r="D168" i="27"/>
  <c r="A168" i="27"/>
  <c r="G167" i="27"/>
  <c r="F167" i="27"/>
  <c r="E167" i="27"/>
  <c r="D167" i="27"/>
  <c r="A167" i="27"/>
  <c r="J165" i="27"/>
  <c r="M36" i="6" s="1"/>
  <c r="G166" i="27"/>
  <c r="F166" i="27"/>
  <c r="E166" i="27"/>
  <c r="D166" i="27"/>
  <c r="A166" i="27"/>
  <c r="J164" i="27"/>
  <c r="M35" i="6" s="1"/>
  <c r="J163" i="27"/>
  <c r="M34" i="6" s="1"/>
  <c r="G165" i="27"/>
  <c r="F165" i="27"/>
  <c r="E165" i="27"/>
  <c r="D165" i="27"/>
  <c r="A165" i="27"/>
  <c r="M32" i="6"/>
  <c r="J162" i="27"/>
  <c r="M28" i="6" s="1"/>
  <c r="G164" i="27"/>
  <c r="F164" i="27"/>
  <c r="E164" i="27"/>
  <c r="D164" i="27"/>
  <c r="A164" i="27"/>
  <c r="J161" i="27"/>
  <c r="M26" i="6" s="1"/>
  <c r="G163" i="27"/>
  <c r="F163" i="27"/>
  <c r="E163" i="27"/>
  <c r="D163" i="27"/>
  <c r="A163" i="27"/>
  <c r="J160" i="27"/>
  <c r="M24" i="6" s="1"/>
  <c r="G162" i="27"/>
  <c r="F162" i="27"/>
  <c r="E162" i="27"/>
  <c r="D162" i="27"/>
  <c r="A162" i="27"/>
  <c r="M23" i="6"/>
  <c r="G161" i="27"/>
  <c r="F161" i="27"/>
  <c r="E161" i="27"/>
  <c r="D161" i="27"/>
  <c r="A161" i="27"/>
  <c r="M19" i="6"/>
  <c r="G160" i="27"/>
  <c r="F160" i="27"/>
  <c r="E160" i="27"/>
  <c r="D160" i="27"/>
  <c r="A160" i="27"/>
  <c r="G159" i="27"/>
  <c r="F159" i="27"/>
  <c r="E159" i="27"/>
  <c r="D159" i="27"/>
  <c r="A159" i="27"/>
  <c r="M12" i="6"/>
  <c r="G158" i="27"/>
  <c r="F158" i="27"/>
  <c r="E158" i="27"/>
  <c r="D158" i="27"/>
  <c r="A158" i="27"/>
  <c r="J158" i="27"/>
  <c r="M11" i="6" s="1"/>
  <c r="G157" i="27"/>
  <c r="F157" i="27"/>
  <c r="D157" i="27"/>
  <c r="A157" i="27"/>
  <c r="L154" i="27"/>
  <c r="E152" i="27"/>
  <c r="E151" i="27"/>
  <c r="N149" i="27"/>
  <c r="N150" i="27" s="1"/>
  <c r="N151" i="27" s="1"/>
  <c r="N152" i="27" s="1"/>
  <c r="AC7" i="6" s="1"/>
  <c r="E149" i="27"/>
  <c r="D127" i="27"/>
  <c r="D98" i="27"/>
  <c r="D97" i="27"/>
  <c r="AJ81" i="27"/>
  <c r="AJ80" i="27"/>
  <c r="AJ79" i="27"/>
  <c r="AJ78" i="27"/>
  <c r="AJ77" i="27"/>
  <c r="AJ76" i="27"/>
  <c r="AJ75" i="27"/>
  <c r="AJ74" i="27"/>
  <c r="AJ73" i="27"/>
  <c r="AJ72" i="27"/>
  <c r="AJ71" i="27"/>
  <c r="AJ70" i="27"/>
  <c r="AJ69" i="27"/>
  <c r="AJ68" i="27"/>
  <c r="AJ67" i="27"/>
  <c r="AJ66" i="27"/>
  <c r="AJ65" i="27"/>
  <c r="AJ64" i="27"/>
  <c r="AJ63" i="27"/>
  <c r="AJ62" i="27"/>
  <c r="AJ61" i="27"/>
  <c r="AJ60" i="27"/>
  <c r="AJ59" i="27"/>
  <c r="AJ58" i="27"/>
  <c r="AJ57" i="27"/>
  <c r="AJ56" i="27"/>
  <c r="AJ55" i="27"/>
  <c r="AJ54" i="27"/>
  <c r="AJ53" i="27"/>
  <c r="AJ52" i="27"/>
  <c r="AJ51" i="27"/>
  <c r="AJ50" i="27"/>
  <c r="AJ49" i="27"/>
  <c r="AJ48" i="27"/>
  <c r="AJ47" i="27"/>
  <c r="AJ46" i="27"/>
  <c r="AJ45" i="27"/>
  <c r="AJ44" i="27"/>
  <c r="AJ43" i="27"/>
  <c r="AJ42" i="27"/>
  <c r="AJ41" i="27"/>
  <c r="AJ40" i="27"/>
  <c r="AJ39" i="27"/>
  <c r="AJ38" i="27"/>
  <c r="AJ37" i="27"/>
  <c r="AJ36" i="27"/>
  <c r="AJ35" i="27"/>
  <c r="AJ34" i="27"/>
  <c r="AJ33" i="27"/>
  <c r="AJ32" i="27"/>
  <c r="AJ31" i="27"/>
  <c r="AJ30" i="27"/>
  <c r="AJ29" i="27"/>
  <c r="AJ28" i="27"/>
  <c r="AJ27" i="27"/>
  <c r="AJ26" i="27"/>
  <c r="AJ25" i="27"/>
  <c r="AJ24" i="27"/>
  <c r="AJ23" i="27"/>
  <c r="AJ22" i="27"/>
  <c r="AJ21" i="27"/>
  <c r="AJ20" i="27"/>
  <c r="AJ19" i="27"/>
  <c r="AJ18" i="27"/>
  <c r="AJ17" i="27"/>
  <c r="AJ16" i="27"/>
  <c r="AJ15" i="27"/>
  <c r="AJ14" i="27"/>
  <c r="AJ13" i="27"/>
  <c r="AJ12" i="27"/>
  <c r="AJ11" i="27"/>
  <c r="AJ10" i="27"/>
  <c r="AJ9" i="27"/>
  <c r="AJ8" i="27"/>
  <c r="AJ7" i="27"/>
  <c r="AJ6" i="27"/>
  <c r="AJ5" i="27"/>
  <c r="AJ4" i="27"/>
  <c r="AJ3" i="27"/>
  <c r="AJ2" i="27"/>
  <c r="AI2" i="27"/>
  <c r="N147" i="21"/>
  <c r="N148" i="21"/>
  <c r="N149" i="21"/>
  <c r="N151" i="21"/>
  <c r="N152" i="21"/>
  <c r="N153" i="21"/>
  <c r="N154" i="21"/>
  <c r="N155" i="21"/>
  <c r="N156" i="21"/>
  <c r="N157" i="21"/>
  <c r="N158" i="21"/>
  <c r="N146" i="21"/>
  <c r="N159" i="22"/>
  <c r="N160" i="22"/>
  <c r="N161" i="22"/>
  <c r="N162" i="22"/>
  <c r="N163" i="22"/>
  <c r="N164" i="22"/>
  <c r="N165" i="22"/>
  <c r="N166" i="22"/>
  <c r="N167" i="22"/>
  <c r="N168" i="22"/>
  <c r="N169" i="22"/>
  <c r="N170" i="22"/>
  <c r="N158" i="22"/>
  <c r="K159" i="22"/>
  <c r="L12" i="6" s="1"/>
  <c r="K160" i="22"/>
  <c r="L15" i="6" s="1"/>
  <c r="K161" i="22"/>
  <c r="L19" i="6" s="1"/>
  <c r="K162" i="22"/>
  <c r="L23" i="6" s="1"/>
  <c r="K163" i="22"/>
  <c r="L24" i="6" s="1"/>
  <c r="K164" i="22"/>
  <c r="L26" i="6" s="1"/>
  <c r="K165" i="22"/>
  <c r="L28" i="6" s="1"/>
  <c r="K171" i="22"/>
  <c r="K168" i="22"/>
  <c r="L35" i="6" s="1"/>
  <c r="K166" i="22"/>
  <c r="L32" i="6" s="1"/>
  <c r="K167" i="22"/>
  <c r="L34" i="6" s="1"/>
  <c r="K169" i="22"/>
  <c r="L36" i="6" s="1"/>
  <c r="K170" i="22"/>
  <c r="L38" i="6" s="1"/>
  <c r="K172" i="22"/>
  <c r="L41" i="6" s="1"/>
  <c r="K173" i="22"/>
  <c r="L44" i="6" s="1"/>
  <c r="K175" i="22"/>
  <c r="L47" i="6" s="1"/>
  <c r="K174" i="22"/>
  <c r="L46" i="6" s="1"/>
  <c r="K158" i="22"/>
  <c r="L11" i="6" s="1"/>
  <c r="A72" i="22"/>
  <c r="Q65" i="1" s="1"/>
  <c r="AB3" i="12"/>
  <c r="AC3" i="12"/>
  <c r="AB4" i="12"/>
  <c r="AC4" i="12"/>
  <c r="AB5" i="12"/>
  <c r="AC5" i="12"/>
  <c r="AB6" i="12"/>
  <c r="AC6" i="12"/>
  <c r="AB7" i="12"/>
  <c r="AC7" i="12"/>
  <c r="AB8" i="12"/>
  <c r="AC8" i="12"/>
  <c r="AB9" i="12"/>
  <c r="AC9" i="12"/>
  <c r="AB10" i="12"/>
  <c r="AC10" i="12"/>
  <c r="AB11" i="12"/>
  <c r="AC11" i="12"/>
  <c r="AB12" i="12"/>
  <c r="AC12" i="12"/>
  <c r="AB13" i="12"/>
  <c r="AC13" i="12"/>
  <c r="AB14" i="12"/>
  <c r="AC14" i="12"/>
  <c r="AB15" i="12"/>
  <c r="AC15" i="12"/>
  <c r="AB16" i="12"/>
  <c r="AC16" i="12"/>
  <c r="AB17" i="12"/>
  <c r="AC17" i="12"/>
  <c r="AB18" i="12"/>
  <c r="AC18" i="12"/>
  <c r="AB19" i="12"/>
  <c r="AC19" i="12"/>
  <c r="AB20" i="12"/>
  <c r="AC20" i="12"/>
  <c r="AB21" i="12"/>
  <c r="AC21" i="12"/>
  <c r="AB22" i="12"/>
  <c r="AC22" i="12"/>
  <c r="AB23" i="12"/>
  <c r="AC23" i="12"/>
  <c r="AB24" i="12"/>
  <c r="AC24" i="12"/>
  <c r="AB25" i="12"/>
  <c r="AC25" i="12"/>
  <c r="AB26" i="12"/>
  <c r="AC26" i="12"/>
  <c r="AB27" i="12"/>
  <c r="AC27" i="12"/>
  <c r="AB28" i="12"/>
  <c r="AC28" i="12"/>
  <c r="AB29" i="12"/>
  <c r="AC29" i="12"/>
  <c r="AB30" i="12"/>
  <c r="AC30" i="12"/>
  <c r="AB31" i="12"/>
  <c r="AC31" i="12"/>
  <c r="AB32" i="12"/>
  <c r="AC32" i="12"/>
  <c r="AB33" i="12"/>
  <c r="AC33" i="12"/>
  <c r="AB34" i="12"/>
  <c r="AC34" i="12"/>
  <c r="AC2" i="12"/>
  <c r="AB2" i="12"/>
  <c r="AB3" i="9"/>
  <c r="AC3" i="9"/>
  <c r="AB4" i="9"/>
  <c r="AC4" i="9"/>
  <c r="AB5" i="9"/>
  <c r="AC5" i="9"/>
  <c r="AB6" i="9"/>
  <c r="AC6" i="9"/>
  <c r="AB7" i="9"/>
  <c r="AC7" i="9"/>
  <c r="AB8" i="9"/>
  <c r="AC8" i="9"/>
  <c r="AB9" i="9"/>
  <c r="AC9" i="9"/>
  <c r="AB10" i="9"/>
  <c r="AC10" i="9"/>
  <c r="AB11" i="9"/>
  <c r="AC11" i="9"/>
  <c r="AB12" i="9"/>
  <c r="AC12" i="9"/>
  <c r="AB13" i="9"/>
  <c r="AC13" i="9"/>
  <c r="AB14" i="9"/>
  <c r="AC14" i="9"/>
  <c r="AB15" i="9"/>
  <c r="AC15" i="9"/>
  <c r="AB16" i="9"/>
  <c r="AC16" i="9"/>
  <c r="AB17" i="9"/>
  <c r="AC17" i="9"/>
  <c r="AB18" i="9"/>
  <c r="AC18" i="9"/>
  <c r="AB19" i="9"/>
  <c r="AC19" i="9"/>
  <c r="AB20" i="9"/>
  <c r="AC20" i="9"/>
  <c r="AB21" i="9"/>
  <c r="AC21" i="9"/>
  <c r="AB22" i="9"/>
  <c r="AC22" i="9"/>
  <c r="AB23" i="9"/>
  <c r="AC23" i="9"/>
  <c r="AB24" i="9"/>
  <c r="AC24" i="9"/>
  <c r="AB25" i="9"/>
  <c r="AC25" i="9"/>
  <c r="AB26" i="9"/>
  <c r="AC26" i="9"/>
  <c r="AB27" i="9"/>
  <c r="AC27" i="9"/>
  <c r="AB28" i="9"/>
  <c r="AC28" i="9"/>
  <c r="AB29" i="9"/>
  <c r="AC29" i="9"/>
  <c r="AB30" i="9"/>
  <c r="AC30" i="9"/>
  <c r="AB31" i="9"/>
  <c r="AC31" i="9"/>
  <c r="AB32" i="9"/>
  <c r="AC32" i="9"/>
  <c r="AB33" i="9"/>
  <c r="AC33" i="9"/>
  <c r="AB34" i="9"/>
  <c r="AC34" i="9"/>
  <c r="AB35" i="9"/>
  <c r="AC35" i="9"/>
  <c r="AB36" i="9"/>
  <c r="AC36" i="9"/>
  <c r="AB37" i="9"/>
  <c r="AC37" i="9"/>
  <c r="AB38" i="9"/>
  <c r="AC38" i="9"/>
  <c r="AB39" i="9"/>
  <c r="AC39" i="9"/>
  <c r="AB40" i="9"/>
  <c r="AC40" i="9"/>
  <c r="AB41" i="9"/>
  <c r="AC41" i="9"/>
  <c r="AB42" i="9"/>
  <c r="AC42" i="9"/>
  <c r="AB43" i="9"/>
  <c r="AC43" i="9"/>
  <c r="AB44" i="9"/>
  <c r="AC44" i="9"/>
  <c r="AB45" i="9"/>
  <c r="AC45" i="9"/>
  <c r="AB46" i="9"/>
  <c r="AC46" i="9"/>
  <c r="AB47" i="9"/>
  <c r="AC47" i="9"/>
  <c r="AB48" i="9"/>
  <c r="AC48" i="9"/>
  <c r="AB49" i="9"/>
  <c r="AC49" i="9"/>
  <c r="AC2" i="9"/>
  <c r="AB2" i="9"/>
  <c r="AB3" i="7"/>
  <c r="AC3" i="7"/>
  <c r="AB4" i="7"/>
  <c r="AC4" i="7"/>
  <c r="AB5" i="7"/>
  <c r="AC5" i="7"/>
  <c r="AB6" i="7"/>
  <c r="AC6" i="7"/>
  <c r="AB7" i="7"/>
  <c r="AC7" i="7"/>
  <c r="AB8" i="7"/>
  <c r="AC8" i="7"/>
  <c r="AB9" i="7"/>
  <c r="AC9" i="7"/>
  <c r="AB10" i="7"/>
  <c r="AC10" i="7"/>
  <c r="AB11" i="7"/>
  <c r="AC11" i="7"/>
  <c r="AB12" i="7"/>
  <c r="AC12" i="7"/>
  <c r="AB13" i="7"/>
  <c r="AC13" i="7"/>
  <c r="AB14" i="7"/>
  <c r="AC14" i="7"/>
  <c r="AB15" i="7"/>
  <c r="AC15" i="7"/>
  <c r="AB16" i="7"/>
  <c r="AC16" i="7"/>
  <c r="AB17" i="7"/>
  <c r="AC17" i="7"/>
  <c r="AB18" i="7"/>
  <c r="AC18" i="7"/>
  <c r="AB19" i="7"/>
  <c r="AC19" i="7"/>
  <c r="AB20" i="7"/>
  <c r="AC20" i="7"/>
  <c r="AB21" i="7"/>
  <c r="AC21" i="7"/>
  <c r="AB22" i="7"/>
  <c r="AC22" i="7"/>
  <c r="AB23" i="7"/>
  <c r="AC23" i="7"/>
  <c r="AB24" i="7"/>
  <c r="AC24" i="7"/>
  <c r="AB25" i="7"/>
  <c r="AC25" i="7"/>
  <c r="AB26" i="7"/>
  <c r="AC26" i="7"/>
  <c r="AB27" i="7"/>
  <c r="AC27" i="7"/>
  <c r="AB28" i="7"/>
  <c r="AC28" i="7"/>
  <c r="AB29" i="7"/>
  <c r="AC29" i="7"/>
  <c r="AB30" i="7"/>
  <c r="AC30" i="7"/>
  <c r="AB31" i="7"/>
  <c r="AC31" i="7"/>
  <c r="AB32" i="7"/>
  <c r="AC32" i="7"/>
  <c r="AB33" i="7"/>
  <c r="AC33" i="7"/>
  <c r="AB34" i="7"/>
  <c r="AC34" i="7"/>
  <c r="AB35" i="7"/>
  <c r="AC35" i="7"/>
  <c r="AB36" i="7"/>
  <c r="AC36" i="7"/>
  <c r="AB37" i="7"/>
  <c r="AC37" i="7"/>
  <c r="AB38" i="7"/>
  <c r="AC38" i="7"/>
  <c r="AB39" i="7"/>
  <c r="AC39" i="7"/>
  <c r="AB40" i="7"/>
  <c r="AC40" i="7"/>
  <c r="AB41" i="7"/>
  <c r="AC41" i="7"/>
  <c r="AB42" i="7"/>
  <c r="AC42" i="7"/>
  <c r="AB43" i="7"/>
  <c r="AC43" i="7"/>
  <c r="AB44" i="7"/>
  <c r="AC44" i="7"/>
  <c r="AB45" i="7"/>
  <c r="AC45" i="7"/>
  <c r="AB46" i="7"/>
  <c r="AC46" i="7"/>
  <c r="AB47" i="7"/>
  <c r="AC47" i="7"/>
  <c r="AB48" i="7"/>
  <c r="AC48" i="7"/>
  <c r="AB49" i="7"/>
  <c r="AC49" i="7"/>
  <c r="AB50" i="7"/>
  <c r="AC50" i="7"/>
  <c r="AB51" i="7"/>
  <c r="AC51" i="7"/>
  <c r="AB52" i="7"/>
  <c r="AC52" i="7"/>
  <c r="AB53" i="7"/>
  <c r="AC53" i="7"/>
  <c r="AB54" i="7"/>
  <c r="AC54" i="7"/>
  <c r="AB55" i="7"/>
  <c r="AC55" i="7"/>
  <c r="AB56" i="7"/>
  <c r="AC56" i="7"/>
  <c r="AB57" i="7"/>
  <c r="AC57" i="7"/>
  <c r="AB58" i="7"/>
  <c r="AC58" i="7"/>
  <c r="AB59" i="7"/>
  <c r="AC59" i="7"/>
  <c r="AB60" i="7"/>
  <c r="AC60" i="7"/>
  <c r="AB61" i="7"/>
  <c r="AC61" i="7"/>
  <c r="AB62" i="7"/>
  <c r="AC62" i="7"/>
  <c r="AB63" i="7"/>
  <c r="AC63" i="7"/>
  <c r="AB64" i="7"/>
  <c r="AC64" i="7"/>
  <c r="AB65" i="7"/>
  <c r="AC65" i="7"/>
  <c r="AB66" i="7"/>
  <c r="AC66" i="7"/>
  <c r="AB67" i="7"/>
  <c r="AC67" i="7"/>
  <c r="AB68" i="7"/>
  <c r="AC68" i="7"/>
  <c r="AB69" i="7"/>
  <c r="AC69" i="7"/>
  <c r="AB70" i="7"/>
  <c r="AC70" i="7"/>
  <c r="AB71" i="7"/>
  <c r="AC71" i="7"/>
  <c r="AB72" i="7"/>
  <c r="AC72" i="7"/>
  <c r="AC2" i="7"/>
  <c r="AB2" i="7"/>
  <c r="AB3" i="5"/>
  <c r="AC3" i="5"/>
  <c r="AB4" i="5"/>
  <c r="AC4" i="5"/>
  <c r="AB5" i="5"/>
  <c r="AC5" i="5"/>
  <c r="AB6" i="5"/>
  <c r="AC6" i="5"/>
  <c r="AB7" i="5"/>
  <c r="AC7" i="5"/>
  <c r="AB8" i="5"/>
  <c r="AC8" i="5"/>
  <c r="AB9" i="5"/>
  <c r="AC9" i="5"/>
  <c r="AB10" i="5"/>
  <c r="AC10" i="5"/>
  <c r="AB11" i="5"/>
  <c r="AC11" i="5"/>
  <c r="AB12" i="5"/>
  <c r="AC12" i="5"/>
  <c r="AB13" i="5"/>
  <c r="AC13" i="5"/>
  <c r="AB14" i="5"/>
  <c r="AC14" i="5"/>
  <c r="AB15" i="5"/>
  <c r="AC15" i="5"/>
  <c r="AB16" i="5"/>
  <c r="AC16" i="5"/>
  <c r="AB17" i="5"/>
  <c r="AC17" i="5"/>
  <c r="AB18" i="5"/>
  <c r="AC18" i="5"/>
  <c r="AB19" i="5"/>
  <c r="AC19" i="5"/>
  <c r="AB20" i="5"/>
  <c r="AC20" i="5"/>
  <c r="AB21" i="5"/>
  <c r="AC21" i="5"/>
  <c r="AB22" i="5"/>
  <c r="AC22" i="5"/>
  <c r="AB23" i="5"/>
  <c r="AC23" i="5"/>
  <c r="AB24" i="5"/>
  <c r="AC24" i="5"/>
  <c r="AB25" i="5"/>
  <c r="AC25" i="5"/>
  <c r="AB26" i="5"/>
  <c r="AC26" i="5"/>
  <c r="AB27" i="5"/>
  <c r="AC27" i="5"/>
  <c r="AB28" i="5"/>
  <c r="AC28" i="5"/>
  <c r="AB29" i="5"/>
  <c r="AC29" i="5"/>
  <c r="AB30" i="5"/>
  <c r="AC30" i="5"/>
  <c r="AB31" i="5"/>
  <c r="AC31" i="5"/>
  <c r="AB32" i="5"/>
  <c r="AC32" i="5"/>
  <c r="AB33" i="5"/>
  <c r="AC33" i="5"/>
  <c r="AB34" i="5"/>
  <c r="AC34" i="5"/>
  <c r="AB35" i="5"/>
  <c r="AC35" i="5"/>
  <c r="AB36" i="5"/>
  <c r="AC36" i="5"/>
  <c r="AB37" i="5"/>
  <c r="AC37" i="5"/>
  <c r="AB38" i="5"/>
  <c r="AC38" i="5"/>
  <c r="AB39" i="5"/>
  <c r="AC39" i="5"/>
  <c r="AB40" i="5"/>
  <c r="AC40" i="5"/>
  <c r="AB41" i="5"/>
  <c r="AC41" i="5"/>
  <c r="AB42" i="5"/>
  <c r="AC42" i="5"/>
  <c r="AB43" i="5"/>
  <c r="AC43" i="5"/>
  <c r="AB44" i="5"/>
  <c r="AC44" i="5"/>
  <c r="AB45" i="5"/>
  <c r="AC45" i="5"/>
  <c r="AB46" i="5"/>
  <c r="AC46" i="5"/>
  <c r="AB47" i="5"/>
  <c r="AC47" i="5"/>
  <c r="AB48" i="5"/>
  <c r="AC48" i="5"/>
  <c r="AB49" i="5"/>
  <c r="AC49" i="5"/>
  <c r="AB50" i="5"/>
  <c r="AC50" i="5"/>
  <c r="AB51" i="5"/>
  <c r="AC51" i="5"/>
  <c r="AB52" i="5"/>
  <c r="AC52" i="5"/>
  <c r="AB53" i="5"/>
  <c r="AC53" i="5"/>
  <c r="AB54" i="5"/>
  <c r="AC54" i="5"/>
  <c r="AB55" i="5"/>
  <c r="AC55" i="5"/>
  <c r="AB56" i="5"/>
  <c r="AC56" i="5"/>
  <c r="AB57" i="5"/>
  <c r="AC57" i="5"/>
  <c r="AB58" i="5"/>
  <c r="AC58" i="5"/>
  <c r="AB59" i="5"/>
  <c r="AC59" i="5"/>
  <c r="AB60" i="5"/>
  <c r="AC60" i="5"/>
  <c r="AB61" i="5"/>
  <c r="AC61" i="5"/>
  <c r="AB62" i="5"/>
  <c r="AC62" i="5"/>
  <c r="AB63" i="5"/>
  <c r="AC63" i="5"/>
  <c r="AB64" i="5"/>
  <c r="AC64" i="5"/>
  <c r="AB65" i="5"/>
  <c r="AC65" i="5"/>
  <c r="AB66" i="5"/>
  <c r="AC66" i="5"/>
  <c r="AB67" i="5"/>
  <c r="AC67" i="5"/>
  <c r="AB68" i="5"/>
  <c r="AC68" i="5"/>
  <c r="AB69" i="5"/>
  <c r="AC69" i="5"/>
  <c r="AB70" i="5"/>
  <c r="AC70" i="5"/>
  <c r="AB71" i="5"/>
  <c r="AC71" i="5"/>
  <c r="AB72" i="5"/>
  <c r="AC72" i="5"/>
  <c r="AC2" i="5"/>
  <c r="AB2" i="5"/>
  <c r="AB3" i="3"/>
  <c r="AC3" i="3"/>
  <c r="AB4" i="3"/>
  <c r="AC4" i="3"/>
  <c r="AB5" i="3"/>
  <c r="AC5" i="3"/>
  <c r="AB6" i="3"/>
  <c r="AC6" i="3"/>
  <c r="AB7" i="3"/>
  <c r="AC7" i="3"/>
  <c r="AB8" i="3"/>
  <c r="AC8" i="3"/>
  <c r="AB9" i="3"/>
  <c r="AC9" i="3"/>
  <c r="AB10" i="3"/>
  <c r="AC10" i="3"/>
  <c r="AB11" i="3"/>
  <c r="AC11" i="3"/>
  <c r="AB12" i="3"/>
  <c r="AC12" i="3"/>
  <c r="AB13" i="3"/>
  <c r="AC13" i="3"/>
  <c r="AB14" i="3"/>
  <c r="AC14" i="3"/>
  <c r="AB15" i="3"/>
  <c r="AC15" i="3"/>
  <c r="AB16" i="3"/>
  <c r="AC16" i="3"/>
  <c r="AB17" i="3"/>
  <c r="AC17" i="3"/>
  <c r="AB18" i="3"/>
  <c r="AC18" i="3"/>
  <c r="AB19" i="3"/>
  <c r="AC19" i="3"/>
  <c r="AB20" i="3"/>
  <c r="AC20" i="3"/>
  <c r="AB21" i="3"/>
  <c r="AC21" i="3"/>
  <c r="AB22" i="3"/>
  <c r="AC22" i="3"/>
  <c r="AB23" i="3"/>
  <c r="AC23" i="3"/>
  <c r="AB24" i="3"/>
  <c r="AC24" i="3"/>
  <c r="AB25" i="3"/>
  <c r="AC25" i="3"/>
  <c r="AB26" i="3"/>
  <c r="AC26" i="3"/>
  <c r="AB27" i="3"/>
  <c r="AC27" i="3"/>
  <c r="AB28" i="3"/>
  <c r="AC28" i="3"/>
  <c r="AB29" i="3"/>
  <c r="AC29" i="3"/>
  <c r="AB30" i="3"/>
  <c r="AC30" i="3"/>
  <c r="AB31" i="3"/>
  <c r="AC31" i="3"/>
  <c r="AB32" i="3"/>
  <c r="AC32" i="3"/>
  <c r="AB33" i="3"/>
  <c r="AC33" i="3"/>
  <c r="AB34" i="3"/>
  <c r="AC34" i="3"/>
  <c r="AB35" i="3"/>
  <c r="AC35" i="3"/>
  <c r="AB36" i="3"/>
  <c r="AC36" i="3"/>
  <c r="AB37" i="3"/>
  <c r="AC37" i="3"/>
  <c r="AB38" i="3"/>
  <c r="AC38" i="3"/>
  <c r="AB39" i="3"/>
  <c r="AC39" i="3"/>
  <c r="AB40" i="3"/>
  <c r="AC40" i="3"/>
  <c r="AB41" i="3"/>
  <c r="AC41" i="3"/>
  <c r="AB42" i="3"/>
  <c r="AC42" i="3"/>
  <c r="AB43" i="3"/>
  <c r="AC43" i="3"/>
  <c r="AB44" i="3"/>
  <c r="AC44" i="3"/>
  <c r="AB45" i="3"/>
  <c r="AC45" i="3"/>
  <c r="AB46" i="3"/>
  <c r="AC46" i="3"/>
  <c r="AB47" i="3"/>
  <c r="AC47" i="3"/>
  <c r="AB48" i="3"/>
  <c r="AC48" i="3"/>
  <c r="AB49" i="3"/>
  <c r="AC49" i="3"/>
  <c r="AB50" i="3"/>
  <c r="AC50" i="3"/>
  <c r="AB51" i="3"/>
  <c r="AC51" i="3"/>
  <c r="AB52" i="3"/>
  <c r="AC52" i="3"/>
  <c r="AB53" i="3"/>
  <c r="AC53" i="3"/>
  <c r="AB54" i="3"/>
  <c r="AC54" i="3"/>
  <c r="AB55" i="3"/>
  <c r="AC55" i="3"/>
  <c r="AB56" i="3"/>
  <c r="AC56" i="3"/>
  <c r="AB57" i="3"/>
  <c r="AC57" i="3"/>
  <c r="AB58" i="3"/>
  <c r="AC58" i="3"/>
  <c r="AB59" i="3"/>
  <c r="AC59" i="3"/>
  <c r="AB60" i="3"/>
  <c r="AC60" i="3"/>
  <c r="AB61" i="3"/>
  <c r="AC61" i="3"/>
  <c r="AB62" i="3"/>
  <c r="AC62" i="3"/>
  <c r="AB63" i="3"/>
  <c r="AC63" i="3"/>
  <c r="AB64" i="3"/>
  <c r="AC64" i="3"/>
  <c r="AB65" i="3"/>
  <c r="AC65" i="3"/>
  <c r="AB66" i="3"/>
  <c r="AC66" i="3"/>
  <c r="AB67" i="3"/>
  <c r="AC67" i="3"/>
  <c r="AB68" i="3"/>
  <c r="AC68" i="3"/>
  <c r="AB69" i="3"/>
  <c r="AC69" i="3"/>
  <c r="AB70" i="3"/>
  <c r="AC70" i="3"/>
  <c r="AB71" i="3"/>
  <c r="AC71" i="3"/>
  <c r="AB72" i="3"/>
  <c r="AC72" i="3"/>
  <c r="AB73" i="3"/>
  <c r="AC73" i="3"/>
  <c r="AC2" i="3"/>
  <c r="AB2" i="3"/>
  <c r="AB3" i="2"/>
  <c r="AC3" i="2"/>
  <c r="AB4" i="2"/>
  <c r="AC4" i="2"/>
  <c r="AB5" i="2"/>
  <c r="AC5" i="2"/>
  <c r="AB6" i="2"/>
  <c r="AC6" i="2"/>
  <c r="AB7" i="2"/>
  <c r="AC7" i="2"/>
  <c r="AB8" i="2"/>
  <c r="AC8" i="2"/>
  <c r="AB9" i="2"/>
  <c r="AC9" i="2"/>
  <c r="AB10" i="2"/>
  <c r="AC10" i="2"/>
  <c r="AB11" i="2"/>
  <c r="AC11" i="2"/>
  <c r="AB12" i="2"/>
  <c r="AC12" i="2"/>
  <c r="AB13" i="2"/>
  <c r="AC13" i="2"/>
  <c r="AB14" i="2"/>
  <c r="AC14" i="2"/>
  <c r="AB15" i="2"/>
  <c r="AC15" i="2"/>
  <c r="AB16" i="2"/>
  <c r="AC16" i="2"/>
  <c r="AB17" i="2"/>
  <c r="AC17" i="2"/>
  <c r="AB18" i="2"/>
  <c r="AC18" i="2"/>
  <c r="AB19" i="2"/>
  <c r="AC19" i="2"/>
  <c r="AB20" i="2"/>
  <c r="AC20" i="2"/>
  <c r="AB21" i="2"/>
  <c r="AC21" i="2"/>
  <c r="AB22" i="2"/>
  <c r="AC22" i="2"/>
  <c r="AB23" i="2"/>
  <c r="AC23" i="2"/>
  <c r="AB24" i="2"/>
  <c r="AC24" i="2"/>
  <c r="AB25" i="2"/>
  <c r="AC25" i="2"/>
  <c r="AB26" i="2"/>
  <c r="AC26" i="2"/>
  <c r="AB27" i="2"/>
  <c r="AC27" i="2"/>
  <c r="AB28" i="2"/>
  <c r="AC28" i="2"/>
  <c r="AB29" i="2"/>
  <c r="AC29" i="2"/>
  <c r="AB30" i="2"/>
  <c r="AC30" i="2"/>
  <c r="AB31" i="2"/>
  <c r="AC31" i="2"/>
  <c r="AB32" i="2"/>
  <c r="AC32" i="2"/>
  <c r="AB33" i="2"/>
  <c r="AC33" i="2"/>
  <c r="AB34" i="2"/>
  <c r="AC34" i="2"/>
  <c r="AB35" i="2"/>
  <c r="AC35" i="2"/>
  <c r="AB36" i="2"/>
  <c r="AC36" i="2"/>
  <c r="AB37" i="2"/>
  <c r="AC37" i="2"/>
  <c r="AB38" i="2"/>
  <c r="AC38" i="2"/>
  <c r="AB39" i="2"/>
  <c r="AC39" i="2"/>
  <c r="AB40" i="2"/>
  <c r="AC40" i="2"/>
  <c r="AB41" i="2"/>
  <c r="AC41" i="2"/>
  <c r="AB42" i="2"/>
  <c r="AC42" i="2"/>
  <c r="AB43" i="2"/>
  <c r="AC43" i="2"/>
  <c r="AB44" i="2"/>
  <c r="AC44" i="2"/>
  <c r="AB45" i="2"/>
  <c r="AC45" i="2"/>
  <c r="AB46" i="2"/>
  <c r="AC46" i="2"/>
  <c r="AB47" i="2"/>
  <c r="AC47" i="2"/>
  <c r="AB48" i="2"/>
  <c r="AC48" i="2"/>
  <c r="AB49" i="2"/>
  <c r="AC49" i="2"/>
  <c r="AB50" i="2"/>
  <c r="AC50" i="2"/>
  <c r="AB51" i="2"/>
  <c r="AC51" i="2"/>
  <c r="AB52" i="2"/>
  <c r="AC52" i="2"/>
  <c r="AB53" i="2"/>
  <c r="AC53" i="2"/>
  <c r="AB54" i="2"/>
  <c r="AC54" i="2"/>
  <c r="AB55" i="2"/>
  <c r="AC55" i="2"/>
  <c r="AB56" i="2"/>
  <c r="AC56" i="2"/>
  <c r="AB57" i="2"/>
  <c r="AC57" i="2"/>
  <c r="AB58" i="2"/>
  <c r="AC58" i="2"/>
  <c r="AB59" i="2"/>
  <c r="AC59" i="2"/>
  <c r="AB60" i="2"/>
  <c r="AC60" i="2"/>
  <c r="AB61" i="2"/>
  <c r="AC61" i="2"/>
  <c r="AB62" i="2"/>
  <c r="AC62" i="2"/>
  <c r="AB63" i="2"/>
  <c r="AC63" i="2"/>
  <c r="AB64" i="2"/>
  <c r="AC64" i="2"/>
  <c r="AB65" i="2"/>
  <c r="AC65" i="2"/>
  <c r="AB66" i="2"/>
  <c r="AC66" i="2"/>
  <c r="AB67" i="2"/>
  <c r="AC67" i="2"/>
  <c r="AB68" i="2"/>
  <c r="AC68" i="2"/>
  <c r="AB69" i="2"/>
  <c r="AC69" i="2"/>
  <c r="AB70" i="2"/>
  <c r="AC70" i="2"/>
  <c r="AB71" i="2"/>
  <c r="AC71" i="2"/>
  <c r="AB72" i="2"/>
  <c r="AC72" i="2"/>
  <c r="AB73" i="2"/>
  <c r="AC73" i="2"/>
  <c r="AB74" i="2"/>
  <c r="AC74" i="2"/>
  <c r="AB75" i="2"/>
  <c r="AC75" i="2"/>
  <c r="AB76" i="2"/>
  <c r="AC76" i="2"/>
  <c r="AB77" i="2"/>
  <c r="AC77" i="2"/>
  <c r="AB78" i="2"/>
  <c r="AC78" i="2"/>
  <c r="AB79" i="2"/>
  <c r="AC79" i="2"/>
  <c r="AB80" i="2"/>
  <c r="AC80" i="2"/>
  <c r="AB81" i="2"/>
  <c r="AC81" i="2"/>
  <c r="AB82" i="2"/>
  <c r="AC82" i="2"/>
  <c r="AB83" i="2"/>
  <c r="AC83" i="2"/>
  <c r="AB84" i="2"/>
  <c r="AC84" i="2"/>
  <c r="AB85" i="2"/>
  <c r="AC85" i="2"/>
  <c r="AB86" i="2"/>
  <c r="AC86" i="2"/>
  <c r="AB87" i="2"/>
  <c r="AC87" i="2"/>
  <c r="AB88" i="2"/>
  <c r="AC88" i="2"/>
  <c r="AB89" i="2"/>
  <c r="AC89" i="2"/>
  <c r="AB90" i="2"/>
  <c r="AC90" i="2"/>
  <c r="AB91" i="2"/>
  <c r="AC91" i="2"/>
  <c r="AC2" i="2"/>
  <c r="AB2" i="2"/>
  <c r="P122" i="17"/>
  <c r="P121" i="17"/>
  <c r="P120" i="17"/>
  <c r="P119" i="17"/>
  <c r="AC119" i="17"/>
  <c r="P107" i="17"/>
  <c r="Q107" i="17"/>
  <c r="R107" i="17"/>
  <c r="S107" i="17"/>
  <c r="T107" i="17"/>
  <c r="U107" i="17"/>
  <c r="V107" i="17"/>
  <c r="W107" i="17"/>
  <c r="X107" i="17"/>
  <c r="Y107" i="17"/>
  <c r="Z107" i="17"/>
  <c r="AA107" i="17"/>
  <c r="AB107" i="17"/>
  <c r="AC107" i="17"/>
  <c r="P108" i="17"/>
  <c r="Q108" i="17"/>
  <c r="R108" i="17"/>
  <c r="S108" i="17"/>
  <c r="T108" i="17"/>
  <c r="U108" i="17"/>
  <c r="V108" i="17"/>
  <c r="W108" i="17"/>
  <c r="X108" i="17"/>
  <c r="Y108" i="17"/>
  <c r="Z108" i="17"/>
  <c r="AA108" i="17"/>
  <c r="AB108" i="17"/>
  <c r="AC108" i="17"/>
  <c r="P109" i="17"/>
  <c r="P110" i="17"/>
  <c r="P111" i="17"/>
  <c r="P112" i="17"/>
  <c r="P113" i="17"/>
  <c r="P114" i="17"/>
  <c r="P115" i="17"/>
  <c r="P116" i="17"/>
  <c r="P117" i="17"/>
  <c r="P118" i="17"/>
  <c r="P106" i="17"/>
  <c r="Q106" i="17"/>
  <c r="R106" i="17"/>
  <c r="S106" i="17"/>
  <c r="T106" i="17"/>
  <c r="E62" i="17"/>
  <c r="R62" i="17" s="1"/>
  <c r="E66" i="17"/>
  <c r="AC66" i="17" s="1"/>
  <c r="E72" i="17"/>
  <c r="W72" i="17" s="1"/>
  <c r="Q58" i="17"/>
  <c r="Q65" i="17"/>
  <c r="V52" i="17"/>
  <c r="W52" i="17"/>
  <c r="X52" i="17"/>
  <c r="Y52" i="17"/>
  <c r="Z52" i="17"/>
  <c r="AA52" i="17"/>
  <c r="AB52" i="17"/>
  <c r="AC52" i="17"/>
  <c r="AD52" i="17"/>
  <c r="AE52" i="17"/>
  <c r="V58" i="17"/>
  <c r="W58" i="17"/>
  <c r="X58" i="17"/>
  <c r="Z58" i="17"/>
  <c r="AA58" i="17"/>
  <c r="AB58" i="17"/>
  <c r="AD58" i="17"/>
  <c r="AE58" i="17"/>
  <c r="T62" i="17"/>
  <c r="W62" i="17"/>
  <c r="Y62" i="17"/>
  <c r="AB62" i="17"/>
  <c r="AE62" i="17"/>
  <c r="V65" i="17"/>
  <c r="X65" i="17"/>
  <c r="Z65" i="17"/>
  <c r="AB65" i="17"/>
  <c r="AD65" i="17"/>
  <c r="T66" i="17"/>
  <c r="T119" i="17" s="1"/>
  <c r="W66" i="17"/>
  <c r="W119" i="17" s="1"/>
  <c r="X66" i="17"/>
  <c r="X119" i="17" s="1"/>
  <c r="Y66" i="17"/>
  <c r="Y119" i="17" s="1"/>
  <c r="AA66" i="17"/>
  <c r="AA119" i="17" s="1"/>
  <c r="AD66" i="17"/>
  <c r="AE66" i="17"/>
  <c r="T68" i="17"/>
  <c r="V68" i="17"/>
  <c r="X68" i="17"/>
  <c r="Z68" i="17"/>
  <c r="AB68" i="17"/>
  <c r="AD68" i="17"/>
  <c r="T69" i="17"/>
  <c r="X69" i="17"/>
  <c r="Z69" i="17"/>
  <c r="AD69" i="17"/>
  <c r="U72" i="17"/>
  <c r="X72" i="17"/>
  <c r="Z72" i="17"/>
  <c r="AB72" i="17"/>
  <c r="AD72" i="17"/>
  <c r="S73" i="17"/>
  <c r="S122" i="17" s="1"/>
  <c r="T73" i="17"/>
  <c r="T122" i="17" s="1"/>
  <c r="U73" i="17"/>
  <c r="U122" i="17" s="1"/>
  <c r="V73" i="17"/>
  <c r="V122" i="17" s="1"/>
  <c r="X73" i="17"/>
  <c r="X122" i="17" s="1"/>
  <c r="Y73" i="17"/>
  <c r="Y122" i="17" s="1"/>
  <c r="Z73" i="17"/>
  <c r="Z122" i="17" s="1"/>
  <c r="AB73" i="17"/>
  <c r="AB122" i="17" s="1"/>
  <c r="AC73" i="17"/>
  <c r="AC122" i="17" s="1"/>
  <c r="AD73" i="17"/>
  <c r="E54" i="17"/>
  <c r="AE54" i="17" s="1"/>
  <c r="E73" i="17"/>
  <c r="AA73" i="17" s="1"/>
  <c r="AA122" i="17" s="1"/>
  <c r="E69" i="17"/>
  <c r="AE69" i="17" s="1"/>
  <c r="E68" i="17"/>
  <c r="AC68" i="17" s="1"/>
  <c r="E67" i="17"/>
  <c r="Z67" i="17" s="1"/>
  <c r="Z120" i="17" s="1"/>
  <c r="E65" i="17"/>
  <c r="U65" i="17" s="1"/>
  <c r="E64" i="17"/>
  <c r="AD64" i="17" s="1"/>
  <c r="E58" i="17"/>
  <c r="Y58" i="17" s="1"/>
  <c r="D26" i="24"/>
  <c r="H26" i="24" s="1"/>
  <c r="A4" i="24"/>
  <c r="A5" i="24"/>
  <c r="A6" i="24"/>
  <c r="A7" i="24"/>
  <c r="A8" i="24"/>
  <c r="A9" i="24"/>
  <c r="A10" i="24"/>
  <c r="A11" i="24"/>
  <c r="A12" i="24"/>
  <c r="A13" i="24"/>
  <c r="A14" i="24"/>
  <c r="A3" i="24"/>
  <c r="H8" i="24"/>
  <c r="D14" i="24"/>
  <c r="H14" i="24" s="1"/>
  <c r="D13" i="24"/>
  <c r="H13" i="24" s="1"/>
  <c r="D12" i="24"/>
  <c r="H12" i="24" s="1"/>
  <c r="D11" i="24"/>
  <c r="H11" i="24" s="1"/>
  <c r="D10" i="24"/>
  <c r="H10" i="24" s="1"/>
  <c r="D9" i="24"/>
  <c r="H9" i="24" s="1"/>
  <c r="D8" i="24"/>
  <c r="D7" i="24"/>
  <c r="H7" i="24" s="1"/>
  <c r="D6" i="24"/>
  <c r="H6" i="24" s="1"/>
  <c r="D5" i="24"/>
  <c r="H5" i="24" s="1"/>
  <c r="D4" i="24"/>
  <c r="H4" i="24" s="1"/>
  <c r="D3" i="24"/>
  <c r="H3" i="24" s="1"/>
  <c r="F24" i="26"/>
  <c r="D27" i="26"/>
  <c r="D22" i="26"/>
  <c r="D24" i="26"/>
  <c r="D26" i="26"/>
  <c r="F26" i="26" s="1"/>
  <c r="D21" i="26"/>
  <c r="D23" i="26"/>
  <c r="F23" i="26" s="1"/>
  <c r="D25" i="26"/>
  <c r="F25" i="26" s="1"/>
  <c r="AD3" i="26"/>
  <c r="AC3" i="26"/>
  <c r="F52" i="25"/>
  <c r="F54" i="25"/>
  <c r="F56" i="25"/>
  <c r="F58" i="25"/>
  <c r="F60" i="25"/>
  <c r="D48" i="25"/>
  <c r="D49" i="25"/>
  <c r="D50" i="25"/>
  <c r="D51" i="25"/>
  <c r="F51" i="25" s="1"/>
  <c r="D52" i="25"/>
  <c r="D53" i="25"/>
  <c r="F53" i="25" s="1"/>
  <c r="D54" i="25"/>
  <c r="D55" i="25"/>
  <c r="F55" i="25" s="1"/>
  <c r="D56" i="25"/>
  <c r="D57" i="25"/>
  <c r="F57" i="25" s="1"/>
  <c r="D58" i="25"/>
  <c r="D59" i="25"/>
  <c r="F59" i="25" s="1"/>
  <c r="D60" i="25"/>
  <c r="D61" i="25"/>
  <c r="F61" i="25" s="1"/>
  <c r="D62" i="25"/>
  <c r="D63" i="25"/>
  <c r="D64" i="25"/>
  <c r="D47" i="25"/>
  <c r="AL92" i="22" l="1"/>
  <c r="K168" i="27"/>
  <c r="M82" i="4"/>
  <c r="K164" i="27"/>
  <c r="K163" i="27"/>
  <c r="K165" i="27"/>
  <c r="K170" i="27"/>
  <c r="K176" i="27"/>
  <c r="K171" i="27"/>
  <c r="J171" i="27"/>
  <c r="M44" i="6" s="1"/>
  <c r="F222" i="27"/>
  <c r="K160" i="27"/>
  <c r="K173" i="27"/>
  <c r="K159" i="27"/>
  <c r="O112" i="4"/>
  <c r="M149" i="27"/>
  <c r="M150" i="27" s="1"/>
  <c r="M151" i="27" s="1"/>
  <c r="O101" i="4"/>
  <c r="E197" i="27"/>
  <c r="F235" i="27"/>
  <c r="J159" i="27"/>
  <c r="M15" i="6" s="1"/>
  <c r="O103" i="4"/>
  <c r="O98" i="4"/>
  <c r="F179" i="27"/>
  <c r="J166" i="27"/>
  <c r="M38" i="6" s="1"/>
  <c r="E201" i="27"/>
  <c r="AL82" i="27"/>
  <c r="F237" i="27"/>
  <c r="G261" i="28"/>
  <c r="K180" i="28"/>
  <c r="K194" i="28"/>
  <c r="K198" i="28"/>
  <c r="B200" i="28"/>
  <c r="B198" i="28"/>
  <c r="B182" i="31"/>
  <c r="B191" i="31"/>
  <c r="K192" i="31"/>
  <c r="B180" i="31"/>
  <c r="B177" i="31"/>
  <c r="B199" i="31"/>
  <c r="B192" i="31"/>
  <c r="B181" i="31"/>
  <c r="B190" i="31"/>
  <c r="B197" i="31"/>
  <c r="B200" i="31"/>
  <c r="N190" i="31"/>
  <c r="B183" i="31"/>
  <c r="B186" i="31"/>
  <c r="B184" i="31"/>
  <c r="B178" i="31"/>
  <c r="B195" i="31"/>
  <c r="G238" i="31"/>
  <c r="B176" i="31"/>
  <c r="B185" i="31"/>
  <c r="B193" i="31"/>
  <c r="B187" i="31"/>
  <c r="B189" i="31"/>
  <c r="B198" i="31"/>
  <c r="E260" i="31"/>
  <c r="B196" i="31"/>
  <c r="B201" i="31"/>
  <c r="J202" i="31"/>
  <c r="M202" i="31" s="1"/>
  <c r="B194" i="31"/>
  <c r="G252" i="31"/>
  <c r="G204" i="31"/>
  <c r="E204" i="31"/>
  <c r="B204" i="31" s="1"/>
  <c r="F204" i="31"/>
  <c r="N171" i="31"/>
  <c r="N172" i="31" s="1"/>
  <c r="L171" i="31"/>
  <c r="L172" i="31" s="1"/>
  <c r="B179" i="31"/>
  <c r="E172" i="31"/>
  <c r="M169" i="31"/>
  <c r="M170" i="31" s="1"/>
  <c r="E173" i="31"/>
  <c r="B202" i="31"/>
  <c r="B188" i="31"/>
  <c r="G236" i="31"/>
  <c r="B199" i="28"/>
  <c r="B196" i="28"/>
  <c r="B197" i="28"/>
  <c r="E160" i="31"/>
  <c r="K192" i="28"/>
  <c r="R63" i="1"/>
  <c r="K184" i="28"/>
  <c r="K183" i="28"/>
  <c r="K199" i="28"/>
  <c r="K188" i="28"/>
  <c r="K196" i="28"/>
  <c r="K190" i="28"/>
  <c r="K201" i="28"/>
  <c r="K187" i="28"/>
  <c r="K197" i="28"/>
  <c r="K195" i="28"/>
  <c r="B193" i="28"/>
  <c r="K179" i="28"/>
  <c r="E222" i="28"/>
  <c r="B178" i="28"/>
  <c r="B185" i="28"/>
  <c r="B181" i="28"/>
  <c r="E172" i="28"/>
  <c r="B176" i="28"/>
  <c r="G263" i="28"/>
  <c r="B202" i="28"/>
  <c r="E173" i="28"/>
  <c r="D169" i="28"/>
  <c r="B177" i="28"/>
  <c r="B179" i="28"/>
  <c r="E179" i="27"/>
  <c r="G179" i="27"/>
  <c r="O99" i="4"/>
  <c r="R64" i="1"/>
  <c r="O72" i="4"/>
  <c r="O56" i="4"/>
  <c r="O40" i="4"/>
  <c r="O69" i="4"/>
  <c r="O68" i="4"/>
  <c r="O67" i="4"/>
  <c r="O61" i="4"/>
  <c r="O75" i="4"/>
  <c r="O74" i="4"/>
  <c r="O58" i="4"/>
  <c r="K166" i="27"/>
  <c r="AE114" i="4"/>
  <c r="B191" i="28"/>
  <c r="G239" i="28"/>
  <c r="B182" i="28"/>
  <c r="E264" i="28"/>
  <c r="H233" i="28" s="1"/>
  <c r="B189" i="28"/>
  <c r="B195" i="28"/>
  <c r="F204" i="28"/>
  <c r="E146" i="28"/>
  <c r="G204" i="28"/>
  <c r="B192" i="28"/>
  <c r="B188" i="28"/>
  <c r="B183" i="28"/>
  <c r="B190" i="28"/>
  <c r="B201" i="28"/>
  <c r="G255" i="28"/>
  <c r="B194" i="28"/>
  <c r="B186" i="28"/>
  <c r="L171" i="28"/>
  <c r="L172" i="28" s="1"/>
  <c r="N171" i="28"/>
  <c r="N172" i="28" s="1"/>
  <c r="E226" i="28"/>
  <c r="F242" i="28"/>
  <c r="E204" i="28"/>
  <c r="B204" i="28" s="1"/>
  <c r="E227" i="28"/>
  <c r="E117" i="28"/>
  <c r="F211" i="28" s="1"/>
  <c r="F261" i="28"/>
  <c r="B187" i="28"/>
  <c r="B180" i="28"/>
  <c r="N183" i="28"/>
  <c r="N190" i="28" s="1"/>
  <c r="M168" i="28"/>
  <c r="B184" i="28"/>
  <c r="E219" i="28"/>
  <c r="F263" i="28"/>
  <c r="G237" i="28"/>
  <c r="N171" i="27"/>
  <c r="L140" i="21"/>
  <c r="L141" i="21" s="1"/>
  <c r="L152" i="22"/>
  <c r="L153" i="22" s="1"/>
  <c r="Y67" i="17"/>
  <c r="AC64" i="17"/>
  <c r="AD54" i="17"/>
  <c r="V72" i="17"/>
  <c r="AC69" i="17"/>
  <c r="AA68" i="17"/>
  <c r="X67" i="17"/>
  <c r="X120" i="17" s="1"/>
  <c r="AE65" i="17"/>
  <c r="AB64" i="17"/>
  <c r="S62" i="17"/>
  <c r="AC54" i="17"/>
  <c r="AB69" i="17"/>
  <c r="AA64" i="17"/>
  <c r="W67" i="17"/>
  <c r="W120" i="17" s="1"/>
  <c r="AB54" i="17"/>
  <c r="W73" i="17"/>
  <c r="W122" i="17" s="1"/>
  <c r="AA69" i="17"/>
  <c r="Y68" i="17"/>
  <c r="V67" i="17"/>
  <c r="V120" i="17" s="1"/>
  <c r="AC65" i="17"/>
  <c r="Z64" i="17"/>
  <c r="U58" i="17"/>
  <c r="AA54" i="17"/>
  <c r="W68" i="6"/>
  <c r="W69" i="6" s="1"/>
  <c r="U67" i="17"/>
  <c r="Z54" i="17"/>
  <c r="Y64" i="17"/>
  <c r="Y69" i="17"/>
  <c r="W68" i="17"/>
  <c r="AA65" i="17"/>
  <c r="X64" i="17"/>
  <c r="Y54" i="17"/>
  <c r="W64" i="17"/>
  <c r="X54" i="17"/>
  <c r="D21" i="24"/>
  <c r="H21" i="24" s="1"/>
  <c r="D29" i="24"/>
  <c r="H29" i="24" s="1"/>
  <c r="W69" i="17"/>
  <c r="U68" i="17"/>
  <c r="Y65" i="17"/>
  <c r="V64" i="17"/>
  <c r="W54" i="17"/>
  <c r="D28" i="24"/>
  <c r="H28" i="24" s="1"/>
  <c r="U64" i="17"/>
  <c r="V69" i="17"/>
  <c r="V54" i="17"/>
  <c r="D27" i="24"/>
  <c r="H27" i="24" s="1"/>
  <c r="AE72" i="17"/>
  <c r="U69" i="17"/>
  <c r="AB66" i="17"/>
  <c r="AB119" i="17" s="1"/>
  <c r="W65" i="17"/>
  <c r="T64" i="17"/>
  <c r="AC62" i="17"/>
  <c r="AE67" i="17"/>
  <c r="D25" i="24"/>
  <c r="H25" i="24" s="1"/>
  <c r="AE73" i="17"/>
  <c r="AC72" i="17"/>
  <c r="S69" i="17"/>
  <c r="AD67" i="17"/>
  <c r="Z66" i="17"/>
  <c r="Z119" i="17" s="1"/>
  <c r="AA62" i="17"/>
  <c r="AC58" i="17"/>
  <c r="AC67" i="17"/>
  <c r="AC120" i="17" s="1"/>
  <c r="D24" i="24"/>
  <c r="H24" i="24" s="1"/>
  <c r="D23" i="24"/>
  <c r="H23" i="24" s="1"/>
  <c r="AA72" i="17"/>
  <c r="AE68" i="17"/>
  <c r="AB67" i="17"/>
  <c r="AB120" i="17" s="1"/>
  <c r="X62" i="17"/>
  <c r="D22" i="24"/>
  <c r="H22" i="24" s="1"/>
  <c r="AE64" i="17"/>
  <c r="AA67" i="17"/>
  <c r="Y72" i="17"/>
  <c r="U66" i="17"/>
  <c r="U119" i="17" s="1"/>
  <c r="U62" i="17"/>
  <c r="N138" i="21"/>
  <c r="L152" i="27"/>
  <c r="L153" i="27" s="1"/>
  <c r="N153" i="27"/>
  <c r="AC8" i="6" s="1"/>
  <c r="AC4" i="6"/>
  <c r="AC5" i="6"/>
  <c r="AC6" i="6"/>
  <c r="Y70" i="6"/>
  <c r="X70" i="6"/>
  <c r="B158" i="27"/>
  <c r="B160" i="27"/>
  <c r="D150" i="27"/>
  <c r="B157" i="27"/>
  <c r="B177" i="27"/>
  <c r="B165" i="27"/>
  <c r="B162" i="27"/>
  <c r="G237" i="27"/>
  <c r="G219" i="27"/>
  <c r="B159" i="27"/>
  <c r="B166" i="27"/>
  <c r="G233" i="27"/>
  <c r="B175" i="27"/>
  <c r="B161" i="27"/>
  <c r="E196" i="27"/>
  <c r="E238" i="27"/>
  <c r="E153" i="27"/>
  <c r="B173" i="27"/>
  <c r="B168" i="27"/>
  <c r="E200" i="27"/>
  <c r="E154" i="27"/>
  <c r="B163" i="27"/>
  <c r="B169" i="27"/>
  <c r="B171" i="27"/>
  <c r="B176" i="27"/>
  <c r="E98" i="27"/>
  <c r="B174" i="27"/>
  <c r="E127" i="27"/>
  <c r="B167" i="27"/>
  <c r="B172" i="27"/>
  <c r="B170" i="27"/>
  <c r="B164" i="27"/>
  <c r="E193" i="27"/>
  <c r="G217" i="27"/>
  <c r="N171" i="22"/>
  <c r="AD62" i="17"/>
  <c r="Z62" i="17"/>
  <c r="V62" i="17"/>
  <c r="V66" i="17"/>
  <c r="V119" i="17" s="1"/>
  <c r="S66" i="17"/>
  <c r="S119" i="17" s="1"/>
  <c r="R66" i="17"/>
  <c r="R119" i="17" s="1"/>
  <c r="T72" i="17"/>
  <c r="S72" i="17"/>
  <c r="R72" i="17"/>
  <c r="C13" i="24"/>
  <c r="G13" i="24" s="1"/>
  <c r="C9" i="24"/>
  <c r="G9" i="24" s="1"/>
  <c r="C14" i="24"/>
  <c r="G14" i="24" s="1"/>
  <c r="C10" i="24"/>
  <c r="G10" i="24" s="1"/>
  <c r="C11" i="24"/>
  <c r="G11" i="24" s="1"/>
  <c r="C7" i="24"/>
  <c r="G7" i="24" s="1"/>
  <c r="C12" i="24"/>
  <c r="G12" i="24" s="1"/>
  <c r="C8" i="24"/>
  <c r="G8" i="24" s="1"/>
  <c r="C4" i="24"/>
  <c r="G4" i="24" s="1"/>
  <c r="C6" i="24"/>
  <c r="G6" i="24" s="1"/>
  <c r="C3" i="24"/>
  <c r="C5" i="24"/>
  <c r="G5" i="24" s="1"/>
  <c r="F214" i="22"/>
  <c r="F215" i="22"/>
  <c r="F216" i="22"/>
  <c r="F217" i="22"/>
  <c r="F218" i="22"/>
  <c r="F219" i="22"/>
  <c r="F220" i="22"/>
  <c r="F221" i="22"/>
  <c r="F222" i="22"/>
  <c r="F223" i="22"/>
  <c r="F226" i="22"/>
  <c r="F227" i="22"/>
  <c r="F228" i="22"/>
  <c r="F229" i="22"/>
  <c r="F230" i="22"/>
  <c r="F231" i="22"/>
  <c r="F232" i="22"/>
  <c r="F233" i="22"/>
  <c r="F234" i="22"/>
  <c r="F235" i="22"/>
  <c r="F236" i="22"/>
  <c r="F213" i="22"/>
  <c r="E214" i="22"/>
  <c r="E215" i="22"/>
  <c r="E216" i="22"/>
  <c r="E217" i="22"/>
  <c r="E218" i="22"/>
  <c r="E219" i="22"/>
  <c r="E220" i="22"/>
  <c r="E221" i="22"/>
  <c r="E222" i="22"/>
  <c r="E223" i="22"/>
  <c r="E226" i="22"/>
  <c r="E227" i="22"/>
  <c r="E228" i="22"/>
  <c r="E229" i="22"/>
  <c r="E230" i="22"/>
  <c r="E231" i="22"/>
  <c r="E232" i="22"/>
  <c r="E233" i="22"/>
  <c r="E234" i="22"/>
  <c r="G234" i="22" s="1"/>
  <c r="E235" i="22"/>
  <c r="E236" i="22"/>
  <c r="E213" i="22"/>
  <c r="D214" i="22"/>
  <c r="D215" i="22"/>
  <c r="D216" i="22"/>
  <c r="D217" i="22"/>
  <c r="D218" i="22"/>
  <c r="D219" i="22"/>
  <c r="D220" i="22"/>
  <c r="D221" i="22"/>
  <c r="D222" i="22"/>
  <c r="D223" i="22"/>
  <c r="D226" i="22"/>
  <c r="D227" i="22"/>
  <c r="D228" i="22"/>
  <c r="D229" i="22"/>
  <c r="D230" i="22"/>
  <c r="D231" i="22"/>
  <c r="D232" i="22"/>
  <c r="D233" i="22"/>
  <c r="D234" i="22"/>
  <c r="D235" i="22"/>
  <c r="D236" i="22"/>
  <c r="D213" i="22"/>
  <c r="E214" i="21"/>
  <c r="F214" i="21"/>
  <c r="E215" i="21"/>
  <c r="F215" i="21"/>
  <c r="E216" i="21"/>
  <c r="F216" i="21"/>
  <c r="E217" i="21"/>
  <c r="G217" i="21" s="1"/>
  <c r="F217" i="21"/>
  <c r="E218" i="21"/>
  <c r="F218" i="21"/>
  <c r="E219" i="21"/>
  <c r="F219" i="21"/>
  <c r="E220" i="21"/>
  <c r="F220" i="21"/>
  <c r="E221" i="21"/>
  <c r="I221" i="21" s="1"/>
  <c r="J221" i="21" s="1"/>
  <c r="F221" i="21"/>
  <c r="E222" i="21"/>
  <c r="F222" i="21"/>
  <c r="E223" i="21"/>
  <c r="F223" i="21"/>
  <c r="E224" i="21"/>
  <c r="F224" i="21"/>
  <c r="E225" i="21"/>
  <c r="F225" i="21"/>
  <c r="E227" i="21"/>
  <c r="F227" i="21"/>
  <c r="E228" i="21"/>
  <c r="F228" i="21"/>
  <c r="E229" i="21"/>
  <c r="F229" i="21"/>
  <c r="E230" i="21"/>
  <c r="F230" i="21"/>
  <c r="E231" i="21"/>
  <c r="F231" i="21"/>
  <c r="E232" i="21"/>
  <c r="F232" i="21"/>
  <c r="E233" i="21"/>
  <c r="F233" i="21"/>
  <c r="E234" i="21"/>
  <c r="F234" i="21"/>
  <c r="E235" i="21"/>
  <c r="F235" i="21"/>
  <c r="E236" i="21"/>
  <c r="F236" i="21"/>
  <c r="E237" i="21"/>
  <c r="F237" i="21"/>
  <c r="E238" i="21"/>
  <c r="E239" i="21"/>
  <c r="F239" i="21"/>
  <c r="E240" i="21"/>
  <c r="F240" i="21"/>
  <c r="F213" i="21"/>
  <c r="F219" i="20"/>
  <c r="F220" i="20"/>
  <c r="F221" i="20"/>
  <c r="F223" i="20"/>
  <c r="F224" i="20"/>
  <c r="F225" i="20"/>
  <c r="F226" i="20"/>
  <c r="F227" i="20"/>
  <c r="F228" i="20"/>
  <c r="F229" i="20"/>
  <c r="F230" i="20"/>
  <c r="F231" i="20"/>
  <c r="F232" i="20"/>
  <c r="F233" i="20"/>
  <c r="F234" i="20"/>
  <c r="F235" i="20"/>
  <c r="F236" i="20"/>
  <c r="F237" i="20"/>
  <c r="F238" i="20"/>
  <c r="F239" i="20"/>
  <c r="F240" i="20"/>
  <c r="F241" i="20"/>
  <c r="F242" i="20"/>
  <c r="F243" i="20"/>
  <c r="F244" i="20"/>
  <c r="F218" i="20"/>
  <c r="E213" i="21"/>
  <c r="D214" i="21"/>
  <c r="D215" i="21"/>
  <c r="D216" i="21"/>
  <c r="D217" i="21"/>
  <c r="D218" i="21"/>
  <c r="D219" i="21"/>
  <c r="D220" i="21"/>
  <c r="D221" i="21"/>
  <c r="D222" i="21"/>
  <c r="D223" i="21"/>
  <c r="D224" i="21"/>
  <c r="D225" i="21"/>
  <c r="D227" i="21"/>
  <c r="D228" i="21"/>
  <c r="D229" i="21"/>
  <c r="D230" i="21"/>
  <c r="D231" i="21"/>
  <c r="D232" i="21"/>
  <c r="D233" i="21"/>
  <c r="D234" i="21"/>
  <c r="D235" i="21"/>
  <c r="D236" i="21"/>
  <c r="D237" i="21"/>
  <c r="D238" i="21"/>
  <c r="D239" i="21"/>
  <c r="D240" i="21"/>
  <c r="D213" i="21"/>
  <c r="D128" i="20"/>
  <c r="E231" i="20"/>
  <c r="D231" i="20"/>
  <c r="E225" i="20"/>
  <c r="D225" i="20"/>
  <c r="E224" i="20"/>
  <c r="D224" i="20"/>
  <c r="E233" i="20"/>
  <c r="D233" i="20"/>
  <c r="E235" i="20"/>
  <c r="D235" i="20"/>
  <c r="E238" i="20"/>
  <c r="D238" i="20"/>
  <c r="E236" i="20"/>
  <c r="D236" i="20"/>
  <c r="E228" i="20"/>
  <c r="D228" i="20"/>
  <c r="E222" i="20"/>
  <c r="D222" i="20"/>
  <c r="E226" i="20"/>
  <c r="D226" i="20"/>
  <c r="E234" i="20"/>
  <c r="D234" i="20"/>
  <c r="E229" i="20"/>
  <c r="D229" i="20"/>
  <c r="E218" i="20"/>
  <c r="D218" i="20"/>
  <c r="E243" i="20"/>
  <c r="D243" i="20"/>
  <c r="E242" i="20"/>
  <c r="D242" i="20"/>
  <c r="E232" i="20"/>
  <c r="D232" i="20"/>
  <c r="E223" i="20"/>
  <c r="G223" i="20" s="1"/>
  <c r="D223" i="20"/>
  <c r="E240" i="20"/>
  <c r="D240" i="20"/>
  <c r="E244" i="20"/>
  <c r="D244" i="20"/>
  <c r="E230" i="20"/>
  <c r="D230" i="20"/>
  <c r="E239" i="20"/>
  <c r="D239" i="20"/>
  <c r="E237" i="20"/>
  <c r="D237" i="20"/>
  <c r="E220" i="20"/>
  <c r="D220" i="20"/>
  <c r="E227" i="20"/>
  <c r="D227" i="20"/>
  <c r="E221" i="20"/>
  <c r="D221" i="20"/>
  <c r="E219" i="20"/>
  <c r="D219" i="20"/>
  <c r="E241" i="20"/>
  <c r="D241" i="20"/>
  <c r="Q68" i="4"/>
  <c r="R68" i="4"/>
  <c r="S68" i="4"/>
  <c r="T68" i="4"/>
  <c r="U68" i="4"/>
  <c r="V68" i="4"/>
  <c r="W68" i="4"/>
  <c r="X68" i="4"/>
  <c r="Y68" i="4"/>
  <c r="Z68" i="4"/>
  <c r="AA68" i="4"/>
  <c r="AB68" i="4"/>
  <c r="AC68" i="4"/>
  <c r="AD68" i="4"/>
  <c r="D43" i="4"/>
  <c r="P43" i="4"/>
  <c r="Q43" i="4"/>
  <c r="R43" i="4"/>
  <c r="S43" i="4"/>
  <c r="T43" i="4"/>
  <c r="U43" i="4"/>
  <c r="V43" i="4"/>
  <c r="W43" i="4"/>
  <c r="X43" i="4"/>
  <c r="Y43" i="4"/>
  <c r="Z43" i="4"/>
  <c r="AA43" i="4"/>
  <c r="AB43" i="4"/>
  <c r="AC43" i="4"/>
  <c r="AD43" i="4"/>
  <c r="A39" i="17"/>
  <c r="E39" i="17"/>
  <c r="Q74" i="4"/>
  <c r="R74" i="4"/>
  <c r="S74" i="4"/>
  <c r="T74" i="4"/>
  <c r="U74" i="4"/>
  <c r="V74" i="4"/>
  <c r="W74" i="4"/>
  <c r="X74" i="4"/>
  <c r="Y74" i="4"/>
  <c r="Z74" i="4"/>
  <c r="AA74" i="4"/>
  <c r="AB74" i="4"/>
  <c r="AC74" i="4"/>
  <c r="AD74" i="4"/>
  <c r="Q80" i="4"/>
  <c r="R80" i="4"/>
  <c r="S80" i="4"/>
  <c r="T80" i="4"/>
  <c r="U80" i="4"/>
  <c r="V80" i="4"/>
  <c r="W80" i="4"/>
  <c r="X80" i="4"/>
  <c r="Y80" i="4"/>
  <c r="Z80" i="4"/>
  <c r="AA80" i="4"/>
  <c r="AB80" i="4"/>
  <c r="AC80" i="4"/>
  <c r="AD80" i="4"/>
  <c r="P79" i="4"/>
  <c r="P7" i="4"/>
  <c r="P10" i="4"/>
  <c r="P11" i="4"/>
  <c r="P12" i="4"/>
  <c r="M12" i="4" s="1"/>
  <c r="P13" i="4"/>
  <c r="M13" i="4" s="1"/>
  <c r="P14" i="4"/>
  <c r="M14" i="4" s="1"/>
  <c r="P15" i="4"/>
  <c r="P16" i="4"/>
  <c r="M16" i="4" s="1"/>
  <c r="P17" i="4"/>
  <c r="P18" i="4"/>
  <c r="M18" i="4" s="1"/>
  <c r="P19" i="4"/>
  <c r="P20" i="4"/>
  <c r="P21" i="4"/>
  <c r="P22" i="4"/>
  <c r="P23" i="4"/>
  <c r="P24" i="4"/>
  <c r="M24" i="4" s="1"/>
  <c r="P25" i="4"/>
  <c r="P26" i="4"/>
  <c r="P27" i="4"/>
  <c r="P28" i="4"/>
  <c r="M28" i="4" s="1"/>
  <c r="P29" i="4"/>
  <c r="M29" i="4" s="1"/>
  <c r="P30" i="4"/>
  <c r="M30" i="4" s="1"/>
  <c r="P31" i="4"/>
  <c r="P32" i="4"/>
  <c r="M32" i="4" s="1"/>
  <c r="P33" i="4"/>
  <c r="P34" i="4"/>
  <c r="M34" i="4" s="1"/>
  <c r="P35" i="4"/>
  <c r="P37" i="4"/>
  <c r="P38" i="4"/>
  <c r="P39" i="4"/>
  <c r="M39" i="4" s="1"/>
  <c r="P41" i="4"/>
  <c r="P42" i="4"/>
  <c r="P45" i="4"/>
  <c r="P48" i="4"/>
  <c r="P49" i="4"/>
  <c r="P50" i="4"/>
  <c r="P52" i="4"/>
  <c r="M52" i="4" s="1"/>
  <c r="P53" i="4"/>
  <c r="P104" i="4" s="1"/>
  <c r="P54" i="4"/>
  <c r="P57" i="4"/>
  <c r="M57" i="4" s="1"/>
  <c r="P59" i="4"/>
  <c r="P62" i="4"/>
  <c r="M62" i="4" s="1"/>
  <c r="P63" i="4"/>
  <c r="P64" i="4"/>
  <c r="P66" i="4"/>
  <c r="P70" i="4"/>
  <c r="P72" i="4"/>
  <c r="P73" i="4"/>
  <c r="M73" i="4" s="1"/>
  <c r="P78" i="4"/>
  <c r="P6" i="4"/>
  <c r="M6" i="4" s="1"/>
  <c r="Q6" i="4"/>
  <c r="Q7" i="4"/>
  <c r="Q10" i="4"/>
  <c r="Q11" i="4"/>
  <c r="Q12" i="4"/>
  <c r="Q13" i="4"/>
  <c r="Q14" i="4"/>
  <c r="Q15" i="4"/>
  <c r="Q16" i="4"/>
  <c r="Q17" i="4"/>
  <c r="Q18" i="4"/>
  <c r="Q19" i="4"/>
  <c r="Q20" i="4"/>
  <c r="Q21" i="4"/>
  <c r="Q22" i="4"/>
  <c r="M22" i="4" s="1"/>
  <c r="Q23" i="4"/>
  <c r="Q24" i="4"/>
  <c r="Q97" i="4" s="1"/>
  <c r="Q25" i="4"/>
  <c r="Q26" i="4"/>
  <c r="Q27" i="4"/>
  <c r="Q28" i="4"/>
  <c r="Q29" i="4"/>
  <c r="Q30" i="4"/>
  <c r="Q31" i="4"/>
  <c r="Q32" i="4"/>
  <c r="Q33" i="4"/>
  <c r="Q34" i="4"/>
  <c r="Q35" i="4"/>
  <c r="Q37" i="4"/>
  <c r="Q38" i="4"/>
  <c r="Q39" i="4"/>
  <c r="Q41" i="4"/>
  <c r="Q42" i="4"/>
  <c r="Q45" i="4"/>
  <c r="Q48" i="4"/>
  <c r="Q49" i="4"/>
  <c r="Q50" i="4"/>
  <c r="M50" i="4" s="1"/>
  <c r="Q52" i="4"/>
  <c r="Q53" i="4"/>
  <c r="Q104" i="4" s="1"/>
  <c r="Q54" i="4"/>
  <c r="Q57" i="4"/>
  <c r="Q59" i="4"/>
  <c r="Q62" i="4"/>
  <c r="Q64" i="4"/>
  <c r="Q66" i="4"/>
  <c r="Q70" i="4"/>
  <c r="Q73" i="4"/>
  <c r="Q78" i="4"/>
  <c r="Q79" i="4"/>
  <c r="R81" i="4"/>
  <c r="R113" i="4" s="1"/>
  <c r="S81" i="4"/>
  <c r="S113" i="4" s="1"/>
  <c r="T81" i="4"/>
  <c r="T113" i="4" s="1"/>
  <c r="U81" i="4"/>
  <c r="U113" i="4" s="1"/>
  <c r="V81" i="4"/>
  <c r="V113" i="4" s="1"/>
  <c r="W81" i="4"/>
  <c r="W113" i="4" s="1"/>
  <c r="X81" i="4"/>
  <c r="X113" i="4" s="1"/>
  <c r="Y81" i="4"/>
  <c r="Y113" i="4" s="1"/>
  <c r="Z81" i="4"/>
  <c r="Z113" i="4" s="1"/>
  <c r="AA81" i="4"/>
  <c r="AA113" i="4" s="1"/>
  <c r="AB81" i="4"/>
  <c r="AB113" i="4" s="1"/>
  <c r="AC81" i="4"/>
  <c r="AC113" i="4" s="1"/>
  <c r="AD81" i="4"/>
  <c r="AD113" i="4" s="1"/>
  <c r="R77" i="4"/>
  <c r="S77" i="4"/>
  <c r="T77" i="4"/>
  <c r="U77" i="4"/>
  <c r="V77" i="4"/>
  <c r="W77" i="4"/>
  <c r="X77" i="4"/>
  <c r="Y77" i="4"/>
  <c r="Z77" i="4"/>
  <c r="AA77" i="4"/>
  <c r="AB77" i="4"/>
  <c r="AC77" i="4"/>
  <c r="AD77" i="4"/>
  <c r="E103" i="2"/>
  <c r="D99" i="2"/>
  <c r="E99" i="2" s="1"/>
  <c r="D98" i="2"/>
  <c r="D100" i="10"/>
  <c r="D101" i="19"/>
  <c r="E101" i="19" s="1"/>
  <c r="D100" i="19"/>
  <c r="L103" i="10"/>
  <c r="L104" i="10" s="1"/>
  <c r="L105" i="10" s="1"/>
  <c r="N103" i="10"/>
  <c r="E148" i="19"/>
  <c r="E149" i="19" s="1"/>
  <c r="E150" i="19" s="1"/>
  <c r="E151" i="19" s="1"/>
  <c r="E152" i="19" s="1"/>
  <c r="D148" i="19"/>
  <c r="D149" i="19" s="1"/>
  <c r="D150" i="19" s="1"/>
  <c r="D151" i="19" s="1"/>
  <c r="D152" i="19" s="1"/>
  <c r="E104" i="19"/>
  <c r="D179" i="20"/>
  <c r="D180" i="20" s="1"/>
  <c r="E179" i="20"/>
  <c r="E180" i="20" s="1"/>
  <c r="E181" i="20" s="1"/>
  <c r="E182" i="20" s="1"/>
  <c r="E183" i="20" s="1"/>
  <c r="A121" i="20"/>
  <c r="E149" i="22"/>
  <c r="E138" i="20"/>
  <c r="E137" i="20"/>
  <c r="D138" i="20"/>
  <c r="D137" i="20"/>
  <c r="D136" i="20"/>
  <c r="E135" i="20"/>
  <c r="D129" i="20"/>
  <c r="E129" i="20" s="1"/>
  <c r="D98" i="22"/>
  <c r="D97" i="22"/>
  <c r="E152" i="22"/>
  <c r="E151" i="22"/>
  <c r="D127" i="22"/>
  <c r="H39" i="21"/>
  <c r="E197" i="21" s="1"/>
  <c r="E199" i="21" s="1"/>
  <c r="E200" i="21" s="1"/>
  <c r="E202" i="21" s="1"/>
  <c r="E203" i="21" s="1"/>
  <c r="E205" i="21" s="1"/>
  <c r="A50" i="22"/>
  <c r="P65" i="1" s="1"/>
  <c r="A41" i="22"/>
  <c r="O65" i="1" s="1"/>
  <c r="D122" i="21"/>
  <c r="E181" i="21"/>
  <c r="E196" i="21"/>
  <c r="D92" i="21"/>
  <c r="M104" i="19"/>
  <c r="M105" i="19" s="1"/>
  <c r="M106" i="19" s="1"/>
  <c r="O104" i="19"/>
  <c r="O105" i="19" s="1"/>
  <c r="O106" i="19" s="1"/>
  <c r="D105" i="19"/>
  <c r="D106" i="19"/>
  <c r="E106" i="19"/>
  <c r="G106" i="19"/>
  <c r="A85" i="21"/>
  <c r="AC71" i="21"/>
  <c r="AD71" i="21"/>
  <c r="AC60" i="21"/>
  <c r="AD60" i="21"/>
  <c r="G205" i="31" l="1"/>
  <c r="M49" i="4"/>
  <c r="M27" i="4"/>
  <c r="M11" i="4"/>
  <c r="M43" i="4"/>
  <c r="Q110" i="4"/>
  <c r="M78" i="4"/>
  <c r="M45" i="4"/>
  <c r="M25" i="4"/>
  <c r="M7" i="4"/>
  <c r="E241" i="21"/>
  <c r="M42" i="4"/>
  <c r="M79" i="4"/>
  <c r="M23" i="4"/>
  <c r="M26" i="4"/>
  <c r="M66" i="4"/>
  <c r="M38" i="4"/>
  <c r="M21" i="4"/>
  <c r="G238" i="21"/>
  <c r="G240" i="21"/>
  <c r="M41" i="4"/>
  <c r="M70" i="4"/>
  <c r="M64" i="4"/>
  <c r="M37" i="4"/>
  <c r="M20" i="4"/>
  <c r="M35" i="4"/>
  <c r="M19" i="4"/>
  <c r="G235" i="21"/>
  <c r="H235" i="21" s="1"/>
  <c r="I10" i="23" s="1"/>
  <c r="M59" i="4"/>
  <c r="M33" i="4"/>
  <c r="M17" i="4"/>
  <c r="M48" i="4"/>
  <c r="M10" i="4"/>
  <c r="M54" i="4"/>
  <c r="M31" i="4"/>
  <c r="M15" i="4"/>
  <c r="M53" i="4"/>
  <c r="O77" i="4"/>
  <c r="M14" i="6"/>
  <c r="O110" i="4"/>
  <c r="O46" i="4"/>
  <c r="O108" i="4"/>
  <c r="O71" i="4"/>
  <c r="O100" i="4"/>
  <c r="O106" i="4"/>
  <c r="O107" i="4"/>
  <c r="J177" i="27"/>
  <c r="L177" i="27" s="1"/>
  <c r="O105" i="4"/>
  <c r="H259" i="31"/>
  <c r="H238" i="31"/>
  <c r="E212" i="31"/>
  <c r="D212" i="31"/>
  <c r="G170" i="31"/>
  <c r="G171" i="31"/>
  <c r="D213" i="31"/>
  <c r="D214" i="31" s="1"/>
  <c r="D215" i="31" s="1"/>
  <c r="H256" i="31"/>
  <c r="H236" i="31"/>
  <c r="H252" i="31"/>
  <c r="E205" i="31"/>
  <c r="B205" i="31" s="1"/>
  <c r="M171" i="31"/>
  <c r="M172" i="31" s="1"/>
  <c r="D212" i="28"/>
  <c r="D213" i="28" s="1"/>
  <c r="D214" i="28" s="1"/>
  <c r="D215" i="28" s="1"/>
  <c r="H263" i="28"/>
  <c r="J202" i="28"/>
  <c r="M202" i="28" s="1"/>
  <c r="G205" i="28"/>
  <c r="H237" i="28"/>
  <c r="O111" i="4"/>
  <c r="H261" i="28"/>
  <c r="H255" i="28"/>
  <c r="H239" i="28"/>
  <c r="E211" i="28"/>
  <c r="G171" i="28"/>
  <c r="D171" i="28"/>
  <c r="G170" i="28"/>
  <c r="D170" i="28"/>
  <c r="M169" i="28"/>
  <c r="M170" i="28" s="1"/>
  <c r="E205" i="28"/>
  <c r="B205" i="28" s="1"/>
  <c r="H217" i="21"/>
  <c r="I9" i="23" s="1"/>
  <c r="H238" i="21"/>
  <c r="I11" i="23" s="1"/>
  <c r="AA5" i="6"/>
  <c r="N139" i="21"/>
  <c r="F238" i="21"/>
  <c r="G216" i="21"/>
  <c r="AA120" i="17"/>
  <c r="C26" i="24"/>
  <c r="G26" i="24" s="1"/>
  <c r="R39" i="17"/>
  <c r="Q39" i="17"/>
  <c r="C24" i="24"/>
  <c r="G24" i="24" s="1"/>
  <c r="G3" i="24"/>
  <c r="C21" i="24"/>
  <c r="G21" i="24" s="1"/>
  <c r="C22" i="24"/>
  <c r="G22" i="24" s="1"/>
  <c r="Y120" i="17"/>
  <c r="C25" i="24"/>
  <c r="G25" i="24" s="1"/>
  <c r="D181" i="20"/>
  <c r="D182" i="20" s="1"/>
  <c r="D183" i="20" s="1"/>
  <c r="U120" i="17"/>
  <c r="W70" i="6"/>
  <c r="M137" i="21"/>
  <c r="N150" i="21"/>
  <c r="N159" i="21" s="1"/>
  <c r="G138" i="21"/>
  <c r="C23" i="24"/>
  <c r="G23" i="24" s="1"/>
  <c r="C27" i="24"/>
  <c r="G27" i="24" s="1"/>
  <c r="C28" i="24"/>
  <c r="G28" i="24" s="1"/>
  <c r="C29" i="24"/>
  <c r="G29" i="24" s="1"/>
  <c r="M152" i="27"/>
  <c r="M153" i="27" s="1"/>
  <c r="H219" i="27"/>
  <c r="G9" i="23" s="1"/>
  <c r="H217" i="27"/>
  <c r="G8" i="23" s="1"/>
  <c r="H235" i="27"/>
  <c r="G11" i="23" s="1"/>
  <c r="H237" i="27"/>
  <c r="G12" i="23" s="1"/>
  <c r="H233" i="27"/>
  <c r="G10" i="23" s="1"/>
  <c r="E185" i="27"/>
  <c r="G152" i="27"/>
  <c r="D152" i="27"/>
  <c r="G151" i="27"/>
  <c r="D151" i="27"/>
  <c r="F185" i="27"/>
  <c r="D149" i="27"/>
  <c r="G149" i="27" s="1"/>
  <c r="Q112" i="4"/>
  <c r="Q98" i="4"/>
  <c r="P98" i="4"/>
  <c r="P97" i="4"/>
  <c r="Y39" i="17"/>
  <c r="V39" i="17"/>
  <c r="AB39" i="17"/>
  <c r="Z39" i="17"/>
  <c r="AA39" i="17"/>
  <c r="W39" i="17"/>
  <c r="AD39" i="17"/>
  <c r="AE39" i="17"/>
  <c r="X39" i="17"/>
  <c r="S39" i="17"/>
  <c r="T39" i="17"/>
  <c r="U39" i="17"/>
  <c r="AC39" i="17"/>
  <c r="G218" i="22"/>
  <c r="G222" i="20"/>
  <c r="G241" i="20"/>
  <c r="E245" i="20"/>
  <c r="H223" i="20" s="1"/>
  <c r="J9" i="23" s="1"/>
  <c r="G238" i="20"/>
  <c r="G244" i="20"/>
  <c r="E237" i="22"/>
  <c r="G233" i="22"/>
  <c r="G236" i="22"/>
  <c r="G216" i="22"/>
  <c r="G218" i="20"/>
  <c r="E98" i="22"/>
  <c r="E122" i="21"/>
  <c r="E127" i="22"/>
  <c r="D152" i="22" s="1"/>
  <c r="H206" i="21"/>
  <c r="H205" i="21"/>
  <c r="H216" i="21" l="1"/>
  <c r="I8" i="23" s="1"/>
  <c r="H240" i="21"/>
  <c r="I12" i="23" s="1"/>
  <c r="J179" i="27"/>
  <c r="O109" i="4"/>
  <c r="O102" i="4"/>
  <c r="D168" i="31"/>
  <c r="G168" i="31" s="1"/>
  <c r="D216" i="31"/>
  <c r="E213" i="31"/>
  <c r="E214" i="31" s="1"/>
  <c r="E215" i="31" s="1"/>
  <c r="D216" i="28"/>
  <c r="E212" i="28"/>
  <c r="E213" i="28" s="1"/>
  <c r="E214" i="28" s="1"/>
  <c r="E215" i="28" s="1"/>
  <c r="D168" i="28"/>
  <c r="G168" i="28" s="1"/>
  <c r="M171" i="28"/>
  <c r="M172" i="28" s="1"/>
  <c r="D172" i="28"/>
  <c r="D173" i="28"/>
  <c r="AA6" i="6"/>
  <c r="N141" i="21"/>
  <c r="AA8" i="6" s="1"/>
  <c r="N140" i="21"/>
  <c r="AA7" i="6" s="1"/>
  <c r="D186" i="27"/>
  <c r="D187" i="27" s="1"/>
  <c r="D188" i="27" s="1"/>
  <c r="D189" i="27" s="1"/>
  <c r="E186" i="27"/>
  <c r="E187" i="27" s="1"/>
  <c r="E188" i="27" s="1"/>
  <c r="E189" i="27" s="1"/>
  <c r="D153" i="27"/>
  <c r="D154" i="27"/>
  <c r="L39" i="17"/>
  <c r="N39" i="17"/>
  <c r="H218" i="22"/>
  <c r="H9" i="23" s="1"/>
  <c r="H234" i="22"/>
  <c r="H11" i="23" s="1"/>
  <c r="H233" i="22"/>
  <c r="H10" i="23" s="1"/>
  <c r="H236" i="22"/>
  <c r="H12" i="23" s="1"/>
  <c r="H218" i="20"/>
  <c r="J7" i="23" s="1"/>
  <c r="H244" i="20"/>
  <c r="J12" i="23" s="1"/>
  <c r="H238" i="20"/>
  <c r="J10" i="23" s="1"/>
  <c r="H222" i="20"/>
  <c r="J8" i="23" s="1"/>
  <c r="H241" i="20"/>
  <c r="J11" i="23" s="1"/>
  <c r="H216" i="22"/>
  <c r="H8" i="23" s="1"/>
  <c r="D35" i="6"/>
  <c r="E35" i="6"/>
  <c r="F35" i="6"/>
  <c r="G35" i="6"/>
  <c r="H35" i="6"/>
  <c r="I35" i="6"/>
  <c r="J35" i="6"/>
  <c r="K35" i="6"/>
  <c r="D36" i="6"/>
  <c r="E36" i="6"/>
  <c r="F36" i="6"/>
  <c r="G36" i="6"/>
  <c r="D37" i="6"/>
  <c r="E37" i="6"/>
  <c r="F37" i="6"/>
  <c r="G37" i="6"/>
  <c r="H37" i="6"/>
  <c r="I37" i="6"/>
  <c r="K37" i="6"/>
  <c r="D38" i="6"/>
  <c r="E38" i="6"/>
  <c r="F38" i="6"/>
  <c r="G38" i="6"/>
  <c r="H38" i="6"/>
  <c r="I38" i="6"/>
  <c r="D39" i="6"/>
  <c r="E39" i="6"/>
  <c r="F39" i="6"/>
  <c r="G39" i="6"/>
  <c r="H39" i="6"/>
  <c r="D40" i="6"/>
  <c r="E40" i="6"/>
  <c r="F40" i="6"/>
  <c r="G40" i="6"/>
  <c r="H40" i="6"/>
  <c r="I40" i="6"/>
  <c r="K40" i="6"/>
  <c r="D41" i="6"/>
  <c r="E41" i="6"/>
  <c r="F41" i="6"/>
  <c r="G41" i="6"/>
  <c r="H41" i="6"/>
  <c r="I41" i="6"/>
  <c r="J41" i="6"/>
  <c r="K41" i="6"/>
  <c r="D42" i="6"/>
  <c r="E42" i="6"/>
  <c r="F42" i="6"/>
  <c r="G42" i="6"/>
  <c r="H42" i="6"/>
  <c r="D43" i="6"/>
  <c r="E43" i="6"/>
  <c r="F43" i="6"/>
  <c r="G43" i="6"/>
  <c r="H43" i="6"/>
  <c r="I43" i="6"/>
  <c r="D44" i="6"/>
  <c r="E44" i="6"/>
  <c r="F44" i="6"/>
  <c r="G44" i="6"/>
  <c r="H44" i="6"/>
  <c r="I44" i="6"/>
  <c r="J44" i="6"/>
  <c r="D46" i="6"/>
  <c r="E46" i="6"/>
  <c r="F46" i="6"/>
  <c r="G46" i="6"/>
  <c r="H46" i="6"/>
  <c r="I46" i="6"/>
  <c r="J46" i="6"/>
  <c r="K46" i="6"/>
  <c r="D47" i="6"/>
  <c r="E47" i="6"/>
  <c r="F47" i="6"/>
  <c r="G47" i="6"/>
  <c r="H47" i="6"/>
  <c r="I47" i="6"/>
  <c r="J47" i="6"/>
  <c r="AJ5" i="22"/>
  <c r="AJ6" i="22"/>
  <c r="AJ7" i="22"/>
  <c r="AJ8" i="22"/>
  <c r="AJ9" i="22"/>
  <c r="AJ10" i="22"/>
  <c r="AJ11" i="22"/>
  <c r="AJ12" i="22"/>
  <c r="AJ13" i="22"/>
  <c r="AJ14" i="22"/>
  <c r="AJ15" i="22"/>
  <c r="AJ16" i="22"/>
  <c r="AJ17" i="22"/>
  <c r="AJ18" i="22"/>
  <c r="AJ19" i="22"/>
  <c r="AJ20" i="22"/>
  <c r="AJ21" i="22"/>
  <c r="AJ22" i="22"/>
  <c r="AI5" i="22"/>
  <c r="AI6" i="22"/>
  <c r="AI7" i="22"/>
  <c r="AI8" i="22"/>
  <c r="AI9" i="22"/>
  <c r="AI10" i="22"/>
  <c r="AI11" i="22"/>
  <c r="AI12" i="22"/>
  <c r="AI13" i="22"/>
  <c r="AI14" i="22"/>
  <c r="AI15" i="22"/>
  <c r="AI16" i="22"/>
  <c r="AI17" i="22"/>
  <c r="AI18" i="22"/>
  <c r="AI19" i="22"/>
  <c r="AI20" i="22"/>
  <c r="AI21" i="22"/>
  <c r="AI22" i="22"/>
  <c r="AI23" i="22"/>
  <c r="AI24" i="22"/>
  <c r="K4" i="6"/>
  <c r="K6" i="6"/>
  <c r="K7" i="6"/>
  <c r="K9" i="6"/>
  <c r="K10" i="6"/>
  <c r="K13" i="6"/>
  <c r="K16" i="6"/>
  <c r="K17" i="6"/>
  <c r="K18" i="6"/>
  <c r="K20" i="6"/>
  <c r="K21" i="6"/>
  <c r="K22" i="6"/>
  <c r="K25" i="6"/>
  <c r="K29" i="6"/>
  <c r="K31" i="6"/>
  <c r="K33" i="6"/>
  <c r="K3" i="6"/>
  <c r="J4" i="6"/>
  <c r="J6" i="6"/>
  <c r="J7" i="6"/>
  <c r="J9" i="6"/>
  <c r="J10" i="6"/>
  <c r="J16" i="6"/>
  <c r="J17" i="6"/>
  <c r="J18" i="6"/>
  <c r="J20" i="6"/>
  <c r="J21" i="6"/>
  <c r="J22" i="6"/>
  <c r="J25" i="6"/>
  <c r="J27" i="6"/>
  <c r="J29" i="6"/>
  <c r="J31" i="6"/>
  <c r="J3" i="6"/>
  <c r="F13" i="6"/>
  <c r="G13" i="6"/>
  <c r="H13" i="6"/>
  <c r="I13" i="6"/>
  <c r="F15" i="6"/>
  <c r="F16" i="6"/>
  <c r="G16" i="6"/>
  <c r="H16" i="6"/>
  <c r="I16" i="6"/>
  <c r="F17" i="6"/>
  <c r="G17" i="6"/>
  <c r="I17" i="6"/>
  <c r="H18" i="6"/>
  <c r="F20" i="6"/>
  <c r="I20" i="6"/>
  <c r="F21" i="6"/>
  <c r="G21" i="6"/>
  <c r="H21" i="6"/>
  <c r="I21" i="6"/>
  <c r="G22" i="6"/>
  <c r="I22" i="6"/>
  <c r="F24" i="6"/>
  <c r="G24" i="6"/>
  <c r="F25" i="6"/>
  <c r="G25" i="6"/>
  <c r="F26" i="6"/>
  <c r="G26" i="6"/>
  <c r="H27" i="6"/>
  <c r="I27" i="6"/>
  <c r="F29" i="6"/>
  <c r="I29" i="6"/>
  <c r="F30" i="6"/>
  <c r="G30" i="6"/>
  <c r="H30" i="6"/>
  <c r="F31" i="6"/>
  <c r="H31" i="6"/>
  <c r="I31" i="6"/>
  <c r="F32" i="6"/>
  <c r="F33" i="6"/>
  <c r="F34" i="6"/>
  <c r="E13" i="6"/>
  <c r="E15" i="6"/>
  <c r="E20" i="6"/>
  <c r="E21" i="6"/>
  <c r="E24" i="6"/>
  <c r="E25" i="6"/>
  <c r="E26" i="6"/>
  <c r="E29" i="6"/>
  <c r="E30" i="6"/>
  <c r="E31" i="6"/>
  <c r="E33" i="6"/>
  <c r="E34" i="6"/>
  <c r="D13" i="6"/>
  <c r="D15" i="6"/>
  <c r="D16" i="6"/>
  <c r="D19" i="6"/>
  <c r="D20" i="6"/>
  <c r="D23" i="6"/>
  <c r="D24" i="6"/>
  <c r="D25" i="6"/>
  <c r="D26" i="6"/>
  <c r="D28" i="6"/>
  <c r="D29" i="6"/>
  <c r="D30" i="6"/>
  <c r="D31" i="6"/>
  <c r="D32" i="6"/>
  <c r="D33" i="6"/>
  <c r="D34" i="6"/>
  <c r="AJ24" i="22"/>
  <c r="AJ23" i="22"/>
  <c r="AI36" i="22"/>
  <c r="AJ36" i="22"/>
  <c r="A25" i="22"/>
  <c r="N65" i="1" s="1"/>
  <c r="R65" i="1" s="1"/>
  <c r="T116" i="6"/>
  <c r="U116" i="6"/>
  <c r="V116" i="6"/>
  <c r="W116" i="6"/>
  <c r="X116" i="6"/>
  <c r="Y116" i="6"/>
  <c r="Z116" i="6"/>
  <c r="AA116" i="6"/>
  <c r="AB116" i="6"/>
  <c r="AC116" i="6"/>
  <c r="AD116" i="6"/>
  <c r="AE116" i="6"/>
  <c r="AF116" i="6"/>
  <c r="T117" i="6"/>
  <c r="U117" i="6"/>
  <c r="V117" i="6"/>
  <c r="W117" i="6"/>
  <c r="X117" i="6"/>
  <c r="Y117" i="6"/>
  <c r="Z117" i="6"/>
  <c r="AA117" i="6"/>
  <c r="AB117" i="6"/>
  <c r="AC117" i="6"/>
  <c r="AD117" i="6"/>
  <c r="AE117" i="6"/>
  <c r="AF117" i="6"/>
  <c r="T118" i="6"/>
  <c r="U118" i="6"/>
  <c r="V118" i="6"/>
  <c r="W118" i="6"/>
  <c r="X118" i="6"/>
  <c r="Y118" i="6"/>
  <c r="Z118" i="6"/>
  <c r="AA118" i="6"/>
  <c r="AB118" i="6"/>
  <c r="AC118" i="6"/>
  <c r="AD118" i="6"/>
  <c r="AE118" i="6"/>
  <c r="AF118" i="6"/>
  <c r="S117" i="6"/>
  <c r="S118" i="6"/>
  <c r="S116" i="6"/>
  <c r="AB39" i="1"/>
  <c r="AB37" i="1"/>
  <c r="AB14" i="1"/>
  <c r="AB13" i="1"/>
  <c r="R75" i="1"/>
  <c r="R76" i="1"/>
  <c r="R77" i="1"/>
  <c r="R78" i="1"/>
  <c r="E209" i="22"/>
  <c r="E208" i="22"/>
  <c r="E207" i="22"/>
  <c r="E205" i="22"/>
  <c r="E204" i="22"/>
  <c r="E203" i="22"/>
  <c r="E201" i="22"/>
  <c r="E200" i="22"/>
  <c r="F193" i="22"/>
  <c r="E193" i="22"/>
  <c r="E194" i="22" s="1"/>
  <c r="E195" i="22" s="1"/>
  <c r="E196" i="22" s="1"/>
  <c r="E197" i="22" s="1"/>
  <c r="AH83" i="6" s="1"/>
  <c r="D193" i="22"/>
  <c r="D194" i="22" s="1"/>
  <c r="D195" i="22" s="1"/>
  <c r="D196" i="22" s="1"/>
  <c r="D197" i="22" s="1"/>
  <c r="AG83" i="6" s="1"/>
  <c r="G188" i="22"/>
  <c r="F188" i="22"/>
  <c r="E188" i="22"/>
  <c r="D188" i="22"/>
  <c r="G187" i="22"/>
  <c r="F187" i="22"/>
  <c r="E187" i="22"/>
  <c r="D187" i="22"/>
  <c r="G186" i="22"/>
  <c r="F186" i="22"/>
  <c r="E186" i="22"/>
  <c r="D186" i="22"/>
  <c r="G185" i="22"/>
  <c r="F185" i="22"/>
  <c r="E185" i="22"/>
  <c r="D185" i="22"/>
  <c r="G184" i="22"/>
  <c r="F184" i="22"/>
  <c r="E184" i="22"/>
  <c r="D184" i="22"/>
  <c r="G183" i="22"/>
  <c r="F183" i="22"/>
  <c r="E183" i="22"/>
  <c r="D183" i="22"/>
  <c r="A183" i="22"/>
  <c r="G182" i="22"/>
  <c r="F182" i="22"/>
  <c r="E182" i="22"/>
  <c r="D182" i="22"/>
  <c r="A182" i="22"/>
  <c r="G181" i="22"/>
  <c r="F181" i="22"/>
  <c r="E181" i="22"/>
  <c r="D181" i="22"/>
  <c r="A181" i="22"/>
  <c r="Q72" i="17"/>
  <c r="G180" i="22"/>
  <c r="F180" i="22"/>
  <c r="E180" i="22"/>
  <c r="D180" i="22"/>
  <c r="A180" i="22"/>
  <c r="Q73" i="17"/>
  <c r="Q122" i="17" s="1"/>
  <c r="G179" i="22"/>
  <c r="F179" i="22"/>
  <c r="E179" i="22"/>
  <c r="D179" i="22"/>
  <c r="A179" i="22"/>
  <c r="Q69" i="17"/>
  <c r="G178" i="22"/>
  <c r="F178" i="22"/>
  <c r="E178" i="22"/>
  <c r="D178" i="22"/>
  <c r="A178" i="22"/>
  <c r="Q68" i="17"/>
  <c r="G177" i="22"/>
  <c r="F177" i="22"/>
  <c r="E177" i="22"/>
  <c r="D177" i="22"/>
  <c r="A177" i="22"/>
  <c r="Q67" i="17"/>
  <c r="G176" i="22"/>
  <c r="F176" i="22"/>
  <c r="E176" i="22"/>
  <c r="D176" i="22"/>
  <c r="A176" i="22"/>
  <c r="Q66" i="17"/>
  <c r="Q119" i="17" s="1"/>
  <c r="G175" i="22"/>
  <c r="F175" i="22"/>
  <c r="E175" i="22"/>
  <c r="D175" i="22"/>
  <c r="A175" i="22"/>
  <c r="Q64" i="17"/>
  <c r="G174" i="22"/>
  <c r="F174" i="22"/>
  <c r="E174" i="22"/>
  <c r="D174" i="22"/>
  <c r="A174" i="22"/>
  <c r="G173" i="22"/>
  <c r="F173" i="22"/>
  <c r="E173" i="22"/>
  <c r="D173" i="22"/>
  <c r="A173" i="22"/>
  <c r="G172" i="22"/>
  <c r="F172" i="22"/>
  <c r="E172" i="22"/>
  <c r="D172" i="22"/>
  <c r="A172" i="22"/>
  <c r="G171" i="22"/>
  <c r="F171" i="22"/>
  <c r="E171" i="22"/>
  <c r="D171" i="22"/>
  <c r="A171" i="22"/>
  <c r="Q62" i="17"/>
  <c r="G170" i="22"/>
  <c r="F170" i="22"/>
  <c r="E170" i="22"/>
  <c r="D170" i="22"/>
  <c r="A170" i="22"/>
  <c r="G169" i="22"/>
  <c r="F169" i="22"/>
  <c r="E169" i="22"/>
  <c r="D169" i="22"/>
  <c r="A169" i="22"/>
  <c r="G168" i="22"/>
  <c r="F168" i="22"/>
  <c r="E168" i="22"/>
  <c r="D168" i="22"/>
  <c r="A168" i="22"/>
  <c r="Q54" i="17"/>
  <c r="G167" i="22"/>
  <c r="F167" i="22"/>
  <c r="E167" i="22"/>
  <c r="D167" i="22"/>
  <c r="A167" i="22"/>
  <c r="Q52" i="17"/>
  <c r="G166" i="22"/>
  <c r="F166" i="22"/>
  <c r="E166" i="22"/>
  <c r="D166" i="22"/>
  <c r="A166" i="22"/>
  <c r="G165" i="22"/>
  <c r="F165" i="22"/>
  <c r="E165" i="22"/>
  <c r="D165" i="22"/>
  <c r="A165" i="22"/>
  <c r="G164" i="22"/>
  <c r="F164" i="22"/>
  <c r="E164" i="22"/>
  <c r="D164" i="22"/>
  <c r="A164" i="22"/>
  <c r="G163" i="22"/>
  <c r="F163" i="22"/>
  <c r="E163" i="22"/>
  <c r="D163" i="22"/>
  <c r="A163" i="22"/>
  <c r="G162" i="22"/>
  <c r="F162" i="22"/>
  <c r="E162" i="22"/>
  <c r="D162" i="22"/>
  <c r="A162" i="22"/>
  <c r="G161" i="22"/>
  <c r="F161" i="22"/>
  <c r="E161" i="22"/>
  <c r="D161" i="22"/>
  <c r="A161" i="22"/>
  <c r="G160" i="22"/>
  <c r="F160" i="22"/>
  <c r="E160" i="22"/>
  <c r="D160" i="22"/>
  <c r="A160" i="22"/>
  <c r="G159" i="22"/>
  <c r="F159" i="22"/>
  <c r="E159" i="22"/>
  <c r="D159" i="22"/>
  <c r="A159" i="22"/>
  <c r="G158" i="22"/>
  <c r="F158" i="22"/>
  <c r="E158" i="22"/>
  <c r="D110" i="6" s="1"/>
  <c r="D158" i="22"/>
  <c r="A158" i="22"/>
  <c r="G157" i="22"/>
  <c r="F157" i="22"/>
  <c r="E157" i="22"/>
  <c r="D157" i="22"/>
  <c r="A157" i="22"/>
  <c r="L154" i="22"/>
  <c r="G152" i="22"/>
  <c r="Z33" i="6" s="1"/>
  <c r="G151" i="22"/>
  <c r="Z34" i="6" s="1"/>
  <c r="D151" i="22"/>
  <c r="D150" i="22"/>
  <c r="N149" i="22"/>
  <c r="M149" i="22"/>
  <c r="AJ90" i="22"/>
  <c r="AI90" i="22"/>
  <c r="AJ89" i="22"/>
  <c r="AI89" i="22"/>
  <c r="AJ88" i="22"/>
  <c r="AI88" i="22"/>
  <c r="AJ87" i="22"/>
  <c r="AI87" i="22"/>
  <c r="AJ86" i="22"/>
  <c r="AI86" i="22"/>
  <c r="AJ85" i="22"/>
  <c r="AI85" i="22"/>
  <c r="AJ84" i="22"/>
  <c r="AI84" i="22"/>
  <c r="AJ83" i="22"/>
  <c r="AI83" i="22"/>
  <c r="AJ82" i="22"/>
  <c r="AI82" i="22"/>
  <c r="AJ81" i="22"/>
  <c r="AI81" i="22"/>
  <c r="AJ80" i="22"/>
  <c r="AI80" i="22"/>
  <c r="AJ79" i="22"/>
  <c r="AI79" i="22"/>
  <c r="AJ78" i="22"/>
  <c r="AI78" i="22"/>
  <c r="AJ77" i="22"/>
  <c r="AI77" i="22"/>
  <c r="AJ76" i="22"/>
  <c r="AI76" i="22"/>
  <c r="AJ75" i="22"/>
  <c r="AI75" i="22"/>
  <c r="AJ74" i="22"/>
  <c r="AI74" i="22"/>
  <c r="AJ73" i="22"/>
  <c r="AI73" i="22"/>
  <c r="AJ72" i="22"/>
  <c r="AI72" i="22"/>
  <c r="AJ71" i="22"/>
  <c r="AI71" i="22"/>
  <c r="AJ70" i="22"/>
  <c r="AI70" i="22"/>
  <c r="AJ69" i="22"/>
  <c r="AI69" i="22"/>
  <c r="AJ68" i="22"/>
  <c r="AI68" i="22"/>
  <c r="AJ67" i="22"/>
  <c r="AI67" i="22"/>
  <c r="AJ66" i="22"/>
  <c r="AI66" i="22"/>
  <c r="AJ65" i="22"/>
  <c r="AI65" i="22"/>
  <c r="AJ64" i="22"/>
  <c r="AI64" i="22"/>
  <c r="AJ63" i="22"/>
  <c r="AI63" i="22"/>
  <c r="AJ62" i="22"/>
  <c r="AI62" i="22"/>
  <c r="AJ61" i="22"/>
  <c r="AI61" i="22"/>
  <c r="AJ60" i="22"/>
  <c r="AI60" i="22"/>
  <c r="AJ59" i="22"/>
  <c r="AI59" i="22"/>
  <c r="AJ58" i="22"/>
  <c r="AI58" i="22"/>
  <c r="AJ57" i="22"/>
  <c r="AI57" i="22"/>
  <c r="AJ56" i="22"/>
  <c r="AI56" i="22"/>
  <c r="AJ55" i="22"/>
  <c r="AI55" i="22"/>
  <c r="AJ54" i="22"/>
  <c r="AI54" i="22"/>
  <c r="AJ53" i="22"/>
  <c r="AI53" i="22"/>
  <c r="AJ52" i="22"/>
  <c r="AI52" i="22"/>
  <c r="AJ51" i="22"/>
  <c r="AI51" i="22"/>
  <c r="AJ50" i="22"/>
  <c r="AI50" i="22"/>
  <c r="AJ49" i="22"/>
  <c r="AI49" i="22"/>
  <c r="AJ48" i="22"/>
  <c r="AI48" i="22"/>
  <c r="AJ47" i="22"/>
  <c r="AI47" i="22"/>
  <c r="AJ46" i="22"/>
  <c r="AI46" i="22"/>
  <c r="AJ45" i="22"/>
  <c r="AI45" i="22"/>
  <c r="AJ44" i="22"/>
  <c r="AI44" i="22"/>
  <c r="AJ43" i="22"/>
  <c r="AI43" i="22"/>
  <c r="AJ42" i="22"/>
  <c r="AI42" i="22"/>
  <c r="AJ41" i="22"/>
  <c r="AI41" i="22"/>
  <c r="AJ40" i="22"/>
  <c r="AI40" i="22"/>
  <c r="AJ39" i="22"/>
  <c r="AI39" i="22"/>
  <c r="AJ38" i="22"/>
  <c r="AI38" i="22"/>
  <c r="AJ37" i="22"/>
  <c r="AI37" i="22"/>
  <c r="AJ35" i="22"/>
  <c r="AI35" i="22"/>
  <c r="AJ34" i="22"/>
  <c r="AI34" i="22"/>
  <c r="AJ33" i="22"/>
  <c r="AI33" i="22"/>
  <c r="AJ32" i="22"/>
  <c r="AI32" i="22"/>
  <c r="AJ31" i="22"/>
  <c r="AI31" i="22"/>
  <c r="AJ30" i="22"/>
  <c r="AI30" i="22"/>
  <c r="AJ29" i="22"/>
  <c r="AI29" i="22"/>
  <c r="AJ28" i="22"/>
  <c r="AI28" i="22"/>
  <c r="AJ27" i="22"/>
  <c r="AI27" i="22"/>
  <c r="AJ26" i="22"/>
  <c r="AI26" i="22"/>
  <c r="AJ25" i="22"/>
  <c r="AI25" i="22"/>
  <c r="AJ4" i="22"/>
  <c r="AI4" i="22"/>
  <c r="AJ3" i="22"/>
  <c r="AI3" i="22"/>
  <c r="AJ2" i="22"/>
  <c r="AI2" i="22"/>
  <c r="E182" i="21"/>
  <c r="E183" i="21" s="1"/>
  <c r="E184" i="21" s="1"/>
  <c r="E185" i="21" s="1"/>
  <c r="AF83" i="6" s="1"/>
  <c r="D181" i="21"/>
  <c r="D182" i="21" s="1"/>
  <c r="D183" i="21" s="1"/>
  <c r="D184" i="21" s="1"/>
  <c r="D185" i="21" s="1"/>
  <c r="AE83" i="6" s="1"/>
  <c r="K165" i="21"/>
  <c r="R69" i="17" s="1"/>
  <c r="A19" i="21"/>
  <c r="B139" i="1" s="1"/>
  <c r="A48" i="21"/>
  <c r="O66" i="1" s="1"/>
  <c r="A70" i="21"/>
  <c r="D139" i="1" s="1"/>
  <c r="E139" i="1"/>
  <c r="E187" i="20"/>
  <c r="AA42" i="1" s="1"/>
  <c r="E190" i="20"/>
  <c r="E194" i="20"/>
  <c r="E158" i="19"/>
  <c r="E162" i="19"/>
  <c r="E163" i="19"/>
  <c r="E159" i="19"/>
  <c r="E155" i="19"/>
  <c r="E156" i="19"/>
  <c r="Z42" i="1" s="1"/>
  <c r="E195" i="21"/>
  <c r="E193" i="21"/>
  <c r="E192" i="21"/>
  <c r="E191" i="21"/>
  <c r="E189" i="21"/>
  <c r="AB42" i="1" s="1"/>
  <c r="E188" i="21"/>
  <c r="E193" i="20"/>
  <c r="E189" i="20"/>
  <c r="D176" i="21"/>
  <c r="E176" i="21"/>
  <c r="F176" i="21"/>
  <c r="G176" i="21"/>
  <c r="D175" i="21"/>
  <c r="E175" i="21"/>
  <c r="F175" i="21"/>
  <c r="G175" i="21"/>
  <c r="D174" i="21"/>
  <c r="E174" i="21"/>
  <c r="F174" i="21"/>
  <c r="G174" i="21"/>
  <c r="D173" i="21"/>
  <c r="E173" i="21"/>
  <c r="F173" i="21"/>
  <c r="G173" i="21"/>
  <c r="D172" i="21"/>
  <c r="E172" i="21"/>
  <c r="F172" i="21"/>
  <c r="G172" i="21"/>
  <c r="E125" i="3"/>
  <c r="W42" i="1" s="1"/>
  <c r="E124" i="3"/>
  <c r="E155" i="2"/>
  <c r="X42" i="1" s="1"/>
  <c r="E154" i="2"/>
  <c r="E154" i="10"/>
  <c r="E186" i="20"/>
  <c r="AD20" i="21"/>
  <c r="AD21" i="21"/>
  <c r="AD22" i="21"/>
  <c r="AD23" i="21"/>
  <c r="AD24" i="21"/>
  <c r="AD25" i="21"/>
  <c r="AD26" i="21"/>
  <c r="AD27" i="21"/>
  <c r="AD28" i="21"/>
  <c r="AD29" i="21"/>
  <c r="AD30" i="21"/>
  <c r="AD31" i="21"/>
  <c r="AD32" i="21"/>
  <c r="AD33" i="21"/>
  <c r="AD34" i="21"/>
  <c r="AD35" i="21"/>
  <c r="AD36" i="21"/>
  <c r="AD37" i="21"/>
  <c r="AD38" i="21"/>
  <c r="AD39" i="21"/>
  <c r="AD40" i="21"/>
  <c r="AD41" i="21"/>
  <c r="AD42" i="21"/>
  <c r="AD43" i="21"/>
  <c r="AD44" i="21"/>
  <c r="AD45" i="21"/>
  <c r="AD46" i="21"/>
  <c r="AD47" i="21"/>
  <c r="AD48" i="21"/>
  <c r="AD49" i="21"/>
  <c r="AD50" i="21"/>
  <c r="AD51" i="21"/>
  <c r="AD52" i="21"/>
  <c r="AD53" i="21"/>
  <c r="AD54" i="21"/>
  <c r="AD55" i="21"/>
  <c r="AD56" i="21"/>
  <c r="AD57" i="21"/>
  <c r="AD58" i="21"/>
  <c r="AD59" i="21"/>
  <c r="AD61" i="21"/>
  <c r="AD62" i="21"/>
  <c r="AD63" i="21"/>
  <c r="AD64" i="21"/>
  <c r="AD65" i="21"/>
  <c r="AD66" i="21"/>
  <c r="AD67" i="21"/>
  <c r="AD68" i="21"/>
  <c r="AD69" i="21"/>
  <c r="AD70" i="21"/>
  <c r="AD72" i="21"/>
  <c r="AD3" i="21"/>
  <c r="AD4" i="21"/>
  <c r="AD5" i="21"/>
  <c r="AD6" i="21"/>
  <c r="AD7" i="21"/>
  <c r="AD8" i="21"/>
  <c r="AD9" i="21"/>
  <c r="AD10" i="21"/>
  <c r="AD11" i="21"/>
  <c r="AD12" i="21"/>
  <c r="AD13" i="21"/>
  <c r="AD14" i="21"/>
  <c r="AD15" i="21"/>
  <c r="AD16" i="21"/>
  <c r="AD17" i="21"/>
  <c r="AD18" i="21"/>
  <c r="AD19" i="21"/>
  <c r="AD2" i="21"/>
  <c r="F181" i="21"/>
  <c r="G171" i="21"/>
  <c r="F171" i="21"/>
  <c r="E171" i="21"/>
  <c r="D171" i="21"/>
  <c r="A171" i="21"/>
  <c r="G170" i="21"/>
  <c r="F170" i="21"/>
  <c r="E170" i="21"/>
  <c r="D170" i="21"/>
  <c r="A170" i="21"/>
  <c r="G169" i="21"/>
  <c r="F169" i="21"/>
  <c r="E169" i="21"/>
  <c r="D169" i="21"/>
  <c r="A169" i="21"/>
  <c r="K164" i="21"/>
  <c r="R68" i="17" s="1"/>
  <c r="G168" i="21"/>
  <c r="F168" i="21"/>
  <c r="E168" i="21"/>
  <c r="D168" i="21"/>
  <c r="A168" i="21"/>
  <c r="K163" i="21"/>
  <c r="R67" i="17" s="1"/>
  <c r="G167" i="21"/>
  <c r="F167" i="21"/>
  <c r="E167" i="21"/>
  <c r="D167" i="21"/>
  <c r="A167" i="21"/>
  <c r="G166" i="21"/>
  <c r="F166" i="21"/>
  <c r="E166" i="21"/>
  <c r="D166" i="21"/>
  <c r="A166" i="21"/>
  <c r="K162" i="21"/>
  <c r="R65" i="17" s="1"/>
  <c r="G165" i="21"/>
  <c r="F165" i="21"/>
  <c r="E165" i="21"/>
  <c r="D165" i="21"/>
  <c r="A165" i="21"/>
  <c r="K161" i="21"/>
  <c r="R64" i="17" s="1"/>
  <c r="G164" i="21"/>
  <c r="F164" i="21"/>
  <c r="E164" i="21"/>
  <c r="D164" i="21"/>
  <c r="A164" i="21"/>
  <c r="K166" i="21"/>
  <c r="R73" i="17" s="1"/>
  <c r="R122" i="17" s="1"/>
  <c r="G163" i="21"/>
  <c r="F163" i="21"/>
  <c r="E163" i="21"/>
  <c r="D163" i="21"/>
  <c r="A163" i="21"/>
  <c r="G162" i="21"/>
  <c r="F162" i="21"/>
  <c r="E162" i="21"/>
  <c r="D162" i="21"/>
  <c r="A162" i="21"/>
  <c r="K159" i="21"/>
  <c r="G161" i="21"/>
  <c r="F161" i="21"/>
  <c r="E161" i="21"/>
  <c r="D161" i="21"/>
  <c r="A161" i="21"/>
  <c r="G160" i="21"/>
  <c r="F160" i="21"/>
  <c r="E160" i="21"/>
  <c r="D160" i="21"/>
  <c r="A160" i="21"/>
  <c r="K158" i="21"/>
  <c r="G159" i="21"/>
  <c r="F159" i="21"/>
  <c r="E159" i="21"/>
  <c r="D159" i="21"/>
  <c r="A159" i="21"/>
  <c r="K157" i="21"/>
  <c r="R58" i="17" s="1"/>
  <c r="G158" i="21"/>
  <c r="F158" i="21"/>
  <c r="E158" i="21"/>
  <c r="D158" i="21"/>
  <c r="A158" i="21"/>
  <c r="K156" i="21"/>
  <c r="G157" i="21"/>
  <c r="F157" i="21"/>
  <c r="E157" i="21"/>
  <c r="D157" i="21"/>
  <c r="A157" i="21"/>
  <c r="K155" i="21"/>
  <c r="R54" i="17" s="1"/>
  <c r="G156" i="21"/>
  <c r="F156" i="21"/>
  <c r="E156" i="21"/>
  <c r="D156" i="21"/>
  <c r="A156" i="21"/>
  <c r="K154" i="21"/>
  <c r="R52" i="17" s="1"/>
  <c r="G155" i="21"/>
  <c r="F155" i="21"/>
  <c r="E155" i="21"/>
  <c r="D155" i="21"/>
  <c r="A155" i="21"/>
  <c r="K153" i="21"/>
  <c r="G154" i="21"/>
  <c r="F154" i="21"/>
  <c r="E154" i="21"/>
  <c r="D154" i="21"/>
  <c r="A154" i="21"/>
  <c r="K152" i="21"/>
  <c r="G153" i="21"/>
  <c r="F153" i="21"/>
  <c r="E153" i="21"/>
  <c r="D153" i="21"/>
  <c r="A153" i="21"/>
  <c r="K151" i="21"/>
  <c r="G152" i="21"/>
  <c r="F152" i="21"/>
  <c r="E152" i="21"/>
  <c r="D152" i="21"/>
  <c r="A152" i="21"/>
  <c r="K150" i="21"/>
  <c r="G151" i="21"/>
  <c r="F151" i="21"/>
  <c r="E151" i="21"/>
  <c r="D151" i="21"/>
  <c r="A151" i="21"/>
  <c r="G150" i="21"/>
  <c r="F150" i="21"/>
  <c r="E150" i="21"/>
  <c r="D150" i="21"/>
  <c r="A150" i="21"/>
  <c r="K149" i="21"/>
  <c r="G149" i="21"/>
  <c r="F149" i="21"/>
  <c r="E149" i="21"/>
  <c r="D149" i="21"/>
  <c r="A149" i="21"/>
  <c r="K148" i="21"/>
  <c r="G148" i="21"/>
  <c r="F148" i="21"/>
  <c r="E148" i="21"/>
  <c r="D148" i="21"/>
  <c r="A148" i="21"/>
  <c r="K147" i="21"/>
  <c r="G147" i="21"/>
  <c r="F147" i="21"/>
  <c r="E147" i="21"/>
  <c r="D147" i="21"/>
  <c r="A147" i="21"/>
  <c r="K146" i="21"/>
  <c r="G146" i="21"/>
  <c r="F146" i="21"/>
  <c r="E146" i="21"/>
  <c r="D111" i="6" s="1"/>
  <c r="D146" i="21"/>
  <c r="A146" i="21"/>
  <c r="G145" i="21"/>
  <c r="F145" i="21"/>
  <c r="E145" i="21"/>
  <c r="D145" i="21"/>
  <c r="A145" i="21"/>
  <c r="Y33" i="6"/>
  <c r="E140" i="21"/>
  <c r="Y34" i="6"/>
  <c r="E139" i="21"/>
  <c r="M138" i="21"/>
  <c r="AD85" i="21"/>
  <c r="AC85" i="21"/>
  <c r="AD84" i="21"/>
  <c r="AC84" i="21"/>
  <c r="AD83" i="21"/>
  <c r="AC83" i="21"/>
  <c r="AD82" i="21"/>
  <c r="AC82" i="21"/>
  <c r="AD81" i="21"/>
  <c r="AC81" i="21"/>
  <c r="AD80" i="21"/>
  <c r="AC80" i="21"/>
  <c r="AD79" i="21"/>
  <c r="AC79" i="21"/>
  <c r="AD78" i="21"/>
  <c r="AC78" i="21"/>
  <c r="AD77" i="21"/>
  <c r="AC77" i="21"/>
  <c r="AD76" i="21"/>
  <c r="AC76" i="21"/>
  <c r="AD75" i="21"/>
  <c r="AC75" i="21"/>
  <c r="AD74" i="21"/>
  <c r="AC74" i="21"/>
  <c r="AD73" i="21"/>
  <c r="AC73" i="21"/>
  <c r="AC72" i="21"/>
  <c r="AC70" i="21"/>
  <c r="AC69" i="21"/>
  <c r="AC68" i="21"/>
  <c r="AC67" i="21"/>
  <c r="AC66" i="21"/>
  <c r="AC65" i="21"/>
  <c r="AC64" i="21"/>
  <c r="AC63" i="21"/>
  <c r="AC62" i="21"/>
  <c r="AC61" i="21"/>
  <c r="AC59" i="21"/>
  <c r="AC58" i="21"/>
  <c r="AC57" i="21"/>
  <c r="AC56" i="21"/>
  <c r="AC55" i="21"/>
  <c r="AC54" i="21"/>
  <c r="AC53" i="21"/>
  <c r="AC52" i="21"/>
  <c r="AC51" i="21"/>
  <c r="AC50" i="21"/>
  <c r="AC49" i="21"/>
  <c r="AC48" i="21"/>
  <c r="AC47" i="21"/>
  <c r="AC46" i="21"/>
  <c r="AC45" i="21"/>
  <c r="AC44" i="21"/>
  <c r="AC43" i="21"/>
  <c r="AC42" i="21"/>
  <c r="AC41" i="21"/>
  <c r="AC40" i="21"/>
  <c r="AC39" i="21"/>
  <c r="AC38" i="21"/>
  <c r="AC37" i="21"/>
  <c r="AC36" i="21"/>
  <c r="AC35" i="21"/>
  <c r="AC34" i="21"/>
  <c r="AC33" i="21"/>
  <c r="AC32" i="21"/>
  <c r="AC31" i="21"/>
  <c r="AC30" i="21"/>
  <c r="AC29" i="21"/>
  <c r="AC28" i="21"/>
  <c r="AC27" i="21"/>
  <c r="AC26" i="21"/>
  <c r="AC25" i="21"/>
  <c r="AC24" i="21"/>
  <c r="AC23" i="21"/>
  <c r="AC22" i="21"/>
  <c r="AC21" i="21"/>
  <c r="AC20" i="21"/>
  <c r="AC19" i="21"/>
  <c r="AC18" i="21"/>
  <c r="AC17" i="21"/>
  <c r="AC16" i="21"/>
  <c r="K160" i="21"/>
  <c r="AC15" i="21"/>
  <c r="AC14" i="21"/>
  <c r="AC13" i="21"/>
  <c r="AC12" i="21"/>
  <c r="AC11" i="21"/>
  <c r="AC10" i="21"/>
  <c r="AC9" i="21"/>
  <c r="AC8" i="21"/>
  <c r="AC7" i="21"/>
  <c r="AC6" i="21"/>
  <c r="AC5" i="21"/>
  <c r="AC4" i="21"/>
  <c r="AC3" i="21"/>
  <c r="AC2" i="21"/>
  <c r="W34" i="6"/>
  <c r="AK4" i="6"/>
  <c r="S76" i="4"/>
  <c r="T76" i="4"/>
  <c r="U76" i="4"/>
  <c r="V76" i="4"/>
  <c r="W76" i="4"/>
  <c r="X76" i="4"/>
  <c r="Y76" i="4"/>
  <c r="Z76" i="4"/>
  <c r="AA76" i="4"/>
  <c r="AB76" i="4"/>
  <c r="AC76" i="4"/>
  <c r="AD76" i="4"/>
  <c r="S73" i="4"/>
  <c r="S110" i="4" s="1"/>
  <c r="T73" i="4"/>
  <c r="T110" i="4" s="1"/>
  <c r="U73" i="4"/>
  <c r="U110" i="4" s="1"/>
  <c r="V73" i="4"/>
  <c r="V110" i="4" s="1"/>
  <c r="W73" i="4"/>
  <c r="W110" i="4" s="1"/>
  <c r="X73" i="4"/>
  <c r="X110" i="4" s="1"/>
  <c r="Y73" i="4"/>
  <c r="Y110" i="4" s="1"/>
  <c r="Z73" i="4"/>
  <c r="Z110" i="4" s="1"/>
  <c r="AA73" i="4"/>
  <c r="AA110" i="4" s="1"/>
  <c r="AB73" i="4"/>
  <c r="AB110" i="4" s="1"/>
  <c r="AC73" i="4"/>
  <c r="AC110" i="4" s="1"/>
  <c r="AD73" i="4"/>
  <c r="AD110" i="4" s="1"/>
  <c r="S71" i="4"/>
  <c r="T71" i="4"/>
  <c r="U71" i="4"/>
  <c r="V71" i="4"/>
  <c r="W71" i="4"/>
  <c r="X71" i="4"/>
  <c r="Y71" i="4"/>
  <c r="Z71" i="4"/>
  <c r="AA71" i="4"/>
  <c r="AB71" i="4"/>
  <c r="AC71" i="4"/>
  <c r="AD71" i="4"/>
  <c r="S70" i="4"/>
  <c r="T70" i="4"/>
  <c r="U70" i="4"/>
  <c r="V70" i="4"/>
  <c r="W70" i="4"/>
  <c r="X70" i="4"/>
  <c r="Y70" i="4"/>
  <c r="Z70" i="4"/>
  <c r="AA70" i="4"/>
  <c r="AB70" i="4"/>
  <c r="AC70" i="4"/>
  <c r="AD70" i="4"/>
  <c r="W63" i="4"/>
  <c r="X63" i="4"/>
  <c r="Y63" i="4"/>
  <c r="Z63" i="4"/>
  <c r="AA63" i="4"/>
  <c r="AB63" i="4"/>
  <c r="AC63" i="4"/>
  <c r="AD63" i="4"/>
  <c r="X64" i="4"/>
  <c r="Y64" i="4"/>
  <c r="Z64" i="4"/>
  <c r="AA64" i="4"/>
  <c r="AB64" i="4"/>
  <c r="AC64" i="4"/>
  <c r="AD64" i="4"/>
  <c r="T63" i="4"/>
  <c r="U63" i="4"/>
  <c r="V63" i="4"/>
  <c r="U72" i="4"/>
  <c r="U75" i="4"/>
  <c r="U111" i="4" s="1"/>
  <c r="W72" i="4"/>
  <c r="X72" i="4"/>
  <c r="Y72" i="4"/>
  <c r="Z72" i="4"/>
  <c r="AA72" i="4"/>
  <c r="AB72" i="4"/>
  <c r="AC72" i="4"/>
  <c r="AD72" i="4"/>
  <c r="W75" i="4"/>
  <c r="W111" i="4" s="1"/>
  <c r="X75" i="4"/>
  <c r="X111" i="4" s="1"/>
  <c r="Y75" i="4"/>
  <c r="Z75" i="4"/>
  <c r="AA75" i="4"/>
  <c r="AB75" i="4"/>
  <c r="AC75" i="4"/>
  <c r="AC111" i="4" s="1"/>
  <c r="AD75" i="4"/>
  <c r="AD111" i="4" s="1"/>
  <c r="V72" i="4"/>
  <c r="V75" i="4"/>
  <c r="V111" i="4" s="1"/>
  <c r="V78" i="4"/>
  <c r="T72" i="4"/>
  <c r="T75" i="4"/>
  <c r="T111" i="4" s="1"/>
  <c r="T78" i="4"/>
  <c r="S78" i="4"/>
  <c r="R7" i="4"/>
  <c r="R8" i="4"/>
  <c r="R39" i="4"/>
  <c r="R41" i="4"/>
  <c r="R42" i="4"/>
  <c r="R48" i="4"/>
  <c r="R49" i="4"/>
  <c r="R50" i="4"/>
  <c r="R52" i="4"/>
  <c r="R53" i="4"/>
  <c r="R104" i="4" s="1"/>
  <c r="R54" i="4"/>
  <c r="R57" i="4"/>
  <c r="R59" i="4"/>
  <c r="R60" i="4"/>
  <c r="R62" i="4"/>
  <c r="R64" i="4"/>
  <c r="R78" i="4"/>
  <c r="R79" i="4"/>
  <c r="R10" i="4"/>
  <c r="R11" i="4"/>
  <c r="R12" i="4"/>
  <c r="R13" i="4"/>
  <c r="R14" i="4"/>
  <c r="R15" i="4"/>
  <c r="R16" i="4"/>
  <c r="R17" i="4"/>
  <c r="R18" i="4"/>
  <c r="R19" i="4"/>
  <c r="R20" i="4"/>
  <c r="R21" i="4"/>
  <c r="R22" i="4"/>
  <c r="R23" i="4"/>
  <c r="R24" i="4"/>
  <c r="R97" i="4" s="1"/>
  <c r="R25" i="4"/>
  <c r="R26" i="4"/>
  <c r="R27" i="4"/>
  <c r="R28" i="4"/>
  <c r="R29" i="4"/>
  <c r="R30" i="4"/>
  <c r="R31" i="4"/>
  <c r="R32" i="4"/>
  <c r="R33" i="4"/>
  <c r="R34" i="4"/>
  <c r="R35" i="4"/>
  <c r="R37" i="4"/>
  <c r="R38" i="4"/>
  <c r="R6" i="4"/>
  <c r="S38" i="4"/>
  <c r="S79" i="4"/>
  <c r="S10" i="4"/>
  <c r="S11" i="4"/>
  <c r="S12" i="4"/>
  <c r="S13" i="4"/>
  <c r="S14" i="4"/>
  <c r="S15" i="4"/>
  <c r="S16" i="4"/>
  <c r="S17" i="4"/>
  <c r="S18" i="4"/>
  <c r="S19" i="4"/>
  <c r="S20" i="4"/>
  <c r="S21" i="4"/>
  <c r="S22" i="4"/>
  <c r="S23" i="4"/>
  <c r="S24" i="4"/>
  <c r="S97" i="4" s="1"/>
  <c r="S25" i="4"/>
  <c r="S26" i="4"/>
  <c r="S27" i="4"/>
  <c r="S28" i="4"/>
  <c r="S29" i="4"/>
  <c r="S30" i="4"/>
  <c r="S31" i="4"/>
  <c r="S32" i="4"/>
  <c r="S33" i="4"/>
  <c r="S34" i="4"/>
  <c r="S35" i="4"/>
  <c r="S36" i="4"/>
  <c r="S37" i="4"/>
  <c r="S7" i="4"/>
  <c r="S39" i="4"/>
  <c r="S40" i="4"/>
  <c r="S41" i="4"/>
  <c r="S42" i="4"/>
  <c r="S45" i="4"/>
  <c r="S48" i="4"/>
  <c r="S49" i="4"/>
  <c r="S52" i="4"/>
  <c r="S53" i="4"/>
  <c r="S104" i="4" s="1"/>
  <c r="S54" i="4"/>
  <c r="S59" i="4"/>
  <c r="S60" i="4"/>
  <c r="S62" i="4"/>
  <c r="S64" i="4"/>
  <c r="M132" i="19"/>
  <c r="AA70" i="19"/>
  <c r="AA76" i="19"/>
  <c r="AA78" i="19"/>
  <c r="T70" i="19"/>
  <c r="T72" i="19"/>
  <c r="T74" i="19"/>
  <c r="T76" i="19"/>
  <c r="T78" i="19"/>
  <c r="T79" i="19"/>
  <c r="T86" i="19"/>
  <c r="T88" i="19"/>
  <c r="T92" i="19"/>
  <c r="L3" i="19"/>
  <c r="L4" i="19"/>
  <c r="L5" i="19"/>
  <c r="L6" i="19"/>
  <c r="L10" i="19"/>
  <c r="L11" i="19"/>
  <c r="M115" i="19" s="1"/>
  <c r="L12" i="19"/>
  <c r="L13" i="19"/>
  <c r="L14" i="19"/>
  <c r="L15" i="19"/>
  <c r="L18" i="19"/>
  <c r="L20" i="19"/>
  <c r="L25" i="19"/>
  <c r="L26" i="19"/>
  <c r="L27" i="19"/>
  <c r="L28" i="19"/>
  <c r="L29" i="19"/>
  <c r="L30" i="19"/>
  <c r="L31" i="19"/>
  <c r="L32" i="19"/>
  <c r="L33" i="19"/>
  <c r="L34" i="19"/>
  <c r="L35" i="19"/>
  <c r="L36" i="19"/>
  <c r="L37" i="19"/>
  <c r="L38" i="19"/>
  <c r="L40" i="19"/>
  <c r="L44" i="19"/>
  <c r="L45" i="19"/>
  <c r="L46" i="19"/>
  <c r="L49" i="19"/>
  <c r="L51" i="19"/>
  <c r="L52" i="19"/>
  <c r="L53" i="19"/>
  <c r="L54" i="19"/>
  <c r="L57" i="19"/>
  <c r="M118" i="19" s="1"/>
  <c r="L58" i="19"/>
  <c r="L59" i="19"/>
  <c r="L60" i="19"/>
  <c r="L61" i="19"/>
  <c r="L62" i="19"/>
  <c r="L63" i="19"/>
  <c r="L64" i="19"/>
  <c r="L65" i="19"/>
  <c r="L66" i="19"/>
  <c r="L67" i="19"/>
  <c r="L68" i="19"/>
  <c r="L69" i="19"/>
  <c r="L70" i="19"/>
  <c r="L72" i="19"/>
  <c r="L74" i="19"/>
  <c r="L75" i="19"/>
  <c r="L76" i="19"/>
  <c r="L77" i="19"/>
  <c r="L78" i="19"/>
  <c r="L79" i="19"/>
  <c r="L80" i="19"/>
  <c r="L81" i="19"/>
  <c r="L82" i="19"/>
  <c r="L83" i="19"/>
  <c r="L84" i="19"/>
  <c r="M125" i="19" s="1"/>
  <c r="L85" i="19"/>
  <c r="L86" i="19"/>
  <c r="L87" i="19"/>
  <c r="L88" i="19"/>
  <c r="L89" i="19"/>
  <c r="L90" i="19"/>
  <c r="L91" i="19"/>
  <c r="L92" i="19"/>
  <c r="M122" i="19" s="1"/>
  <c r="L93" i="19"/>
  <c r="L2" i="19"/>
  <c r="AD88" i="19"/>
  <c r="AE88" i="19"/>
  <c r="AB83" i="6"/>
  <c r="AA83" i="6"/>
  <c r="AC79" i="6"/>
  <c r="F179" i="20"/>
  <c r="K163" i="20"/>
  <c r="R73" i="4" s="1"/>
  <c r="R110" i="4" s="1"/>
  <c r="K164" i="20"/>
  <c r="K165" i="20"/>
  <c r="K144" i="20"/>
  <c r="R36" i="4" s="1"/>
  <c r="K145" i="20"/>
  <c r="R40" i="4" s="1"/>
  <c r="K146" i="20"/>
  <c r="J12" i="6" s="1"/>
  <c r="K147" i="20"/>
  <c r="R45" i="4" s="1"/>
  <c r="K148" i="20"/>
  <c r="R46" i="4" s="1"/>
  <c r="K149" i="20"/>
  <c r="R47" i="4" s="1"/>
  <c r="K150" i="20"/>
  <c r="R51" i="4" s="1"/>
  <c r="K151" i="20"/>
  <c r="R55" i="4" s="1"/>
  <c r="K152" i="20"/>
  <c r="K153" i="20"/>
  <c r="K154" i="20"/>
  <c r="K155" i="20"/>
  <c r="K156" i="20"/>
  <c r="K157" i="20"/>
  <c r="K158" i="20"/>
  <c r="K160" i="20"/>
  <c r="R70" i="4" s="1"/>
  <c r="K161" i="20"/>
  <c r="K162" i="20"/>
  <c r="AC87" i="20"/>
  <c r="AD87" i="20"/>
  <c r="AC88" i="20"/>
  <c r="AD88" i="20"/>
  <c r="AC89" i="20"/>
  <c r="AD89" i="20"/>
  <c r="AC90" i="20"/>
  <c r="AD90" i="20"/>
  <c r="AC91" i="20"/>
  <c r="AD91" i="20"/>
  <c r="AC92" i="20"/>
  <c r="AD92" i="20"/>
  <c r="AC93" i="20"/>
  <c r="AD93" i="20"/>
  <c r="AC94" i="20"/>
  <c r="AD94" i="20"/>
  <c r="AC95" i="20"/>
  <c r="AD95" i="20"/>
  <c r="AC96" i="20"/>
  <c r="AD96" i="20"/>
  <c r="AC97" i="20"/>
  <c r="AD97" i="20"/>
  <c r="AC98" i="20"/>
  <c r="AD98" i="20"/>
  <c r="AC99" i="20"/>
  <c r="AD99" i="20"/>
  <c r="AC100" i="20"/>
  <c r="AD100" i="20"/>
  <c r="AC101" i="20"/>
  <c r="AD101" i="20"/>
  <c r="AC102" i="20"/>
  <c r="AD102" i="20"/>
  <c r="AC103" i="20"/>
  <c r="AD103" i="20"/>
  <c r="AC104" i="20"/>
  <c r="AD104" i="20"/>
  <c r="AC105" i="20"/>
  <c r="AD105" i="20"/>
  <c r="AC106" i="20"/>
  <c r="AD106" i="20"/>
  <c r="AC107" i="20"/>
  <c r="AD107" i="20"/>
  <c r="AC108" i="20"/>
  <c r="AD108" i="20"/>
  <c r="AC109" i="20"/>
  <c r="AD109" i="20"/>
  <c r="AC110" i="20"/>
  <c r="AD110" i="20"/>
  <c r="AC111" i="20"/>
  <c r="AD111" i="20"/>
  <c r="AC112" i="20"/>
  <c r="AD112" i="20"/>
  <c r="AC113" i="20"/>
  <c r="AD113" i="20"/>
  <c r="AC114" i="20"/>
  <c r="AD114" i="20"/>
  <c r="AC115" i="20"/>
  <c r="AD115" i="20"/>
  <c r="AC116" i="20"/>
  <c r="AD116" i="20"/>
  <c r="AC117" i="20"/>
  <c r="AD117" i="20"/>
  <c r="AC118" i="20"/>
  <c r="AD118" i="20"/>
  <c r="AC119" i="20"/>
  <c r="AD119" i="20"/>
  <c r="AC120" i="20"/>
  <c r="AD120" i="20"/>
  <c r="AC121" i="20"/>
  <c r="AD121" i="20"/>
  <c r="E216" i="31" l="1"/>
  <c r="S112" i="4"/>
  <c r="S100" i="4"/>
  <c r="R98" i="4"/>
  <c r="E216" i="28"/>
  <c r="Z111" i="4"/>
  <c r="Y111" i="4"/>
  <c r="K167" i="21"/>
  <c r="M170" i="21" s="1"/>
  <c r="N150" i="22"/>
  <c r="AB4" i="6"/>
  <c r="S99" i="4"/>
  <c r="R120" i="17"/>
  <c r="S98" i="4"/>
  <c r="AB111" i="4"/>
  <c r="AA111" i="4"/>
  <c r="M139" i="21"/>
  <c r="R65" i="4"/>
  <c r="R63" i="4"/>
  <c r="S58" i="17"/>
  <c r="R61" i="4"/>
  <c r="R58" i="4"/>
  <c r="R106" i="4" s="1"/>
  <c r="S54" i="17"/>
  <c r="R56" i="4"/>
  <c r="R105" i="4" s="1"/>
  <c r="S52" i="17"/>
  <c r="R66" i="4"/>
  <c r="R72" i="4"/>
  <c r="S65" i="17"/>
  <c r="R71" i="4"/>
  <c r="S64" i="17"/>
  <c r="R76" i="4"/>
  <c r="S68" i="17"/>
  <c r="R67" i="4"/>
  <c r="R75" i="4"/>
  <c r="S67" i="17"/>
  <c r="R103" i="4"/>
  <c r="R112" i="4"/>
  <c r="R107" i="4"/>
  <c r="R99" i="4"/>
  <c r="R102" i="4"/>
  <c r="R100" i="4"/>
  <c r="E190" i="27"/>
  <c r="D190" i="27"/>
  <c r="Q120" i="17"/>
  <c r="K14" i="6"/>
  <c r="Q46" i="4"/>
  <c r="K32" i="6"/>
  <c r="Q65" i="4"/>
  <c r="K23" i="6"/>
  <c r="Q55" i="4"/>
  <c r="K39" i="6"/>
  <c r="Q72" i="4"/>
  <c r="M72" i="4" s="1"/>
  <c r="K5" i="6"/>
  <c r="Q8" i="4"/>
  <c r="K43" i="6"/>
  <c r="Q76" i="4"/>
  <c r="K28" i="6"/>
  <c r="Q61" i="4"/>
  <c r="K26" i="6"/>
  <c r="Q58" i="4"/>
  <c r="Q106" i="4" s="1"/>
  <c r="K12" i="6"/>
  <c r="Q44" i="4"/>
  <c r="Q101" i="4" s="1"/>
  <c r="K15" i="6"/>
  <c r="Q47" i="4"/>
  <c r="K47" i="6"/>
  <c r="Q81" i="4"/>
  <c r="Q113" i="4" s="1"/>
  <c r="K24" i="6"/>
  <c r="Q56" i="4"/>
  <c r="K11" i="6"/>
  <c r="Q40" i="4"/>
  <c r="Q100" i="4" s="1"/>
  <c r="K8" i="6"/>
  <c r="Q36" i="4"/>
  <c r="Q99" i="4" s="1"/>
  <c r="K44" i="6"/>
  <c r="Q77" i="4"/>
  <c r="K30" i="6"/>
  <c r="Q63" i="4"/>
  <c r="M63" i="4" s="1"/>
  <c r="K27" i="6"/>
  <c r="Q60" i="4"/>
  <c r="K34" i="6"/>
  <c r="Q67" i="4"/>
  <c r="K36" i="6"/>
  <c r="Q69" i="4"/>
  <c r="K38" i="6"/>
  <c r="Q71" i="4"/>
  <c r="K19" i="6"/>
  <c r="Q51" i="4"/>
  <c r="Q103" i="4" s="1"/>
  <c r="K42" i="6"/>
  <c r="Q75" i="4"/>
  <c r="P68" i="4"/>
  <c r="M68" i="4" s="1"/>
  <c r="P55" i="4"/>
  <c r="M55" i="4" s="1"/>
  <c r="P69" i="4"/>
  <c r="M69" i="4" s="1"/>
  <c r="P46" i="4"/>
  <c r="M46" i="4" s="1"/>
  <c r="P40" i="4"/>
  <c r="P61" i="4"/>
  <c r="M61" i="4" s="1"/>
  <c r="P75" i="4"/>
  <c r="M75" i="4" s="1"/>
  <c r="P81" i="4"/>
  <c r="P65" i="4"/>
  <c r="P8" i="4"/>
  <c r="P56" i="4"/>
  <c r="M56" i="4" s="1"/>
  <c r="P71" i="4"/>
  <c r="M71" i="4" s="1"/>
  <c r="P47" i="4"/>
  <c r="P60" i="4"/>
  <c r="P51" i="4"/>
  <c r="P67" i="4"/>
  <c r="P80" i="4"/>
  <c r="P44" i="4"/>
  <c r="P36" i="4"/>
  <c r="P58" i="4"/>
  <c r="P74" i="4"/>
  <c r="P76" i="4"/>
  <c r="M76" i="4" s="1"/>
  <c r="P77" i="4"/>
  <c r="M77" i="4" s="1"/>
  <c r="AA79" i="6"/>
  <c r="AA82" i="6"/>
  <c r="AA81" i="6"/>
  <c r="J33" i="6"/>
  <c r="AA80" i="6"/>
  <c r="AB79" i="6"/>
  <c r="AB82" i="6"/>
  <c r="AB81" i="6"/>
  <c r="AB80" i="6"/>
  <c r="AG81" i="6"/>
  <c r="AG80" i="6"/>
  <c r="AG79" i="6"/>
  <c r="AH82" i="6"/>
  <c r="AH81" i="6"/>
  <c r="AH80" i="6"/>
  <c r="AG82" i="6"/>
  <c r="AH79" i="6"/>
  <c r="M116" i="19"/>
  <c r="M120" i="19"/>
  <c r="M121" i="19"/>
  <c r="M131" i="19"/>
  <c r="AC83" i="6"/>
  <c r="J19" i="6"/>
  <c r="J11" i="6"/>
  <c r="J34" i="6"/>
  <c r="J26" i="6"/>
  <c r="J43" i="6"/>
  <c r="J42" i="6"/>
  <c r="J32" i="6"/>
  <c r="J24" i="6"/>
  <c r="J8" i="6"/>
  <c r="J40" i="6"/>
  <c r="J39" i="6"/>
  <c r="J38" i="6"/>
  <c r="J23" i="6"/>
  <c r="J15" i="6"/>
  <c r="J37" i="6"/>
  <c r="J30" i="6"/>
  <c r="J14" i="6"/>
  <c r="J13" i="6"/>
  <c r="R44" i="4"/>
  <c r="R101" i="4" s="1"/>
  <c r="J28" i="6"/>
  <c r="AE79" i="6"/>
  <c r="AF82" i="6"/>
  <c r="AF81" i="6"/>
  <c r="AF80" i="6"/>
  <c r="AE82" i="6"/>
  <c r="AF79" i="6"/>
  <c r="AE81" i="6"/>
  <c r="AE80" i="6"/>
  <c r="C139" i="1"/>
  <c r="E153" i="22"/>
  <c r="D153" i="22"/>
  <c r="H160" i="22"/>
  <c r="H168" i="22"/>
  <c r="H176" i="22"/>
  <c r="N66" i="1"/>
  <c r="P66" i="1"/>
  <c r="Q66" i="1"/>
  <c r="H171" i="22"/>
  <c r="H179" i="22"/>
  <c r="H162" i="22"/>
  <c r="H170" i="22"/>
  <c r="H178" i="22"/>
  <c r="H165" i="22"/>
  <c r="H173" i="22"/>
  <c r="H181" i="22"/>
  <c r="B157" i="22"/>
  <c r="F189" i="22"/>
  <c r="G189" i="22"/>
  <c r="H163" i="22"/>
  <c r="D154" i="22"/>
  <c r="H182" i="22"/>
  <c r="H158" i="22"/>
  <c r="H166" i="22"/>
  <c r="H174" i="22"/>
  <c r="H161" i="22"/>
  <c r="H169" i="22"/>
  <c r="H177" i="22"/>
  <c r="K176" i="22"/>
  <c r="M182" i="22" s="1"/>
  <c r="H164" i="22"/>
  <c r="H172" i="22"/>
  <c r="H180" i="22"/>
  <c r="H183" i="22"/>
  <c r="H159" i="22"/>
  <c r="H167" i="22"/>
  <c r="H175" i="22"/>
  <c r="E198" i="22"/>
  <c r="AH84" i="6" s="1"/>
  <c r="H157" i="22"/>
  <c r="B158" i="22"/>
  <c r="B160" i="22"/>
  <c r="B162" i="22"/>
  <c r="B164" i="22"/>
  <c r="B166" i="22"/>
  <c r="B168" i="22"/>
  <c r="B170" i="22"/>
  <c r="B172" i="22"/>
  <c r="B174" i="22"/>
  <c r="B176" i="22"/>
  <c r="B178" i="22"/>
  <c r="B180" i="22"/>
  <c r="B182" i="22"/>
  <c r="E189" i="22"/>
  <c r="B189" i="22" s="1"/>
  <c r="D198" i="22"/>
  <c r="AG84" i="6" s="1"/>
  <c r="M150" i="22"/>
  <c r="M151" i="22" s="1"/>
  <c r="E154" i="22"/>
  <c r="B159" i="22"/>
  <c r="B161" i="22"/>
  <c r="B163" i="22"/>
  <c r="B165" i="22"/>
  <c r="B167" i="22"/>
  <c r="B169" i="22"/>
  <c r="B171" i="22"/>
  <c r="B173" i="22"/>
  <c r="B175" i="22"/>
  <c r="B177" i="22"/>
  <c r="B179" i="22"/>
  <c r="B181" i="22"/>
  <c r="B183" i="22"/>
  <c r="B146" i="21"/>
  <c r="H163" i="21"/>
  <c r="B164" i="21"/>
  <c r="B153" i="21"/>
  <c r="B161" i="21"/>
  <c r="B145" i="21"/>
  <c r="D141" i="21"/>
  <c r="B168" i="21"/>
  <c r="H148" i="21"/>
  <c r="H152" i="21"/>
  <c r="H156" i="21"/>
  <c r="H160" i="21"/>
  <c r="H167" i="21"/>
  <c r="H151" i="21"/>
  <c r="H159" i="21"/>
  <c r="H166" i="21"/>
  <c r="B170" i="21"/>
  <c r="H145" i="21"/>
  <c r="B148" i="21"/>
  <c r="H150" i="21"/>
  <c r="B156" i="21"/>
  <c r="H158" i="21"/>
  <c r="B163" i="21"/>
  <c r="H165" i="21"/>
  <c r="B171" i="21"/>
  <c r="B147" i="21"/>
  <c r="H149" i="21"/>
  <c r="B155" i="21"/>
  <c r="H157" i="21"/>
  <c r="H164" i="21"/>
  <c r="B154" i="21"/>
  <c r="B162" i="21"/>
  <c r="B169" i="21"/>
  <c r="D142" i="21"/>
  <c r="H147" i="21"/>
  <c r="H155" i="21"/>
  <c r="H170" i="21"/>
  <c r="H171" i="21"/>
  <c r="H146" i="21"/>
  <c r="B152" i="21"/>
  <c r="H154" i="21"/>
  <c r="B160" i="21"/>
  <c r="H162" i="21"/>
  <c r="B167" i="21"/>
  <c r="H169" i="21"/>
  <c r="E177" i="21"/>
  <c r="B177" i="21" s="1"/>
  <c r="B151" i="21"/>
  <c r="H153" i="21"/>
  <c r="B159" i="21"/>
  <c r="H161" i="21"/>
  <c r="B166" i="21"/>
  <c r="H168" i="21"/>
  <c r="B150" i="21"/>
  <c r="B158" i="21"/>
  <c r="B165" i="21"/>
  <c r="F177" i="21"/>
  <c r="G177" i="21"/>
  <c r="B149" i="21"/>
  <c r="B157" i="21"/>
  <c r="E141" i="21"/>
  <c r="E142" i="21"/>
  <c r="A86" i="20"/>
  <c r="A55" i="20"/>
  <c r="A24" i="20"/>
  <c r="Z14" i="1"/>
  <c r="AA14" i="1"/>
  <c r="Z13" i="1"/>
  <c r="AA13" i="1"/>
  <c r="Z37" i="1"/>
  <c r="AA37" i="1"/>
  <c r="Z39" i="1"/>
  <c r="AA39" i="1"/>
  <c r="H16" i="20"/>
  <c r="G169" i="20"/>
  <c r="F169" i="20"/>
  <c r="E169" i="20"/>
  <c r="D169" i="20"/>
  <c r="A169" i="20"/>
  <c r="G168" i="20"/>
  <c r="F168" i="20"/>
  <c r="E168" i="20"/>
  <c r="D168" i="20"/>
  <c r="A168" i="20"/>
  <c r="G167" i="20"/>
  <c r="F167" i="20"/>
  <c r="E167" i="20"/>
  <c r="D167" i="20"/>
  <c r="A167" i="20"/>
  <c r="G166" i="20"/>
  <c r="F166" i="20"/>
  <c r="E166" i="20"/>
  <c r="D166" i="20"/>
  <c r="A166" i="20"/>
  <c r="G165" i="20"/>
  <c r="F165" i="20"/>
  <c r="E165" i="20"/>
  <c r="D165" i="20"/>
  <c r="A165" i="20"/>
  <c r="G164" i="20"/>
  <c r="F164" i="20"/>
  <c r="E164" i="20"/>
  <c r="D164" i="20"/>
  <c r="A164" i="20"/>
  <c r="G163" i="20"/>
  <c r="F163" i="20"/>
  <c r="E163" i="20"/>
  <c r="D163" i="20"/>
  <c r="A163" i="20"/>
  <c r="G162" i="20"/>
  <c r="F162" i="20"/>
  <c r="E162" i="20"/>
  <c r="D162" i="20"/>
  <c r="A162" i="20"/>
  <c r="G161" i="20"/>
  <c r="F161" i="20"/>
  <c r="E161" i="20"/>
  <c r="D161" i="20"/>
  <c r="A161" i="20"/>
  <c r="G160" i="20"/>
  <c r="F160" i="20"/>
  <c r="E160" i="20"/>
  <c r="D160" i="20"/>
  <c r="A160" i="20"/>
  <c r="G159" i="20"/>
  <c r="F159" i="20"/>
  <c r="E159" i="20"/>
  <c r="D159" i="20"/>
  <c r="A159" i="20"/>
  <c r="G158" i="20"/>
  <c r="F158" i="20"/>
  <c r="E158" i="20"/>
  <c r="D158" i="20"/>
  <c r="A158" i="20"/>
  <c r="G157" i="20"/>
  <c r="F157" i="20"/>
  <c r="E157" i="20"/>
  <c r="D157" i="20"/>
  <c r="A157" i="20"/>
  <c r="G156" i="20"/>
  <c r="F156" i="20"/>
  <c r="E156" i="20"/>
  <c r="D156" i="20"/>
  <c r="A156" i="20"/>
  <c r="G155" i="20"/>
  <c r="F155" i="20"/>
  <c r="E155" i="20"/>
  <c r="D155" i="20"/>
  <c r="A155" i="20"/>
  <c r="G154" i="20"/>
  <c r="F154" i="20"/>
  <c r="E154" i="20"/>
  <c r="D154" i="20"/>
  <c r="A154" i="20"/>
  <c r="G153" i="20"/>
  <c r="F153" i="20"/>
  <c r="E153" i="20"/>
  <c r="D153" i="20"/>
  <c r="A153" i="20"/>
  <c r="G152" i="20"/>
  <c r="F152" i="20"/>
  <c r="E152" i="20"/>
  <c r="D152" i="20"/>
  <c r="A152" i="20"/>
  <c r="G151" i="20"/>
  <c r="F151" i="20"/>
  <c r="E151" i="20"/>
  <c r="D151" i="20"/>
  <c r="A151" i="20"/>
  <c r="G150" i="20"/>
  <c r="F150" i="20"/>
  <c r="E150" i="20"/>
  <c r="D150" i="20"/>
  <c r="A150" i="20"/>
  <c r="G149" i="20"/>
  <c r="F149" i="20"/>
  <c r="E149" i="20"/>
  <c r="D149" i="20"/>
  <c r="A149" i="20"/>
  <c r="G148" i="20"/>
  <c r="F148" i="20"/>
  <c r="E148" i="20"/>
  <c r="D148" i="20"/>
  <c r="A148" i="20"/>
  <c r="G147" i="20"/>
  <c r="F147" i="20"/>
  <c r="E147" i="20"/>
  <c r="D147" i="20"/>
  <c r="A147" i="20"/>
  <c r="G146" i="20"/>
  <c r="F146" i="20"/>
  <c r="E146" i="20"/>
  <c r="D146" i="20"/>
  <c r="A146" i="20"/>
  <c r="G145" i="20"/>
  <c r="F145" i="20"/>
  <c r="E145" i="20"/>
  <c r="D145" i="20"/>
  <c r="A145" i="20"/>
  <c r="J5" i="6"/>
  <c r="G144" i="20"/>
  <c r="F144" i="20"/>
  <c r="E144" i="20"/>
  <c r="D112" i="6" s="1"/>
  <c r="D144" i="20"/>
  <c r="A144" i="20"/>
  <c r="G143" i="20"/>
  <c r="F143" i="20"/>
  <c r="E143" i="20"/>
  <c r="D143" i="20"/>
  <c r="A143" i="20"/>
  <c r="L140" i="20"/>
  <c r="G138" i="20"/>
  <c r="X33" i="6" s="1"/>
  <c r="AL3" i="6"/>
  <c r="G137" i="20"/>
  <c r="X34" i="6" s="1"/>
  <c r="AL4" i="6"/>
  <c r="N135" i="20"/>
  <c r="N136" i="20" s="1"/>
  <c r="L135" i="20"/>
  <c r="L136" i="20" s="1"/>
  <c r="L137" i="20" s="1"/>
  <c r="L138" i="20" s="1"/>
  <c r="AD86" i="20"/>
  <c r="AC86" i="20"/>
  <c r="AD85" i="20"/>
  <c r="AC85" i="20"/>
  <c r="AD84" i="20"/>
  <c r="AC84" i="20"/>
  <c r="AD83" i="20"/>
  <c r="AC83" i="20"/>
  <c r="AD82" i="20"/>
  <c r="AC82" i="20"/>
  <c r="AD81" i="20"/>
  <c r="AC81" i="20"/>
  <c r="AD80" i="20"/>
  <c r="AC80" i="20"/>
  <c r="AD79" i="20"/>
  <c r="AC79" i="20"/>
  <c r="AD78" i="20"/>
  <c r="AC78" i="20"/>
  <c r="AD77" i="20"/>
  <c r="AC77" i="20"/>
  <c r="AD76" i="20"/>
  <c r="AC76" i="20"/>
  <c r="AD75" i="20"/>
  <c r="AC75" i="20"/>
  <c r="AD74" i="20"/>
  <c r="AC74" i="20"/>
  <c r="AD73" i="20"/>
  <c r="AC73" i="20"/>
  <c r="AD72" i="20"/>
  <c r="AC72" i="20"/>
  <c r="AD71" i="20"/>
  <c r="AC71" i="20"/>
  <c r="AD70" i="20"/>
  <c r="AC70" i="20"/>
  <c r="AD69" i="20"/>
  <c r="AC69" i="20"/>
  <c r="AD68" i="20"/>
  <c r="AC68" i="20"/>
  <c r="AD67" i="20"/>
  <c r="AC67" i="20"/>
  <c r="AD66" i="20"/>
  <c r="AC66" i="20"/>
  <c r="AD65" i="20"/>
  <c r="AC65" i="20"/>
  <c r="AD64" i="20"/>
  <c r="AC64" i="20"/>
  <c r="AD63" i="20"/>
  <c r="AC63" i="20"/>
  <c r="AD62" i="20"/>
  <c r="AC62" i="20"/>
  <c r="AD61" i="20"/>
  <c r="AC61" i="20"/>
  <c r="AD60" i="20"/>
  <c r="AC60" i="20"/>
  <c r="AD59" i="20"/>
  <c r="AC59" i="20"/>
  <c r="AD58" i="20"/>
  <c r="AC58" i="20"/>
  <c r="AD57" i="20"/>
  <c r="AC57" i="20"/>
  <c r="AD56" i="20"/>
  <c r="AC56" i="20"/>
  <c r="AD55" i="20"/>
  <c r="AC55" i="20"/>
  <c r="AD54" i="20"/>
  <c r="AC54" i="20"/>
  <c r="AD53" i="20"/>
  <c r="AC53" i="20"/>
  <c r="AD52" i="20"/>
  <c r="AC52" i="20"/>
  <c r="AD51" i="20"/>
  <c r="AC51" i="20"/>
  <c r="AD50" i="20"/>
  <c r="AC50" i="20"/>
  <c r="AD49" i="20"/>
  <c r="AC49" i="20"/>
  <c r="AD48" i="20"/>
  <c r="AC48" i="20"/>
  <c r="AD47" i="20"/>
  <c r="AC47" i="20"/>
  <c r="AD46" i="20"/>
  <c r="AC46" i="20"/>
  <c r="AD45" i="20"/>
  <c r="AC45" i="20"/>
  <c r="AD44" i="20"/>
  <c r="AC44" i="20"/>
  <c r="AD43" i="20"/>
  <c r="AC43" i="20"/>
  <c r="AD42" i="20"/>
  <c r="AC42" i="20"/>
  <c r="AD41" i="20"/>
  <c r="AC41" i="20"/>
  <c r="AD40" i="20"/>
  <c r="AC40" i="20"/>
  <c r="AD39" i="20"/>
  <c r="AC39" i="20"/>
  <c r="AD38" i="20"/>
  <c r="AC38" i="20"/>
  <c r="AD37" i="20"/>
  <c r="AC37" i="20"/>
  <c r="AD36" i="20"/>
  <c r="AC36" i="20"/>
  <c r="AD35" i="20"/>
  <c r="AC35" i="20"/>
  <c r="AD34" i="20"/>
  <c r="AC34" i="20"/>
  <c r="AD33" i="20"/>
  <c r="AC33" i="20"/>
  <c r="AD32" i="20"/>
  <c r="AC32" i="20"/>
  <c r="AD31" i="20"/>
  <c r="AC31" i="20"/>
  <c r="AD30" i="20"/>
  <c r="AC30" i="20"/>
  <c r="AD29" i="20"/>
  <c r="AC29" i="20"/>
  <c r="AD28" i="20"/>
  <c r="AC28" i="20"/>
  <c r="AD27" i="20"/>
  <c r="AC27" i="20"/>
  <c r="AD26" i="20"/>
  <c r="AC26" i="20"/>
  <c r="AD25" i="20"/>
  <c r="AC25" i="20"/>
  <c r="AD24" i="20"/>
  <c r="AC24" i="20"/>
  <c r="AD23" i="20"/>
  <c r="AC23" i="20"/>
  <c r="AD22" i="20"/>
  <c r="AC22" i="20"/>
  <c r="AD21" i="20"/>
  <c r="AC21" i="20"/>
  <c r="AD20" i="20"/>
  <c r="AC20" i="20"/>
  <c r="AD19" i="20"/>
  <c r="AC19" i="20"/>
  <c r="AD18" i="20"/>
  <c r="AC18" i="20"/>
  <c r="AD17" i="20"/>
  <c r="AC17" i="20"/>
  <c r="AD16" i="20"/>
  <c r="AC16" i="20"/>
  <c r="AD15" i="20"/>
  <c r="AC15" i="20"/>
  <c r="AD14" i="20"/>
  <c r="AC14" i="20"/>
  <c r="AD13" i="20"/>
  <c r="AC13" i="20"/>
  <c r="AD12" i="20"/>
  <c r="AC12" i="20"/>
  <c r="AD11" i="20"/>
  <c r="AC11" i="20"/>
  <c r="AD10" i="20"/>
  <c r="AC10" i="20"/>
  <c r="AD9" i="20"/>
  <c r="AC9" i="20"/>
  <c r="AD8" i="20"/>
  <c r="AC8" i="20"/>
  <c r="AD7" i="20"/>
  <c r="AC7" i="20"/>
  <c r="AD6" i="20"/>
  <c r="AC6" i="20"/>
  <c r="AD5" i="20"/>
  <c r="AC5" i="20"/>
  <c r="AD4" i="20"/>
  <c r="AC4" i="20"/>
  <c r="AD3" i="20"/>
  <c r="AC3" i="20"/>
  <c r="AD2" i="20"/>
  <c r="AC2" i="20"/>
  <c r="M67" i="4" l="1"/>
  <c r="M60" i="4"/>
  <c r="M47" i="4"/>
  <c r="M65" i="4"/>
  <c r="M8" i="4"/>
  <c r="P100" i="4"/>
  <c r="M40" i="4"/>
  <c r="P113" i="4"/>
  <c r="M81" i="4"/>
  <c r="P103" i="4"/>
  <c r="M51" i="4"/>
  <c r="P106" i="4"/>
  <c r="M58" i="4"/>
  <c r="P99" i="4"/>
  <c r="M36" i="4"/>
  <c r="P110" i="4"/>
  <c r="AE110" i="4" s="1"/>
  <c r="M74" i="4"/>
  <c r="P101" i="4"/>
  <c r="M44" i="4"/>
  <c r="P112" i="4"/>
  <c r="M80" i="4"/>
  <c r="Q111" i="4"/>
  <c r="AB85" i="6"/>
  <c r="M140" i="21"/>
  <c r="M141" i="21" s="1"/>
  <c r="D137" i="21" s="1"/>
  <c r="G137" i="21" s="1"/>
  <c r="N153" i="20"/>
  <c r="F222" i="20"/>
  <c r="AA85" i="6"/>
  <c r="R108" i="4"/>
  <c r="N151" i="22"/>
  <c r="AB5" i="6"/>
  <c r="N137" i="20"/>
  <c r="Z5" i="6"/>
  <c r="S120" i="17"/>
  <c r="R111" i="4"/>
  <c r="M152" i="22"/>
  <c r="M153" i="22" s="1"/>
  <c r="AE113" i="4"/>
  <c r="Q109" i="4"/>
  <c r="Q108" i="4"/>
  <c r="Q107" i="4"/>
  <c r="AE85" i="6"/>
  <c r="Q105" i="4"/>
  <c r="Q102" i="4"/>
  <c r="P107" i="4"/>
  <c r="P108" i="4"/>
  <c r="P111" i="4"/>
  <c r="P102" i="4"/>
  <c r="P109" i="4"/>
  <c r="P2" i="4"/>
  <c r="P105" i="4"/>
  <c r="G170" i="20"/>
  <c r="AH85" i="6"/>
  <c r="AG85" i="6"/>
  <c r="AF85" i="6"/>
  <c r="E170" i="20"/>
  <c r="F170" i="20"/>
  <c r="Q2" i="4"/>
  <c r="Q93" i="4"/>
  <c r="P93" i="4"/>
  <c r="G136" i="20"/>
  <c r="E195" i="20"/>
  <c r="E191" i="20"/>
  <c r="B140" i="1"/>
  <c r="N67" i="1"/>
  <c r="C140" i="1"/>
  <c r="O67" i="1"/>
  <c r="D140" i="1"/>
  <c r="P67" i="1"/>
  <c r="E140" i="1"/>
  <c r="Q67" i="1"/>
  <c r="AC82" i="6"/>
  <c r="AC80" i="6"/>
  <c r="AC81" i="6"/>
  <c r="R66" i="1"/>
  <c r="G190" i="22"/>
  <c r="E190" i="22"/>
  <c r="B190" i="22" s="1"/>
  <c r="E186" i="21"/>
  <c r="AF84" i="6" s="1"/>
  <c r="D186" i="21"/>
  <c r="AE84" i="6" s="1"/>
  <c r="E178" i="21"/>
  <c r="B178" i="21" s="1"/>
  <c r="G178" i="21"/>
  <c r="K159" i="20"/>
  <c r="H151" i="20"/>
  <c r="H159" i="20"/>
  <c r="H167" i="20"/>
  <c r="H147" i="20"/>
  <c r="H155" i="20"/>
  <c r="H163" i="20"/>
  <c r="H148" i="20"/>
  <c r="H156" i="20"/>
  <c r="H164" i="20"/>
  <c r="H145" i="20"/>
  <c r="H153" i="20"/>
  <c r="H161" i="20"/>
  <c r="H169" i="20"/>
  <c r="H150" i="20"/>
  <c r="H158" i="20"/>
  <c r="H166" i="20"/>
  <c r="H152" i="20"/>
  <c r="H160" i="20"/>
  <c r="H168" i="20"/>
  <c r="H149" i="20"/>
  <c r="H157" i="20"/>
  <c r="H165" i="20"/>
  <c r="H143" i="20"/>
  <c r="H146" i="20"/>
  <c r="H154" i="20"/>
  <c r="H162" i="20"/>
  <c r="B167" i="20"/>
  <c r="B164" i="20"/>
  <c r="H144" i="20"/>
  <c r="B146" i="20"/>
  <c r="B148" i="20"/>
  <c r="B159" i="20"/>
  <c r="B158" i="20"/>
  <c r="D140" i="20"/>
  <c r="B162" i="20"/>
  <c r="B166" i="20"/>
  <c r="B161" i="20"/>
  <c r="B160" i="20"/>
  <c r="D184" i="20"/>
  <c r="AC84" i="6" s="1"/>
  <c r="B147" i="20"/>
  <c r="B149" i="20"/>
  <c r="B150" i="20"/>
  <c r="B151" i="20"/>
  <c r="B152" i="20"/>
  <c r="B153" i="20"/>
  <c r="B154" i="20"/>
  <c r="B155" i="20"/>
  <c r="B156" i="20"/>
  <c r="B157" i="20"/>
  <c r="B144" i="20"/>
  <c r="B145" i="20"/>
  <c r="B143" i="20"/>
  <c r="B169" i="20"/>
  <c r="D139" i="20"/>
  <c r="B168" i="20"/>
  <c r="M135" i="20"/>
  <c r="Z4" i="6" s="1"/>
  <c r="E139" i="20"/>
  <c r="B163" i="20"/>
  <c r="B165" i="20"/>
  <c r="E140" i="20"/>
  <c r="H73" i="19"/>
  <c r="L73" i="19" s="1"/>
  <c r="M117" i="19" s="1"/>
  <c r="H71" i="19"/>
  <c r="L71" i="19" s="1"/>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AD69" i="19"/>
  <c r="AD70" i="19"/>
  <c r="AD71" i="19"/>
  <c r="AD72" i="19"/>
  <c r="AD73" i="19"/>
  <c r="AD74" i="19"/>
  <c r="AD75" i="19"/>
  <c r="AD76" i="19"/>
  <c r="AD77" i="19"/>
  <c r="AD78" i="19"/>
  <c r="AD79" i="19"/>
  <c r="AD80" i="19"/>
  <c r="AD81" i="19"/>
  <c r="AD82" i="19"/>
  <c r="AD83" i="19"/>
  <c r="AD84" i="19"/>
  <c r="AD85" i="19"/>
  <c r="AD86" i="19"/>
  <c r="AD87" i="19"/>
  <c r="AD89" i="19"/>
  <c r="AD90" i="19"/>
  <c r="AD91" i="19"/>
  <c r="AD92" i="19"/>
  <c r="AD93" i="19"/>
  <c r="AE33" i="19"/>
  <c r="AE34" i="19"/>
  <c r="AE35" i="19"/>
  <c r="AE36" i="19"/>
  <c r="AE37" i="19"/>
  <c r="AE38" i="19"/>
  <c r="AE39" i="19"/>
  <c r="AE40" i="19"/>
  <c r="AE41" i="19"/>
  <c r="AE42" i="19"/>
  <c r="AE43" i="19"/>
  <c r="AE44" i="19"/>
  <c r="AE45" i="19"/>
  <c r="AE46" i="19"/>
  <c r="AE47" i="19"/>
  <c r="AE48" i="19"/>
  <c r="AE49" i="19"/>
  <c r="AE50" i="19"/>
  <c r="AE51" i="19"/>
  <c r="AE52" i="19"/>
  <c r="AE53" i="19"/>
  <c r="AE54" i="19"/>
  <c r="AE55" i="19"/>
  <c r="AE56" i="19"/>
  <c r="AE57" i="19"/>
  <c r="AE58" i="19"/>
  <c r="AE59" i="19"/>
  <c r="AE60" i="19"/>
  <c r="AE61" i="19"/>
  <c r="AE62" i="19"/>
  <c r="AE63" i="19"/>
  <c r="AE64" i="19"/>
  <c r="AE65" i="19"/>
  <c r="AE66" i="19"/>
  <c r="AE67" i="19"/>
  <c r="AE68" i="19"/>
  <c r="AE69" i="19"/>
  <c r="AE70" i="19"/>
  <c r="AE71" i="19"/>
  <c r="AE72" i="19"/>
  <c r="AE73" i="19"/>
  <c r="AE74" i="19"/>
  <c r="AE75" i="19"/>
  <c r="AE76" i="19"/>
  <c r="AE77" i="19"/>
  <c r="AE78" i="19"/>
  <c r="AE79" i="19"/>
  <c r="AE80" i="19"/>
  <c r="AE81" i="19"/>
  <c r="AE82" i="19"/>
  <c r="AE83" i="19"/>
  <c r="AE84" i="19"/>
  <c r="AE85" i="19"/>
  <c r="AE86" i="19"/>
  <c r="AE87" i="19"/>
  <c r="AE89" i="19"/>
  <c r="AE90" i="19"/>
  <c r="AE91" i="19"/>
  <c r="AE92" i="19"/>
  <c r="AE93" i="19"/>
  <c r="A93" i="19"/>
  <c r="D149" i="22" l="1"/>
  <c r="G149" i="22" s="1"/>
  <c r="N138" i="20"/>
  <c r="Z7" i="6" s="1"/>
  <c r="Z6" i="6"/>
  <c r="N152" i="22"/>
  <c r="AB7" i="6" s="1"/>
  <c r="AB6" i="6"/>
  <c r="J36" i="6"/>
  <c r="AC85" i="6"/>
  <c r="R67" i="1"/>
  <c r="E141" i="1"/>
  <c r="Q68" i="1"/>
  <c r="K167" i="20"/>
  <c r="M168" i="20" s="1"/>
  <c r="R69" i="4"/>
  <c r="R109" i="4" s="1"/>
  <c r="M136" i="20"/>
  <c r="M137" i="20" s="1"/>
  <c r="M138" i="20" s="1"/>
  <c r="A63" i="19"/>
  <c r="H56" i="19"/>
  <c r="L56" i="19" s="1"/>
  <c r="H55" i="19"/>
  <c r="L55" i="19" s="1"/>
  <c r="H50" i="19"/>
  <c r="L50" i="19" s="1"/>
  <c r="M127" i="19" s="1"/>
  <c r="H48" i="19"/>
  <c r="L48" i="19" s="1"/>
  <c r="H47" i="19"/>
  <c r="L47" i="19" s="1"/>
  <c r="M130" i="19" s="1"/>
  <c r="H43" i="19"/>
  <c r="L43" i="19" s="1"/>
  <c r="A43" i="19"/>
  <c r="H42" i="19"/>
  <c r="L42" i="19" s="1"/>
  <c r="H41" i="19"/>
  <c r="L41" i="19" s="1"/>
  <c r="H39" i="19"/>
  <c r="L39" i="19" s="1"/>
  <c r="M126" i="19" s="1"/>
  <c r="AE32" i="19"/>
  <c r="AD32" i="19"/>
  <c r="AE31" i="19"/>
  <c r="AD31" i="19"/>
  <c r="AE30" i="19"/>
  <c r="AD30" i="19"/>
  <c r="AE29" i="19"/>
  <c r="AD29" i="19"/>
  <c r="AE28" i="19"/>
  <c r="AD28" i="19"/>
  <c r="AE27" i="19"/>
  <c r="AD27" i="19"/>
  <c r="AE26" i="19"/>
  <c r="AD26" i="19"/>
  <c r="AE25" i="19"/>
  <c r="AD25" i="19"/>
  <c r="AE24" i="19"/>
  <c r="AD24" i="19"/>
  <c r="H24" i="19"/>
  <c r="L24" i="19" s="1"/>
  <c r="AE23" i="19"/>
  <c r="AD23" i="19"/>
  <c r="H23" i="19"/>
  <c r="L23" i="19" s="1"/>
  <c r="M123" i="19" s="1"/>
  <c r="AE22" i="19"/>
  <c r="AD22" i="19"/>
  <c r="H22" i="19"/>
  <c r="L22" i="19" s="1"/>
  <c r="AE21" i="19"/>
  <c r="AD21" i="19"/>
  <c r="H21" i="19"/>
  <c r="L21" i="19" s="1"/>
  <c r="N153" i="22" l="1"/>
  <c r="AB8" i="6" s="1"/>
  <c r="R93" i="4"/>
  <c r="R2" i="4"/>
  <c r="O68" i="1"/>
  <c r="C141" i="1"/>
  <c r="P68" i="1"/>
  <c r="D141" i="1"/>
  <c r="D135" i="20"/>
  <c r="G135" i="20" s="1"/>
  <c r="H19" i="19"/>
  <c r="L19" i="19" s="1"/>
  <c r="N37" i="14" l="1"/>
  <c r="N29" i="14"/>
  <c r="N28" i="14"/>
  <c r="E4" i="14"/>
  <c r="M36" i="14" l="1"/>
  <c r="N36" i="14" s="1"/>
  <c r="M35" i="14"/>
  <c r="N35" i="14" s="1"/>
  <c r="M33" i="14"/>
  <c r="N33" i="14" s="1"/>
  <c r="M32" i="14"/>
  <c r="N32" i="14" s="1"/>
  <c r="M24" i="14"/>
  <c r="N24" i="14" s="1"/>
  <c r="M20" i="14"/>
  <c r="N20" i="14" s="1"/>
  <c r="M40" i="14"/>
  <c r="N40" i="14" s="1"/>
  <c r="H4" i="14"/>
  <c r="I4" i="14"/>
  <c r="F4" i="14"/>
  <c r="L18" i="14"/>
  <c r="M18" i="14" s="1"/>
  <c r="N18" i="14" s="1"/>
  <c r="L39" i="14"/>
  <c r="M39" i="14" s="1"/>
  <c r="N39" i="14" s="1"/>
  <c r="K34" i="14"/>
  <c r="L34" i="14" s="1"/>
  <c r="M34" i="14" s="1"/>
  <c r="N34" i="14" s="1"/>
  <c r="K31" i="14"/>
  <c r="L31" i="14" s="1"/>
  <c r="M31" i="14" s="1"/>
  <c r="N31" i="14" s="1"/>
  <c r="K27" i="14"/>
  <c r="L27" i="14" s="1"/>
  <c r="M27" i="14" s="1"/>
  <c r="N27" i="14" s="1"/>
  <c r="K23" i="14"/>
  <c r="L23" i="14" s="1"/>
  <c r="M23" i="14" s="1"/>
  <c r="N23" i="14" s="1"/>
  <c r="K15" i="14"/>
  <c r="L15" i="14" s="1"/>
  <c r="M15" i="14" s="1"/>
  <c r="N15" i="14" s="1"/>
  <c r="J38" i="14"/>
  <c r="K38" i="14" s="1"/>
  <c r="L38" i="14" s="1"/>
  <c r="M38" i="14" s="1"/>
  <c r="N38" i="14" s="1"/>
  <c r="J30" i="14"/>
  <c r="K30" i="14" s="1"/>
  <c r="L30" i="14" s="1"/>
  <c r="M30" i="14" s="1"/>
  <c r="N30" i="14" s="1"/>
  <c r="J26" i="14"/>
  <c r="K26" i="14" s="1"/>
  <c r="L26" i="14" s="1"/>
  <c r="M26" i="14" s="1"/>
  <c r="N26" i="14" s="1"/>
  <c r="J25" i="14"/>
  <c r="K25" i="14" s="1"/>
  <c r="L25" i="14" s="1"/>
  <c r="M25" i="14" s="1"/>
  <c r="N25" i="14" s="1"/>
  <c r="A18" i="19" l="1"/>
  <c r="N68" i="1" s="1"/>
  <c r="H17" i="19"/>
  <c r="L17" i="19" s="1"/>
  <c r="H16" i="19"/>
  <c r="L16" i="19" s="1"/>
  <c r="M124" i="19" s="1"/>
  <c r="H9" i="19"/>
  <c r="L9" i="19" s="1"/>
  <c r="M119" i="19" s="1"/>
  <c r="H8" i="19" l="1"/>
  <c r="L8" i="19" s="1"/>
  <c r="M128" i="19" s="1"/>
  <c r="H7" i="19" l="1"/>
  <c r="N104" i="19" l="1"/>
  <c r="L7" i="19"/>
  <c r="M129" i="19" s="1"/>
  <c r="M133" i="19" s="1"/>
  <c r="E164" i="19"/>
  <c r="Y39" i="1"/>
  <c r="Y37" i="1"/>
  <c r="Y14" i="1"/>
  <c r="Y13" i="1"/>
  <c r="N105" i="19" l="1"/>
  <c r="N106" i="19" s="1"/>
  <c r="A49" i="9"/>
  <c r="L102" i="9" s="1"/>
  <c r="Q74" i="1" s="1"/>
  <c r="A32" i="9"/>
  <c r="L101" i="9" s="1"/>
  <c r="P74" i="1" s="1"/>
  <c r="A18" i="9"/>
  <c r="L100" i="9" s="1"/>
  <c r="O74" i="1" s="1"/>
  <c r="A5" i="9"/>
  <c r="L99" i="9" s="1"/>
  <c r="N74" i="1" s="1"/>
  <c r="R68" i="1"/>
  <c r="A20" i="5"/>
  <c r="L106" i="5" s="1"/>
  <c r="N72" i="1" s="1"/>
  <c r="A39" i="5"/>
  <c r="L107" i="5" s="1"/>
  <c r="O72" i="1" s="1"/>
  <c r="A55" i="5"/>
  <c r="L108" i="5" s="1"/>
  <c r="P72" i="1" s="1"/>
  <c r="A72" i="5"/>
  <c r="L109" i="5" s="1"/>
  <c r="Q72" i="1" s="1"/>
  <c r="A73" i="3"/>
  <c r="L106" i="3" s="1"/>
  <c r="Q71" i="1" s="1"/>
  <c r="A37" i="3"/>
  <c r="L105" i="3" s="1"/>
  <c r="P71" i="1" s="1"/>
  <c r="A26" i="3"/>
  <c r="L104" i="3" s="1"/>
  <c r="O71" i="1" s="1"/>
  <c r="A14" i="3"/>
  <c r="L103" i="3" s="1"/>
  <c r="N71" i="1" s="1"/>
  <c r="A91" i="2"/>
  <c r="L134" i="2" s="1"/>
  <c r="Q70" i="1" s="1"/>
  <c r="A49" i="2"/>
  <c r="L133" i="2" s="1"/>
  <c r="P70" i="1" s="1"/>
  <c r="A33" i="2"/>
  <c r="L132" i="2" s="1"/>
  <c r="O70" i="1" s="1"/>
  <c r="A14" i="2"/>
  <c r="L131" i="2" s="1"/>
  <c r="N70" i="1" s="1"/>
  <c r="V67" i="6"/>
  <c r="V68" i="6" s="1"/>
  <c r="V69" i="6" s="1"/>
  <c r="U67" i="6"/>
  <c r="T67" i="6"/>
  <c r="S67" i="6"/>
  <c r="S68" i="6" s="1"/>
  <c r="S69" i="6" s="1"/>
  <c r="R67" i="6"/>
  <c r="R68" i="6" s="1"/>
  <c r="R69" i="6" s="1"/>
  <c r="D104" i="19" l="1"/>
  <c r="G104" i="19" s="1"/>
  <c r="R72" i="1"/>
  <c r="R71" i="1"/>
  <c r="R70" i="1"/>
  <c r="U68" i="6"/>
  <c r="R74" i="1"/>
  <c r="T68" i="6"/>
  <c r="V70" i="6"/>
  <c r="S70" i="6"/>
  <c r="R70" i="6"/>
  <c r="V57" i="6"/>
  <c r="I4" i="6"/>
  <c r="I6" i="6"/>
  <c r="I7" i="6"/>
  <c r="I8" i="6"/>
  <c r="I9" i="6"/>
  <c r="I10" i="6"/>
  <c r="G143" i="19"/>
  <c r="F143" i="19"/>
  <c r="E143" i="19"/>
  <c r="D143" i="19"/>
  <c r="A143" i="19"/>
  <c r="G142" i="19"/>
  <c r="F142" i="19"/>
  <c r="E142" i="19"/>
  <c r="D142" i="19"/>
  <c r="A142" i="19"/>
  <c r="G141" i="19"/>
  <c r="F141" i="19"/>
  <c r="E141" i="19"/>
  <c r="D141" i="19"/>
  <c r="A141" i="19"/>
  <c r="G140" i="19"/>
  <c r="F140" i="19"/>
  <c r="E140" i="19"/>
  <c r="D140" i="19"/>
  <c r="A140" i="19"/>
  <c r="G139" i="19"/>
  <c r="F139" i="19"/>
  <c r="E139" i="19"/>
  <c r="D139" i="19"/>
  <c r="A139" i="19"/>
  <c r="G138" i="19"/>
  <c r="F138" i="19"/>
  <c r="E138" i="19"/>
  <c r="D138" i="19"/>
  <c r="A138" i="19"/>
  <c r="G137" i="19"/>
  <c r="F137" i="19"/>
  <c r="E137" i="19"/>
  <c r="D137" i="19"/>
  <c r="A137" i="19"/>
  <c r="G136" i="19"/>
  <c r="F136" i="19"/>
  <c r="E136" i="19"/>
  <c r="D136" i="19"/>
  <c r="A136" i="19"/>
  <c r="G135" i="19"/>
  <c r="F135" i="19"/>
  <c r="E135" i="19"/>
  <c r="D135" i="19"/>
  <c r="A135" i="19"/>
  <c r="G134" i="19"/>
  <c r="F134" i="19"/>
  <c r="E134" i="19"/>
  <c r="D134" i="19"/>
  <c r="A134" i="19"/>
  <c r="G133" i="19"/>
  <c r="F133" i="19"/>
  <c r="E133" i="19"/>
  <c r="D133" i="19"/>
  <c r="A133" i="19"/>
  <c r="G132" i="19"/>
  <c r="F132" i="19"/>
  <c r="E132" i="19"/>
  <c r="D132" i="19"/>
  <c r="A132" i="19"/>
  <c r="G131" i="19"/>
  <c r="F131" i="19"/>
  <c r="E131" i="19"/>
  <c r="D131" i="19"/>
  <c r="A131" i="19"/>
  <c r="G130" i="19"/>
  <c r="F130" i="19"/>
  <c r="E130" i="19"/>
  <c r="D130" i="19"/>
  <c r="A130" i="19"/>
  <c r="G129" i="19"/>
  <c r="F129" i="19"/>
  <c r="E129" i="19"/>
  <c r="D129" i="19"/>
  <c r="A129" i="19"/>
  <c r="G128" i="19"/>
  <c r="F128" i="19"/>
  <c r="E128" i="19"/>
  <c r="D128" i="19"/>
  <c r="A128" i="19"/>
  <c r="L127" i="19"/>
  <c r="G127" i="19"/>
  <c r="F127" i="19"/>
  <c r="E127" i="19"/>
  <c r="D127" i="19"/>
  <c r="A127" i="19"/>
  <c r="L126" i="19"/>
  <c r="G126" i="19"/>
  <c r="F126" i="19"/>
  <c r="E126" i="19"/>
  <c r="D126" i="19"/>
  <c r="A126" i="19"/>
  <c r="G125" i="19"/>
  <c r="F125" i="19"/>
  <c r="E125" i="19"/>
  <c r="D125" i="19"/>
  <c r="A125" i="19"/>
  <c r="L124" i="19"/>
  <c r="G124" i="19"/>
  <c r="F124" i="19"/>
  <c r="E124" i="19"/>
  <c r="D124" i="19"/>
  <c r="A124" i="19"/>
  <c r="L123" i="19"/>
  <c r="T54" i="17" s="1"/>
  <c r="F123" i="19"/>
  <c r="D123" i="19"/>
  <c r="A123" i="19"/>
  <c r="G122" i="19"/>
  <c r="F122" i="19"/>
  <c r="E122" i="19"/>
  <c r="D122" i="19"/>
  <c r="A122" i="19"/>
  <c r="G121" i="19"/>
  <c r="F121" i="19"/>
  <c r="E121" i="19"/>
  <c r="D121" i="19"/>
  <c r="A121" i="19"/>
  <c r="G120" i="19"/>
  <c r="F120" i="19"/>
  <c r="E120" i="19"/>
  <c r="D120" i="19"/>
  <c r="A120" i="19"/>
  <c r="L119" i="19"/>
  <c r="G119" i="19"/>
  <c r="F119" i="19"/>
  <c r="E119" i="19"/>
  <c r="D119" i="19"/>
  <c r="A119" i="19"/>
  <c r="G118" i="19"/>
  <c r="F118" i="19"/>
  <c r="E118" i="19"/>
  <c r="D118" i="19"/>
  <c r="A118" i="19"/>
  <c r="G117" i="19"/>
  <c r="F117" i="19"/>
  <c r="E117" i="19"/>
  <c r="D117" i="19"/>
  <c r="A117" i="19"/>
  <c r="G116" i="19"/>
  <c r="V62" i="6" s="1"/>
  <c r="F116" i="19"/>
  <c r="V61" i="6" s="1"/>
  <c r="E116" i="19"/>
  <c r="D116" i="19"/>
  <c r="A116" i="19"/>
  <c r="G115" i="19"/>
  <c r="D115" i="19"/>
  <c r="A115" i="19"/>
  <c r="F114" i="19"/>
  <c r="D114" i="19"/>
  <c r="A114" i="19"/>
  <c r="G113" i="19"/>
  <c r="F113" i="19"/>
  <c r="E113" i="19"/>
  <c r="D113" i="6" s="1"/>
  <c r="D113" i="19"/>
  <c r="A113" i="19"/>
  <c r="G112" i="19"/>
  <c r="F112" i="19"/>
  <c r="E112" i="19"/>
  <c r="D112" i="19"/>
  <c r="A112" i="19"/>
  <c r="M109" i="19"/>
  <c r="G107" i="19"/>
  <c r="W33" i="6" s="1"/>
  <c r="D107" i="19"/>
  <c r="L114" i="19"/>
  <c r="L113" i="19"/>
  <c r="L128" i="19"/>
  <c r="E114" i="19"/>
  <c r="L115" i="19"/>
  <c r="F115" i="19"/>
  <c r="L130" i="19"/>
  <c r="T65" i="17" s="1"/>
  <c r="AE20" i="19"/>
  <c r="AD20" i="19"/>
  <c r="AE19" i="19"/>
  <c r="AD19" i="19"/>
  <c r="AE18" i="19"/>
  <c r="AD18" i="19"/>
  <c r="L131" i="19"/>
  <c r="T67" i="17" s="1"/>
  <c r="T120" i="17" s="1"/>
  <c r="AE17" i="19"/>
  <c r="AD17" i="19"/>
  <c r="AE16" i="19"/>
  <c r="AD16" i="19"/>
  <c r="AE15" i="19"/>
  <c r="AD15" i="19"/>
  <c r="AE14" i="19"/>
  <c r="AD14" i="19"/>
  <c r="L121" i="19"/>
  <c r="T52" i="17" s="1"/>
  <c r="AE13" i="19"/>
  <c r="AD13" i="19"/>
  <c r="L116" i="19"/>
  <c r="AE12" i="19"/>
  <c r="AD12" i="19"/>
  <c r="L120" i="19"/>
  <c r="AE11" i="19"/>
  <c r="AD11" i="19"/>
  <c r="L122" i="19"/>
  <c r="AE10" i="19"/>
  <c r="AD10" i="19"/>
  <c r="AE9" i="19"/>
  <c r="AD9" i="19"/>
  <c r="AE8" i="19"/>
  <c r="AD8" i="19"/>
  <c r="L125" i="19"/>
  <c r="T58" i="17" s="1"/>
  <c r="AE7" i="19"/>
  <c r="AD7" i="19"/>
  <c r="AE6" i="19"/>
  <c r="AD6" i="19"/>
  <c r="AE5" i="19"/>
  <c r="AD5" i="19"/>
  <c r="AE4" i="19"/>
  <c r="AD4" i="19"/>
  <c r="L117" i="19"/>
  <c r="AE3" i="19"/>
  <c r="AD3" i="19"/>
  <c r="L129" i="19"/>
  <c r="AE2" i="19"/>
  <c r="AD2" i="19"/>
  <c r="L118" i="19"/>
  <c r="I23" i="6" l="1"/>
  <c r="S55" i="4"/>
  <c r="S105" i="4" s="1"/>
  <c r="I11" i="6"/>
  <c r="S44" i="4"/>
  <c r="S101" i="4" s="1"/>
  <c r="S65" i="4"/>
  <c r="I32" i="6"/>
  <c r="S50" i="4"/>
  <c r="S103" i="4" s="1"/>
  <c r="I18" i="6"/>
  <c r="I36" i="6"/>
  <c r="S69" i="4"/>
  <c r="S67" i="4"/>
  <c r="I34" i="6"/>
  <c r="I42" i="6"/>
  <c r="S75" i="4"/>
  <c r="S46" i="4"/>
  <c r="I14" i="6"/>
  <c r="I5" i="6"/>
  <c r="S8" i="4"/>
  <c r="I3" i="6"/>
  <c r="S6" i="4"/>
  <c r="I19" i="6"/>
  <c r="S51" i="4"/>
  <c r="S47" i="4"/>
  <c r="I15" i="6"/>
  <c r="I25" i="6"/>
  <c r="S57" i="4"/>
  <c r="S61" i="4"/>
  <c r="I28" i="6"/>
  <c r="S58" i="4"/>
  <c r="I26" i="6"/>
  <c r="S63" i="4"/>
  <c r="I30" i="6"/>
  <c r="S56" i="4"/>
  <c r="I24" i="6"/>
  <c r="I39" i="6"/>
  <c r="S72" i="4"/>
  <c r="I33" i="6"/>
  <c r="S66" i="4"/>
  <c r="I12" i="6"/>
  <c r="T69" i="6"/>
  <c r="T70" i="6" s="1"/>
  <c r="U69" i="6"/>
  <c r="U70" i="6" s="1"/>
  <c r="V63" i="6"/>
  <c r="V64" i="6" s="1"/>
  <c r="H121" i="19"/>
  <c r="H112" i="19"/>
  <c r="H116" i="19"/>
  <c r="H125" i="19"/>
  <c r="H124" i="19"/>
  <c r="H140" i="19"/>
  <c r="H141" i="19"/>
  <c r="H120" i="19"/>
  <c r="H139" i="19"/>
  <c r="H129" i="19"/>
  <c r="H113" i="19"/>
  <c r="H123" i="19"/>
  <c r="H130" i="19"/>
  <c r="H117" i="19"/>
  <c r="H142" i="19"/>
  <c r="H118" i="19"/>
  <c r="H119" i="19"/>
  <c r="H128" i="19"/>
  <c r="H131" i="19"/>
  <c r="D109" i="19"/>
  <c r="F144" i="19"/>
  <c r="L133" i="19"/>
  <c r="D108" i="19"/>
  <c r="G123" i="19"/>
  <c r="Y4" i="6"/>
  <c r="G114" i="19"/>
  <c r="H115" i="19" s="1"/>
  <c r="B128" i="19"/>
  <c r="E107" i="19"/>
  <c r="E115" i="19"/>
  <c r="E123" i="19"/>
  <c r="H132" i="19"/>
  <c r="L123" i="10"/>
  <c r="A92" i="10"/>
  <c r="L137" i="10" s="1"/>
  <c r="Q69" i="1" s="1"/>
  <c r="E86" i="15"/>
  <c r="M86" i="15"/>
  <c r="N86" i="15"/>
  <c r="L93" i="12"/>
  <c r="T64" i="4"/>
  <c r="V64" i="4"/>
  <c r="W64" i="4"/>
  <c r="D64" i="4"/>
  <c r="U7" i="4"/>
  <c r="T7" i="4"/>
  <c r="Z6" i="4"/>
  <c r="W7" i="4"/>
  <c r="X7" i="4"/>
  <c r="Y7" i="4"/>
  <c r="Z7" i="4"/>
  <c r="AA7" i="4"/>
  <c r="AB7" i="4"/>
  <c r="AC7" i="4"/>
  <c r="AD7" i="4"/>
  <c r="V8" i="4"/>
  <c r="W8" i="4"/>
  <c r="X8" i="4"/>
  <c r="Y8" i="4"/>
  <c r="Z8" i="4"/>
  <c r="AA8" i="4"/>
  <c r="AB8" i="4"/>
  <c r="AC8" i="4"/>
  <c r="AD8" i="4"/>
  <c r="V47" i="4"/>
  <c r="W47" i="4"/>
  <c r="X47" i="4"/>
  <c r="Y47" i="4"/>
  <c r="Z47" i="4"/>
  <c r="AA47" i="4"/>
  <c r="AB47" i="4"/>
  <c r="AC47" i="4"/>
  <c r="AD47" i="4"/>
  <c r="D47" i="4"/>
  <c r="V62" i="4"/>
  <c r="W62" i="4"/>
  <c r="X62" i="4"/>
  <c r="Y62" i="4"/>
  <c r="Z62" i="4"/>
  <c r="AA62" i="4"/>
  <c r="AB62" i="4"/>
  <c r="AC62" i="4"/>
  <c r="AD62" i="4"/>
  <c r="D62" i="4"/>
  <c r="U58" i="4"/>
  <c r="V58" i="4"/>
  <c r="W58" i="4"/>
  <c r="X58" i="4"/>
  <c r="Y58" i="4"/>
  <c r="Z58" i="4"/>
  <c r="AA58" i="4"/>
  <c r="AB58" i="4"/>
  <c r="AC58" i="4"/>
  <c r="AD58" i="4"/>
  <c r="D58" i="4"/>
  <c r="AB38" i="4"/>
  <c r="H81" i="10"/>
  <c r="H92" i="10"/>
  <c r="H91" i="10"/>
  <c r="L113" i="10" s="1"/>
  <c r="T6" i="4" s="1"/>
  <c r="H90" i="10"/>
  <c r="AD41" i="4"/>
  <c r="AD42" i="4"/>
  <c r="AD44" i="4"/>
  <c r="AD45" i="4"/>
  <c r="AD46" i="4"/>
  <c r="AD102" i="4" s="1"/>
  <c r="AD49" i="4"/>
  <c r="AD50" i="4"/>
  <c r="AD51" i="4"/>
  <c r="AD52" i="4"/>
  <c r="AD53" i="4"/>
  <c r="AD104" i="4" s="1"/>
  <c r="AD54" i="4"/>
  <c r="AD55" i="4"/>
  <c r="AD56" i="4"/>
  <c r="AD57" i="4"/>
  <c r="AD106" i="4" s="1"/>
  <c r="AD60" i="4"/>
  <c r="AD61" i="4"/>
  <c r="AD65" i="4"/>
  <c r="AD108" i="4" s="1"/>
  <c r="AD66" i="4"/>
  <c r="AD67" i="4"/>
  <c r="AD69" i="4"/>
  <c r="AD109" i="4" s="1"/>
  <c r="AD78" i="4"/>
  <c r="AD112" i="4" s="1"/>
  <c r="AD79" i="4"/>
  <c r="AD10" i="4"/>
  <c r="AD11" i="4"/>
  <c r="AD12" i="4"/>
  <c r="AD13" i="4"/>
  <c r="AD14" i="4"/>
  <c r="AD15" i="4"/>
  <c r="AD16" i="4"/>
  <c r="AD17" i="4"/>
  <c r="AD18" i="4"/>
  <c r="AD19" i="4"/>
  <c r="AD20" i="4"/>
  <c r="AD21" i="4"/>
  <c r="AD22" i="4"/>
  <c r="AD23" i="4"/>
  <c r="AD25" i="4"/>
  <c r="AD26" i="4"/>
  <c r="AD27" i="4"/>
  <c r="AD28" i="4"/>
  <c r="AD29" i="4"/>
  <c r="AD30" i="4"/>
  <c r="AD31" i="4"/>
  <c r="AD33" i="4"/>
  <c r="AD34" i="4"/>
  <c r="AD38" i="4"/>
  <c r="AC50" i="4"/>
  <c r="AC51" i="4"/>
  <c r="AC52" i="4"/>
  <c r="AC53" i="4"/>
  <c r="AC104" i="4" s="1"/>
  <c r="AC54" i="4"/>
  <c r="AC55" i="4"/>
  <c r="AC56" i="4"/>
  <c r="AC57" i="4"/>
  <c r="AC59" i="4"/>
  <c r="AC107" i="4" s="1"/>
  <c r="AC60" i="4"/>
  <c r="AC61" i="4"/>
  <c r="AC65" i="4"/>
  <c r="AC66" i="4"/>
  <c r="AC67" i="4"/>
  <c r="AC69" i="4"/>
  <c r="AC109" i="4" s="1"/>
  <c r="AC78" i="4"/>
  <c r="AC79" i="4"/>
  <c r="AC10" i="4"/>
  <c r="AC11" i="4"/>
  <c r="AC12" i="4"/>
  <c r="AC13" i="4"/>
  <c r="AC14" i="4"/>
  <c r="AC15" i="4"/>
  <c r="AC16" i="4"/>
  <c r="AC17" i="4"/>
  <c r="AC18" i="4"/>
  <c r="AC19" i="4"/>
  <c r="AC20" i="4"/>
  <c r="AC21" i="4"/>
  <c r="AC22" i="4"/>
  <c r="AC23" i="4"/>
  <c r="AC24" i="4"/>
  <c r="AC97" i="4" s="1"/>
  <c r="AC26" i="4"/>
  <c r="AC27" i="4"/>
  <c r="AC28" i="4"/>
  <c r="AC29" i="4"/>
  <c r="AC30" i="4"/>
  <c r="AC31" i="4"/>
  <c r="AC33" i="4"/>
  <c r="AC38" i="4"/>
  <c r="AC49" i="4"/>
  <c r="AC41" i="4"/>
  <c r="AC42" i="4"/>
  <c r="AC44" i="4"/>
  <c r="AC45" i="4"/>
  <c r="AC46" i="4"/>
  <c r="AC102" i="4" s="1"/>
  <c r="L126" i="10"/>
  <c r="AB82" i="10"/>
  <c r="AB83" i="10"/>
  <c r="AB84" i="10"/>
  <c r="AB85" i="10"/>
  <c r="AB86" i="10"/>
  <c r="AB87" i="10"/>
  <c r="AB88" i="10"/>
  <c r="AB89" i="10"/>
  <c r="AB90" i="10"/>
  <c r="AB91" i="10"/>
  <c r="AB92" i="10"/>
  <c r="AB93" i="10"/>
  <c r="H82" i="10"/>
  <c r="AB81" i="10"/>
  <c r="H80" i="10"/>
  <c r="AB80" i="10"/>
  <c r="AB79" i="10"/>
  <c r="H78" i="10"/>
  <c r="L127" i="10" s="1"/>
  <c r="AB78" i="10"/>
  <c r="AB77" i="10"/>
  <c r="A136" i="10"/>
  <c r="D136" i="10"/>
  <c r="E136" i="10"/>
  <c r="F136" i="10"/>
  <c r="G136" i="10"/>
  <c r="A135" i="10"/>
  <c r="D135" i="10"/>
  <c r="E135" i="10"/>
  <c r="F135" i="10"/>
  <c r="G135" i="10"/>
  <c r="A134" i="10"/>
  <c r="D134" i="10"/>
  <c r="E134" i="10"/>
  <c r="F134" i="10"/>
  <c r="G134" i="10"/>
  <c r="A137" i="10"/>
  <c r="D137" i="10"/>
  <c r="E137" i="10"/>
  <c r="F137" i="10"/>
  <c r="G137" i="10"/>
  <c r="A133" i="10"/>
  <c r="D133" i="10"/>
  <c r="E133" i="10"/>
  <c r="F133" i="10"/>
  <c r="G133" i="10"/>
  <c r="AC93" i="10"/>
  <c r="AC92" i="10"/>
  <c r="AC91" i="10"/>
  <c r="AC90" i="10"/>
  <c r="AC89" i="10"/>
  <c r="AC88" i="10"/>
  <c r="AC87" i="10"/>
  <c r="AC86" i="10"/>
  <c r="AC85" i="10"/>
  <c r="AC84" i="10"/>
  <c r="AC83" i="10"/>
  <c r="AC82" i="10"/>
  <c r="AC81" i="10"/>
  <c r="AC80" i="10"/>
  <c r="AC79" i="10"/>
  <c r="AC78" i="10"/>
  <c r="AC77" i="10"/>
  <c r="S106" i="4" l="1"/>
  <c r="AC106" i="4"/>
  <c r="S102" i="4"/>
  <c r="AC105" i="4"/>
  <c r="AD101" i="4"/>
  <c r="S111" i="4"/>
  <c r="AE111" i="4" s="1"/>
  <c r="S107" i="4"/>
  <c r="H24" i="6"/>
  <c r="U52" i="17"/>
  <c r="S109" i="4"/>
  <c r="AC112" i="4"/>
  <c r="AD105" i="4"/>
  <c r="AC101" i="4"/>
  <c r="AC108" i="4"/>
  <c r="S108" i="4"/>
  <c r="S2" i="4"/>
  <c r="S93" i="4"/>
  <c r="T47" i="4"/>
  <c r="H15" i="6"/>
  <c r="D153" i="19"/>
  <c r="AA84" i="6" s="1"/>
  <c r="AK3" i="6"/>
  <c r="L112" i="10"/>
  <c r="T8" i="4" s="1"/>
  <c r="B133" i="19"/>
  <c r="Y11" i="6"/>
  <c r="B132" i="19"/>
  <c r="B115" i="19"/>
  <c r="B127" i="19"/>
  <c r="B130" i="19"/>
  <c r="E144" i="19"/>
  <c r="B144" i="19" s="1"/>
  <c r="B129" i="19"/>
  <c r="B112" i="19"/>
  <c r="B131" i="19"/>
  <c r="B140" i="19"/>
  <c r="E153" i="19"/>
  <c r="AB84" i="6" s="1"/>
  <c r="E109" i="19"/>
  <c r="E108" i="19"/>
  <c r="G144" i="19"/>
  <c r="G145" i="19" s="1"/>
  <c r="H122" i="19"/>
  <c r="B123" i="19"/>
  <c r="B142" i="19"/>
  <c r="B143" i="19"/>
  <c r="B139" i="19"/>
  <c r="B137" i="19"/>
  <c r="B135" i="19"/>
  <c r="B126" i="19"/>
  <c r="B125" i="19"/>
  <c r="B124" i="19"/>
  <c r="B122" i="19"/>
  <c r="B121" i="19"/>
  <c r="B120" i="19"/>
  <c r="B117" i="19"/>
  <c r="B116" i="19"/>
  <c r="B119" i="19"/>
  <c r="B138" i="19"/>
  <c r="B114" i="19"/>
  <c r="B113" i="19"/>
  <c r="B118" i="19"/>
  <c r="B141" i="19"/>
  <c r="B134" i="19"/>
  <c r="B136" i="19"/>
  <c r="AB76" i="10"/>
  <c r="AC76" i="10"/>
  <c r="L91" i="18"/>
  <c r="D11" i="18"/>
  <c r="D14" i="18"/>
  <c r="E111" i="18" s="1"/>
  <c r="D25" i="18"/>
  <c r="E112" i="18" s="1"/>
  <c r="E121" i="18"/>
  <c r="E122" i="18" s="1"/>
  <c r="E123" i="18" s="1"/>
  <c r="E124" i="18" s="1"/>
  <c r="E125" i="18" s="1"/>
  <c r="D121" i="18"/>
  <c r="D122" i="18" s="1"/>
  <c r="D123" i="18" s="1"/>
  <c r="D124" i="18" s="1"/>
  <c r="D125" i="18" s="1"/>
  <c r="G116" i="18"/>
  <c r="F116" i="18"/>
  <c r="E116" i="18"/>
  <c r="D116" i="18"/>
  <c r="G115" i="18"/>
  <c r="F115" i="18"/>
  <c r="E115" i="18"/>
  <c r="D115" i="18"/>
  <c r="G114" i="18"/>
  <c r="F114" i="18"/>
  <c r="E114" i="18"/>
  <c r="D114" i="18"/>
  <c r="G113" i="18"/>
  <c r="F113" i="18"/>
  <c r="E113" i="18"/>
  <c r="D113" i="18"/>
  <c r="G112" i="18"/>
  <c r="F112" i="18"/>
  <c r="D112" i="18"/>
  <c r="G111" i="18"/>
  <c r="F111" i="18"/>
  <c r="D111" i="18"/>
  <c r="G110" i="18"/>
  <c r="F110" i="18"/>
  <c r="E110" i="18"/>
  <c r="D110" i="18"/>
  <c r="G109" i="18"/>
  <c r="F109" i="18"/>
  <c r="E109" i="18"/>
  <c r="D109" i="18"/>
  <c r="G108" i="18"/>
  <c r="F108" i="18"/>
  <c r="E108" i="18"/>
  <c r="D108" i="18"/>
  <c r="G107" i="18"/>
  <c r="F107" i="18"/>
  <c r="E107" i="18"/>
  <c r="D107" i="18"/>
  <c r="G106" i="18"/>
  <c r="F106" i="18"/>
  <c r="E106" i="18"/>
  <c r="D106" i="18"/>
  <c r="G105" i="18"/>
  <c r="F105" i="18"/>
  <c r="E105" i="18"/>
  <c r="D105" i="18"/>
  <c r="L104" i="18"/>
  <c r="AD6" i="4" s="1"/>
  <c r="G104" i="18"/>
  <c r="F104" i="18"/>
  <c r="E104" i="18"/>
  <c r="D104" i="18"/>
  <c r="L103" i="18"/>
  <c r="AD59" i="4" s="1"/>
  <c r="AD107" i="4" s="1"/>
  <c r="G103" i="18"/>
  <c r="F103" i="18"/>
  <c r="E103" i="18"/>
  <c r="D103" i="18"/>
  <c r="L102" i="18"/>
  <c r="AD48" i="4" s="1"/>
  <c r="AD103" i="4" s="1"/>
  <c r="G102" i="18"/>
  <c r="F102" i="18"/>
  <c r="E102" i="18"/>
  <c r="D102" i="18"/>
  <c r="L101" i="18"/>
  <c r="AD40" i="4" s="1"/>
  <c r="G101" i="18"/>
  <c r="F101" i="18"/>
  <c r="E101" i="18"/>
  <c r="D101" i="18"/>
  <c r="L100" i="18"/>
  <c r="AD39" i="4" s="1"/>
  <c r="G100" i="18"/>
  <c r="F100" i="18"/>
  <c r="E100" i="18"/>
  <c r="D100" i="18"/>
  <c r="L99" i="18"/>
  <c r="AD35" i="4" s="1"/>
  <c r="G99" i="18"/>
  <c r="F99" i="18"/>
  <c r="E99" i="18"/>
  <c r="D99" i="18"/>
  <c r="G98" i="18"/>
  <c r="F98" i="18"/>
  <c r="E98" i="18"/>
  <c r="D98" i="18"/>
  <c r="L97" i="18"/>
  <c r="AD36" i="4" s="1"/>
  <c r="G97" i="18"/>
  <c r="F97" i="18"/>
  <c r="E97" i="18"/>
  <c r="D97" i="18"/>
  <c r="G96" i="18"/>
  <c r="F96" i="18"/>
  <c r="E96" i="18"/>
  <c r="D96" i="18"/>
  <c r="L95" i="18"/>
  <c r="AD24" i="4" s="1"/>
  <c r="AD97" i="4" s="1"/>
  <c r="G95" i="18"/>
  <c r="F95" i="18"/>
  <c r="E95" i="18"/>
  <c r="D124" i="6" s="1"/>
  <c r="D95" i="18"/>
  <c r="G94" i="18"/>
  <c r="G117" i="18" s="1"/>
  <c r="F94" i="18"/>
  <c r="E94" i="18"/>
  <c r="D94" i="18"/>
  <c r="S91" i="18"/>
  <c r="G89" i="18"/>
  <c r="E89" i="18"/>
  <c r="D89" i="18"/>
  <c r="G88" i="18"/>
  <c r="E88" i="18"/>
  <c r="D88" i="18"/>
  <c r="N87" i="18"/>
  <c r="N88" i="18" s="1"/>
  <c r="N89" i="18" s="1"/>
  <c r="D87" i="18"/>
  <c r="T86" i="18"/>
  <c r="T87" i="18" s="1"/>
  <c r="T88" i="18" s="1"/>
  <c r="T89" i="18" s="1"/>
  <c r="S86" i="18"/>
  <c r="S87" i="18" s="1"/>
  <c r="S88" i="18" s="1"/>
  <c r="S89" i="18" s="1"/>
  <c r="N86" i="18"/>
  <c r="M86" i="18"/>
  <c r="M87" i="18" s="1"/>
  <c r="L86" i="18"/>
  <c r="L87" i="18" s="1"/>
  <c r="L88" i="18" s="1"/>
  <c r="L89" i="18" s="1"/>
  <c r="A76" i="18"/>
  <c r="A75" i="18"/>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L96" i="18"/>
  <c r="AD32" i="4" s="1"/>
  <c r="AD98" i="4" s="1"/>
  <c r="A6" i="18"/>
  <c r="A5" i="18"/>
  <c r="A4" i="18"/>
  <c r="A3" i="18"/>
  <c r="L98" i="18"/>
  <c r="AD37" i="4" s="1"/>
  <c r="A2" i="18"/>
  <c r="AD99" i="4" l="1"/>
  <c r="AD100" i="4"/>
  <c r="AD93" i="4"/>
  <c r="AD2" i="4"/>
  <c r="D90" i="18"/>
  <c r="Y6" i="6"/>
  <c r="Y5" i="6"/>
  <c r="E145" i="19"/>
  <c r="B145" i="19" s="1"/>
  <c r="E86" i="18"/>
  <c r="B101" i="18" s="1"/>
  <c r="E117" i="18"/>
  <c r="F117" i="18"/>
  <c r="D91" i="18"/>
  <c r="D126" i="18"/>
  <c r="M88" i="18"/>
  <c r="M89" i="18" s="1"/>
  <c r="E126" i="18"/>
  <c r="E90" i="18"/>
  <c r="B114" i="18" l="1"/>
  <c r="B95" i="18"/>
  <c r="Y10" i="6"/>
  <c r="B97" i="18"/>
  <c r="B103" i="18"/>
  <c r="B96" i="18"/>
  <c r="B99" i="18"/>
  <c r="B111" i="18"/>
  <c r="B116" i="18"/>
  <c r="B108" i="18"/>
  <c r="B107" i="18"/>
  <c r="B110" i="18"/>
  <c r="B106" i="18"/>
  <c r="E91" i="18"/>
  <c r="B104" i="18"/>
  <c r="B113" i="18"/>
  <c r="B109" i="18"/>
  <c r="G118" i="18"/>
  <c r="B98" i="18"/>
  <c r="B105" i="18"/>
  <c r="B115" i="18"/>
  <c r="B100" i="18"/>
  <c r="B94" i="18"/>
  <c r="B102" i="18"/>
  <c r="E118" i="18"/>
  <c r="B112" i="18"/>
  <c r="D86" i="18"/>
  <c r="G86" i="18" s="1"/>
  <c r="B117" i="18" l="1"/>
  <c r="AC75" i="10" l="1"/>
  <c r="AB75" i="10"/>
  <c r="AC74" i="10"/>
  <c r="AB74" i="10"/>
  <c r="AC73" i="10"/>
  <c r="AB73" i="10"/>
  <c r="AC72" i="10"/>
  <c r="AB72" i="10"/>
  <c r="U34" i="17"/>
  <c r="E34" i="17"/>
  <c r="A34" i="17"/>
  <c r="E33" i="17"/>
  <c r="A33" i="17"/>
  <c r="E32" i="17"/>
  <c r="A32" i="17"/>
  <c r="E31" i="17"/>
  <c r="A31" i="17"/>
  <c r="E30" i="17"/>
  <c r="A30" i="17"/>
  <c r="E29" i="17"/>
  <c r="A29" i="17"/>
  <c r="E28" i="17"/>
  <c r="A28" i="17"/>
  <c r="E27" i="17"/>
  <c r="A27" i="17"/>
  <c r="E26" i="17"/>
  <c r="A26" i="17"/>
  <c r="E25" i="17"/>
  <c r="A25" i="17"/>
  <c r="E24" i="17"/>
  <c r="A24" i="17"/>
  <c r="E23" i="17"/>
  <c r="A23" i="17"/>
  <c r="E22" i="17"/>
  <c r="A22" i="17"/>
  <c r="E21" i="17"/>
  <c r="A21" i="17"/>
  <c r="E20" i="17"/>
  <c r="A20" i="17"/>
  <c r="E19" i="17"/>
  <c r="A19" i="17"/>
  <c r="E18" i="17"/>
  <c r="A18" i="17"/>
  <c r="E17" i="17"/>
  <c r="A17" i="17"/>
  <c r="E16" i="17"/>
  <c r="A16" i="17"/>
  <c r="E15" i="17"/>
  <c r="A15" i="17"/>
  <c r="E14" i="17"/>
  <c r="A14" i="17"/>
  <c r="E13" i="17"/>
  <c r="A13" i="17"/>
  <c r="E12" i="17"/>
  <c r="A12" i="17"/>
  <c r="E11" i="17"/>
  <c r="A11" i="17"/>
  <c r="E10" i="17"/>
  <c r="A10" i="17"/>
  <c r="E9" i="17"/>
  <c r="A9" i="17"/>
  <c r="E8" i="17"/>
  <c r="A8" i="17"/>
  <c r="E7" i="17"/>
  <c r="A7" i="17"/>
  <c r="E6" i="17"/>
  <c r="A6" i="17"/>
  <c r="E71" i="17"/>
  <c r="A71" i="17"/>
  <c r="E70" i="17"/>
  <c r="A70" i="17"/>
  <c r="E63" i="17"/>
  <c r="A63" i="17"/>
  <c r="E61" i="17"/>
  <c r="A61" i="17"/>
  <c r="E60" i="17"/>
  <c r="A60" i="17"/>
  <c r="E59" i="17"/>
  <c r="A59" i="17"/>
  <c r="E57" i="17"/>
  <c r="A57" i="17"/>
  <c r="E56" i="17"/>
  <c r="A56" i="17"/>
  <c r="E55" i="17"/>
  <c r="A55" i="17"/>
  <c r="E53" i="17"/>
  <c r="A53" i="17"/>
  <c r="E51" i="17"/>
  <c r="A51" i="17"/>
  <c r="E50" i="17"/>
  <c r="A50" i="17"/>
  <c r="E49" i="17"/>
  <c r="A49" i="17"/>
  <c r="E48" i="17"/>
  <c r="A48" i="17"/>
  <c r="E47" i="17"/>
  <c r="A47" i="17"/>
  <c r="E46" i="17"/>
  <c r="A46" i="17"/>
  <c r="E45" i="17"/>
  <c r="A45" i="17"/>
  <c r="E44" i="17"/>
  <c r="A44" i="17"/>
  <c r="E43" i="17"/>
  <c r="A43" i="17"/>
  <c r="E42" i="17"/>
  <c r="A42" i="17"/>
  <c r="E41" i="17"/>
  <c r="A41" i="17"/>
  <c r="E40" i="17"/>
  <c r="A40" i="17"/>
  <c r="E38" i="17"/>
  <c r="A38" i="17"/>
  <c r="E37" i="17"/>
  <c r="A37" i="17"/>
  <c r="E36" i="17"/>
  <c r="A36" i="17"/>
  <c r="E35" i="17"/>
  <c r="A35" i="17"/>
  <c r="R38" i="17" l="1"/>
  <c r="Q38" i="17"/>
  <c r="R47" i="17"/>
  <c r="Q47" i="17"/>
  <c r="Y57" i="17"/>
  <c r="Z57" i="17"/>
  <c r="AA57" i="17"/>
  <c r="AB57" i="17"/>
  <c r="AC57" i="17"/>
  <c r="AD57" i="17"/>
  <c r="AE57" i="17"/>
  <c r="R57" i="17"/>
  <c r="T57" i="17"/>
  <c r="Q57" i="17"/>
  <c r="S57" i="17"/>
  <c r="R23" i="17"/>
  <c r="Q23" i="17"/>
  <c r="R31" i="17"/>
  <c r="Q31" i="17"/>
  <c r="R40" i="17"/>
  <c r="Q40" i="17"/>
  <c r="R48" i="17"/>
  <c r="R113" i="17" s="1"/>
  <c r="Q48" i="17"/>
  <c r="Q113" i="17" s="1"/>
  <c r="AB59" i="17"/>
  <c r="AC59" i="17"/>
  <c r="AD59" i="17"/>
  <c r="AE59" i="17"/>
  <c r="R59" i="17"/>
  <c r="T59" i="17"/>
  <c r="W59" i="17"/>
  <c r="Y59" i="17"/>
  <c r="Z59" i="17"/>
  <c r="AA59" i="17"/>
  <c r="Q59" i="17"/>
  <c r="S59" i="17"/>
  <c r="R24" i="17"/>
  <c r="Q24" i="17"/>
  <c r="R32" i="17"/>
  <c r="Q32" i="17"/>
  <c r="R41" i="17"/>
  <c r="Q41" i="17"/>
  <c r="R49" i="17"/>
  <c r="Q49" i="17"/>
  <c r="AE60" i="17"/>
  <c r="R60" i="17"/>
  <c r="T60" i="17"/>
  <c r="Q60" i="17"/>
  <c r="W60" i="17"/>
  <c r="X60" i="17"/>
  <c r="Y60" i="17"/>
  <c r="Z60" i="17"/>
  <c r="AA60" i="17"/>
  <c r="AB60" i="17"/>
  <c r="AC60" i="17"/>
  <c r="AD60" i="17"/>
  <c r="S60" i="17"/>
  <c r="R25" i="17"/>
  <c r="Q25" i="17"/>
  <c r="R33" i="17"/>
  <c r="Q33" i="17"/>
  <c r="R42" i="17"/>
  <c r="R111" i="17" s="1"/>
  <c r="Q42" i="17"/>
  <c r="Q111" i="17" s="1"/>
  <c r="R50" i="17"/>
  <c r="Q50" i="17"/>
  <c r="R61" i="17"/>
  <c r="T61" i="17"/>
  <c r="W61" i="17"/>
  <c r="X61" i="17"/>
  <c r="Y61" i="17"/>
  <c r="Z61" i="17"/>
  <c r="AA61" i="17"/>
  <c r="AB61" i="17"/>
  <c r="AC61" i="17"/>
  <c r="AD61" i="17"/>
  <c r="AE61" i="17"/>
  <c r="Q61" i="17"/>
  <c r="S61" i="17"/>
  <c r="R26" i="17"/>
  <c r="Q26" i="17"/>
  <c r="R34" i="17"/>
  <c r="Q34" i="17"/>
  <c r="R43" i="17"/>
  <c r="Q43" i="17"/>
  <c r="W51" i="17"/>
  <c r="X51" i="17"/>
  <c r="Q51" i="17"/>
  <c r="Y51" i="17"/>
  <c r="Z51" i="17"/>
  <c r="AA51" i="17"/>
  <c r="AB51" i="17"/>
  <c r="AC51" i="17"/>
  <c r="AD51" i="17"/>
  <c r="AE51" i="17"/>
  <c r="R51" i="17"/>
  <c r="S51" i="17"/>
  <c r="T51" i="17"/>
  <c r="U51" i="17"/>
  <c r="V51" i="17"/>
  <c r="AA63" i="17"/>
  <c r="AA118" i="17" s="1"/>
  <c r="AB63" i="17"/>
  <c r="AB118" i="17" s="1"/>
  <c r="AC63" i="17"/>
  <c r="AC118" i="17" s="1"/>
  <c r="AD63" i="17"/>
  <c r="AE63" i="17"/>
  <c r="R63" i="17"/>
  <c r="R118" i="17" s="1"/>
  <c r="T63" i="17"/>
  <c r="T118" i="17" s="1"/>
  <c r="V63" i="17"/>
  <c r="V118" i="17" s="1"/>
  <c r="W63" i="17"/>
  <c r="W118" i="17" s="1"/>
  <c r="X63" i="17"/>
  <c r="X118" i="17" s="1"/>
  <c r="Y63" i="17"/>
  <c r="Y118" i="17" s="1"/>
  <c r="Z63" i="17"/>
  <c r="Z118" i="17" s="1"/>
  <c r="Q63" i="17"/>
  <c r="Q118" i="17" s="1"/>
  <c r="S63" i="17"/>
  <c r="S118" i="17" s="1"/>
  <c r="R27" i="17"/>
  <c r="Q27" i="17"/>
  <c r="R35" i="17"/>
  <c r="Q35" i="17"/>
  <c r="R44" i="17"/>
  <c r="Q44" i="17"/>
  <c r="AB53" i="17"/>
  <c r="AB115" i="17" s="1"/>
  <c r="AC53" i="17"/>
  <c r="AC115" i="17" s="1"/>
  <c r="AD53" i="17"/>
  <c r="Q53" i="17"/>
  <c r="Q115" i="17" s="1"/>
  <c r="AE53" i="17"/>
  <c r="R53" i="17"/>
  <c r="R115" i="17" s="1"/>
  <c r="S53" i="17"/>
  <c r="S115" i="17" s="1"/>
  <c r="T53" i="17"/>
  <c r="T115" i="17" s="1"/>
  <c r="V53" i="17"/>
  <c r="V115" i="17" s="1"/>
  <c r="W53" i="17"/>
  <c r="W115" i="17" s="1"/>
  <c r="X53" i="17"/>
  <c r="X115" i="17" s="1"/>
  <c r="Y53" i="17"/>
  <c r="Y115" i="17" s="1"/>
  <c r="Z53" i="17"/>
  <c r="Z115" i="17" s="1"/>
  <c r="AA53" i="17"/>
  <c r="AA115" i="17" s="1"/>
  <c r="R70" i="17"/>
  <c r="S70" i="17"/>
  <c r="T70" i="17"/>
  <c r="U70" i="17"/>
  <c r="V70" i="17"/>
  <c r="W70" i="17"/>
  <c r="X70" i="17"/>
  <c r="Q70" i="17"/>
  <c r="Y70" i="17"/>
  <c r="Y121" i="17" s="1"/>
  <c r="Z70" i="17"/>
  <c r="AA70" i="17"/>
  <c r="AB70" i="17"/>
  <c r="AC70" i="17"/>
  <c r="AD70" i="17"/>
  <c r="AE70" i="17"/>
  <c r="R20" i="17"/>
  <c r="Q20" i="17"/>
  <c r="R28" i="17"/>
  <c r="Q28" i="17"/>
  <c r="R36" i="17"/>
  <c r="Q36" i="17"/>
  <c r="R45" i="17"/>
  <c r="Q45" i="17"/>
  <c r="R55" i="17"/>
  <c r="S55" i="17"/>
  <c r="T55" i="17"/>
  <c r="Q55" i="17"/>
  <c r="U55" i="17"/>
  <c r="V55" i="17"/>
  <c r="W55" i="17"/>
  <c r="X55" i="17"/>
  <c r="Y55" i="17"/>
  <c r="Z55" i="17"/>
  <c r="AB55" i="17"/>
  <c r="AD55" i="17"/>
  <c r="AE55" i="17"/>
  <c r="S71" i="17"/>
  <c r="T71" i="17"/>
  <c r="U71" i="17"/>
  <c r="V71" i="17"/>
  <c r="W71" i="17"/>
  <c r="X71" i="17"/>
  <c r="Y71" i="17"/>
  <c r="Z71" i="17"/>
  <c r="AA71" i="17"/>
  <c r="Q71" i="17"/>
  <c r="AB71" i="17"/>
  <c r="AC71" i="17"/>
  <c r="AD71" i="17"/>
  <c r="AE71" i="17"/>
  <c r="R71" i="17"/>
  <c r="R21" i="17"/>
  <c r="Q21" i="17"/>
  <c r="R29" i="17"/>
  <c r="Q29" i="17"/>
  <c r="R37" i="17"/>
  <c r="R109" i="17" s="1"/>
  <c r="Q37" i="17"/>
  <c r="R46" i="17"/>
  <c r="Q46" i="17"/>
  <c r="Q112" i="17" s="1"/>
  <c r="S56" i="17"/>
  <c r="T56" i="17"/>
  <c r="U56" i="17"/>
  <c r="Z56" i="17"/>
  <c r="AA56" i="17"/>
  <c r="AB56" i="17"/>
  <c r="AC56" i="17"/>
  <c r="AD56" i="17"/>
  <c r="AE56" i="17"/>
  <c r="R56" i="17"/>
  <c r="Q56" i="17"/>
  <c r="R22" i="17"/>
  <c r="Q22" i="17"/>
  <c r="R30" i="17"/>
  <c r="Q30" i="17"/>
  <c r="R112" i="17"/>
  <c r="T34" i="17"/>
  <c r="AE47" i="17"/>
  <c r="AD47" i="17"/>
  <c r="AE41" i="17"/>
  <c r="AD41" i="17"/>
  <c r="AD49" i="17"/>
  <c r="AE49" i="17"/>
  <c r="AE33" i="17"/>
  <c r="AE42" i="17"/>
  <c r="AD42" i="17"/>
  <c r="AD50" i="17"/>
  <c r="AE50" i="17"/>
  <c r="Y34" i="17"/>
  <c r="AD34" i="17"/>
  <c r="AE34" i="17"/>
  <c r="AE43" i="17"/>
  <c r="AD48" i="17"/>
  <c r="AE48" i="17"/>
  <c r="AE35" i="17"/>
  <c r="AD44" i="17"/>
  <c r="AE44" i="17"/>
  <c r="AD20" i="17"/>
  <c r="AE20" i="17"/>
  <c r="AE28" i="17"/>
  <c r="AE40" i="17"/>
  <c r="AD40" i="17"/>
  <c r="AE36" i="17"/>
  <c r="AD45" i="17"/>
  <c r="AE45" i="17"/>
  <c r="AD38" i="17"/>
  <c r="AE38" i="17"/>
  <c r="AE31" i="17"/>
  <c r="AD37" i="17"/>
  <c r="AE37" i="17"/>
  <c r="AD46" i="17"/>
  <c r="AE46" i="17"/>
  <c r="AE30" i="17"/>
  <c r="AE32" i="17"/>
  <c r="AD29" i="17"/>
  <c r="AE29" i="17"/>
  <c r="AD24" i="17"/>
  <c r="AE24" i="17"/>
  <c r="AD25" i="17"/>
  <c r="AE25" i="17"/>
  <c r="AD26" i="17"/>
  <c r="AE26" i="17"/>
  <c r="AD27" i="17"/>
  <c r="AE27" i="17"/>
  <c r="AD23" i="17"/>
  <c r="AE23" i="17"/>
  <c r="AD21" i="17"/>
  <c r="AE21" i="17"/>
  <c r="AD22" i="17"/>
  <c r="AE22" i="17"/>
  <c r="AD16" i="17"/>
  <c r="Q16" i="17"/>
  <c r="AE16" i="17"/>
  <c r="R16" i="17"/>
  <c r="AD17" i="17"/>
  <c r="Q17" i="17"/>
  <c r="AE17" i="17"/>
  <c r="R17" i="17"/>
  <c r="AE7" i="17"/>
  <c r="R7" i="17"/>
  <c r="AD7" i="17"/>
  <c r="Q7" i="17"/>
  <c r="AE8" i="17"/>
  <c r="R8" i="17"/>
  <c r="AD8" i="17"/>
  <c r="Q8" i="17"/>
  <c r="AD18" i="17"/>
  <c r="R18" i="17"/>
  <c r="Q18" i="17"/>
  <c r="AE18" i="17"/>
  <c r="Q11" i="17"/>
  <c r="AE11" i="17"/>
  <c r="R11" i="17"/>
  <c r="AD11" i="17"/>
  <c r="AD19" i="17"/>
  <c r="R19" i="17"/>
  <c r="Q19" i="17"/>
  <c r="AE19" i="17"/>
  <c r="AE9" i="17"/>
  <c r="R9" i="17"/>
  <c r="AD9" i="17"/>
  <c r="Q9" i="17"/>
  <c r="AE10" i="17"/>
  <c r="R10" i="17"/>
  <c r="Q10" i="17"/>
  <c r="AD10" i="17"/>
  <c r="Q12" i="17"/>
  <c r="AE12" i="17"/>
  <c r="R12" i="17"/>
  <c r="AD12" i="17"/>
  <c r="AD15" i="17"/>
  <c r="Q15" i="17"/>
  <c r="AE15" i="17"/>
  <c r="R15" i="17"/>
  <c r="AD13" i="17"/>
  <c r="Q13" i="17"/>
  <c r="AE13" i="17"/>
  <c r="R13" i="17"/>
  <c r="R6" i="17"/>
  <c r="AE6" i="17"/>
  <c r="S6" i="17"/>
  <c r="Q6" i="17"/>
  <c r="AD6" i="17"/>
  <c r="AD14" i="17"/>
  <c r="Q14" i="17"/>
  <c r="AE14" i="17"/>
  <c r="R14" i="17"/>
  <c r="S40" i="17"/>
  <c r="T40" i="17"/>
  <c r="T48" i="17"/>
  <c r="T113" i="17" s="1"/>
  <c r="S48" i="17"/>
  <c r="S113" i="17" s="1"/>
  <c r="U8" i="17"/>
  <c r="T8" i="17"/>
  <c r="S8" i="17"/>
  <c r="U16" i="17"/>
  <c r="S16" i="17"/>
  <c r="T16" i="17"/>
  <c r="U24" i="17"/>
  <c r="T24" i="17"/>
  <c r="S24" i="17"/>
  <c r="V32" i="17"/>
  <c r="S32" i="17"/>
  <c r="T32" i="17"/>
  <c r="S41" i="17"/>
  <c r="T41" i="17"/>
  <c r="T49" i="17"/>
  <c r="S49" i="17"/>
  <c r="T9" i="17"/>
  <c r="S9" i="17"/>
  <c r="S17" i="17"/>
  <c r="T17" i="17"/>
  <c r="V25" i="17"/>
  <c r="T25" i="17"/>
  <c r="S25" i="17"/>
  <c r="S33" i="17"/>
  <c r="T33" i="17"/>
  <c r="S43" i="17"/>
  <c r="T43" i="17"/>
  <c r="T11" i="17"/>
  <c r="S11" i="17"/>
  <c r="S19" i="17"/>
  <c r="T19" i="17"/>
  <c r="W27" i="17"/>
  <c r="T27" i="17"/>
  <c r="S27" i="17"/>
  <c r="T23" i="17"/>
  <c r="S23" i="17"/>
  <c r="U10" i="17"/>
  <c r="T10" i="17"/>
  <c r="S10" i="17"/>
  <c r="V35" i="17"/>
  <c r="S35" i="17"/>
  <c r="T35" i="17"/>
  <c r="U44" i="17"/>
  <c r="S44" i="17"/>
  <c r="T44" i="17"/>
  <c r="U12" i="17"/>
  <c r="S12" i="17"/>
  <c r="T12" i="17"/>
  <c r="U20" i="17"/>
  <c r="U106" i="17" s="1"/>
  <c r="S20" i="17"/>
  <c r="T20" i="17"/>
  <c r="W28" i="17"/>
  <c r="S28" i="17"/>
  <c r="T28" i="17"/>
  <c r="U47" i="17"/>
  <c r="T47" i="17"/>
  <c r="S47" i="17"/>
  <c r="S15" i="17"/>
  <c r="T15" i="17"/>
  <c r="W26" i="17"/>
  <c r="T26" i="17"/>
  <c r="S26" i="17"/>
  <c r="U18" i="17"/>
  <c r="S18" i="17"/>
  <c r="T18" i="17"/>
  <c r="S36" i="17"/>
  <c r="T36" i="17"/>
  <c r="U45" i="17"/>
  <c r="T45" i="17"/>
  <c r="S45" i="17"/>
  <c r="S13" i="17"/>
  <c r="T13" i="17"/>
  <c r="T21" i="17"/>
  <c r="S21" i="17"/>
  <c r="Y29" i="17"/>
  <c r="S29" i="17"/>
  <c r="T29" i="17"/>
  <c r="S38" i="17"/>
  <c r="T38" i="17"/>
  <c r="Y31" i="17"/>
  <c r="S31" i="17"/>
  <c r="T31" i="17"/>
  <c r="T50" i="17"/>
  <c r="S50" i="17"/>
  <c r="S42" i="17"/>
  <c r="S111" i="17" s="1"/>
  <c r="T42" i="17"/>
  <c r="T111" i="17" s="1"/>
  <c r="U37" i="17"/>
  <c r="S37" i="17"/>
  <c r="T37" i="17"/>
  <c r="T46" i="17"/>
  <c r="S46" i="17"/>
  <c r="U6" i="17"/>
  <c r="T6" i="17"/>
  <c r="U14" i="17"/>
  <c r="S14" i="17"/>
  <c r="T14" i="17"/>
  <c r="T22" i="17"/>
  <c r="S22" i="17"/>
  <c r="Y30" i="17"/>
  <c r="S30" i="17"/>
  <c r="T30" i="17"/>
  <c r="T7" i="17"/>
  <c r="S7" i="17"/>
  <c r="W43" i="17"/>
  <c r="V43" i="17"/>
  <c r="Z49" i="17"/>
  <c r="Z114" i="17" s="1"/>
  <c r="V49" i="17"/>
  <c r="AA49" i="17"/>
  <c r="AA114" i="17" s="1"/>
  <c r="AB49" i="17"/>
  <c r="AC49" i="17"/>
  <c r="AC114" i="17" s="1"/>
  <c r="AA50" i="17"/>
  <c r="AB50" i="17"/>
  <c r="Y50" i="17"/>
  <c r="AC50" i="17"/>
  <c r="Z50" i="17"/>
  <c r="W21" i="17"/>
  <c r="AA21" i="17"/>
  <c r="X21" i="17"/>
  <c r="AB21" i="17"/>
  <c r="Y21" i="17"/>
  <c r="AC21" i="17"/>
  <c r="V21" i="17"/>
  <c r="Z21" i="17"/>
  <c r="W23" i="17"/>
  <c r="AA23" i="17"/>
  <c r="X23" i="17"/>
  <c r="AB23" i="17"/>
  <c r="Y23" i="17"/>
  <c r="AC23" i="17"/>
  <c r="V23" i="17"/>
  <c r="Z23" i="17"/>
  <c r="U32" i="17"/>
  <c r="U28" i="17"/>
  <c r="AB34" i="17"/>
  <c r="X34" i="17"/>
  <c r="X31" i="17"/>
  <c r="AB30" i="17"/>
  <c r="X30" i="17"/>
  <c r="AB29" i="17"/>
  <c r="X29" i="17"/>
  <c r="Z28" i="17"/>
  <c r="V28" i="17"/>
  <c r="Z27" i="17"/>
  <c r="V27" i="17"/>
  <c r="Z26" i="17"/>
  <c r="V26" i="17"/>
  <c r="Z25" i="17"/>
  <c r="AC36" i="17"/>
  <c r="X38" i="17"/>
  <c r="AB38" i="17"/>
  <c r="Y38" i="17"/>
  <c r="AC38" i="17"/>
  <c r="V38" i="17"/>
  <c r="Z38" i="17"/>
  <c r="W38" i="17"/>
  <c r="AA38" i="17"/>
  <c r="Y40" i="17"/>
  <c r="AC40" i="17"/>
  <c r="Z40" i="17"/>
  <c r="AA40" i="17"/>
  <c r="X40" i="17"/>
  <c r="AB40" i="17"/>
  <c r="AA42" i="17"/>
  <c r="AA111" i="17" s="1"/>
  <c r="AB42" i="17"/>
  <c r="AB111" i="17" s="1"/>
  <c r="AC42" i="17"/>
  <c r="AC111" i="17" s="1"/>
  <c r="W7" i="17"/>
  <c r="AA7" i="17"/>
  <c r="X7" i="17"/>
  <c r="AB7" i="17"/>
  <c r="Y7" i="17"/>
  <c r="AC7" i="17"/>
  <c r="V7" i="17"/>
  <c r="Z7" i="17"/>
  <c r="W9" i="17"/>
  <c r="AA9" i="17"/>
  <c r="X9" i="17"/>
  <c r="AB9" i="17"/>
  <c r="Y9" i="17"/>
  <c r="AC9" i="17"/>
  <c r="V9" i="17"/>
  <c r="Z9" i="17"/>
  <c r="W11" i="17"/>
  <c r="AA11" i="17"/>
  <c r="X11" i="17"/>
  <c r="AB11" i="17"/>
  <c r="Y11" i="17"/>
  <c r="AC11" i="17"/>
  <c r="V11" i="17"/>
  <c r="Z11" i="17"/>
  <c r="W13" i="17"/>
  <c r="AA13" i="17"/>
  <c r="X13" i="17"/>
  <c r="AB13" i="17"/>
  <c r="Y13" i="17"/>
  <c r="AC13" i="17"/>
  <c r="V13" i="17"/>
  <c r="Z13" i="17"/>
  <c r="W15" i="17"/>
  <c r="AA15" i="17"/>
  <c r="X15" i="17"/>
  <c r="AB15" i="17"/>
  <c r="Y15" i="17"/>
  <c r="AC15" i="17"/>
  <c r="V15" i="17"/>
  <c r="Z15" i="17"/>
  <c r="W17" i="17"/>
  <c r="AA17" i="17"/>
  <c r="X17" i="17"/>
  <c r="AB17" i="17"/>
  <c r="Y17" i="17"/>
  <c r="AC17" i="17"/>
  <c r="V17" i="17"/>
  <c r="Z17" i="17"/>
  <c r="W19" i="17"/>
  <c r="AA19" i="17"/>
  <c r="X19" i="17"/>
  <c r="AB19" i="17"/>
  <c r="Y19" i="17"/>
  <c r="AC19" i="17"/>
  <c r="V19" i="17"/>
  <c r="Z19" i="17"/>
  <c r="Y35" i="17"/>
  <c r="U31" i="17"/>
  <c r="U27" i="17"/>
  <c r="U23" i="17"/>
  <c r="U19" i="17"/>
  <c r="U15" i="17"/>
  <c r="U11" i="17"/>
  <c r="U7" i="17"/>
  <c r="U38" i="17"/>
  <c r="AA34" i="17"/>
  <c r="W34" i="17"/>
  <c r="AA31" i="17"/>
  <c r="W31" i="17"/>
  <c r="AA30" i="17"/>
  <c r="W30" i="17"/>
  <c r="AA29" i="17"/>
  <c r="W29" i="17"/>
  <c r="AC27" i="17"/>
  <c r="Y27" i="17"/>
  <c r="AC26" i="17"/>
  <c r="Y26" i="17"/>
  <c r="AC25" i="17"/>
  <c r="Y25" i="17"/>
  <c r="AB45" i="17"/>
  <c r="AC45" i="17"/>
  <c r="AA45" i="17"/>
  <c r="Y47" i="17"/>
  <c r="AC47" i="17"/>
  <c r="V47" i="17"/>
  <c r="Z47" i="17"/>
  <c r="W47" i="17"/>
  <c r="AA47" i="17"/>
  <c r="X47" i="17"/>
  <c r="AB47" i="17"/>
  <c r="W22" i="17"/>
  <c r="AA22" i="17"/>
  <c r="X22" i="17"/>
  <c r="AB22" i="17"/>
  <c r="Y22" i="17"/>
  <c r="AC22" i="17"/>
  <c r="V22" i="17"/>
  <c r="Z22" i="17"/>
  <c r="W24" i="17"/>
  <c r="AA24" i="17"/>
  <c r="X24" i="17"/>
  <c r="AB24" i="17"/>
  <c r="Y24" i="17"/>
  <c r="AC24" i="17"/>
  <c r="V24" i="17"/>
  <c r="Z24" i="17"/>
  <c r="U35" i="17"/>
  <c r="U30" i="17"/>
  <c r="U26" i="17"/>
  <c r="U22" i="17"/>
  <c r="Z34" i="17"/>
  <c r="V34" i="17"/>
  <c r="V33" i="17"/>
  <c r="W32" i="17"/>
  <c r="Z31" i="17"/>
  <c r="V31" i="17"/>
  <c r="Z30" i="17"/>
  <c r="V30" i="17"/>
  <c r="Z29" i="17"/>
  <c r="V29" i="17"/>
  <c r="X28" i="17"/>
  <c r="AB27" i="17"/>
  <c r="X27" i="17"/>
  <c r="AB26" i="17"/>
  <c r="X26" i="17"/>
  <c r="AB25" i="17"/>
  <c r="X25" i="17"/>
  <c r="V37" i="17"/>
  <c r="AA37" i="17"/>
  <c r="W37" i="17"/>
  <c r="AC37" i="17"/>
  <c r="X37" i="17"/>
  <c r="Y37" i="17"/>
  <c r="Y41" i="17"/>
  <c r="AC41" i="17"/>
  <c r="V41" i="17"/>
  <c r="Z41" i="17"/>
  <c r="W41" i="17"/>
  <c r="AA41" i="17"/>
  <c r="X41" i="17"/>
  <c r="AB41" i="17"/>
  <c r="V44" i="17"/>
  <c r="Z44" i="17"/>
  <c r="W44" i="17"/>
  <c r="AA44" i="17"/>
  <c r="AB44" i="17"/>
  <c r="Y44" i="17"/>
  <c r="AC44" i="17"/>
  <c r="Y46" i="17"/>
  <c r="AC46" i="17"/>
  <c r="Z46" i="17"/>
  <c r="AA46" i="17"/>
  <c r="AB46" i="17"/>
  <c r="Y48" i="17"/>
  <c r="Y113" i="17" s="1"/>
  <c r="AC48" i="17"/>
  <c r="AC113" i="17" s="1"/>
  <c r="Z48" i="17"/>
  <c r="Z113" i="17" s="1"/>
  <c r="W48" i="17"/>
  <c r="W113" i="17" s="1"/>
  <c r="AA48" i="17"/>
  <c r="AA113" i="17" s="1"/>
  <c r="X48" i="17"/>
  <c r="X113" i="17" s="1"/>
  <c r="AB48" i="17"/>
  <c r="AB113" i="17" s="1"/>
  <c r="W6" i="17"/>
  <c r="AA6" i="17"/>
  <c r="X6" i="17"/>
  <c r="AB6" i="17"/>
  <c r="Y6" i="17"/>
  <c r="AC6" i="17"/>
  <c r="V6" i="17"/>
  <c r="Z6" i="17"/>
  <c r="W8" i="17"/>
  <c r="AA8" i="17"/>
  <c r="X8" i="17"/>
  <c r="AB8" i="17"/>
  <c r="Y8" i="17"/>
  <c r="AC8" i="17"/>
  <c r="V8" i="17"/>
  <c r="Z8" i="17"/>
  <c r="W10" i="17"/>
  <c r="AA10" i="17"/>
  <c r="X10" i="17"/>
  <c r="AB10" i="17"/>
  <c r="Y10" i="17"/>
  <c r="AC10" i="17"/>
  <c r="V10" i="17"/>
  <c r="Z10" i="17"/>
  <c r="W12" i="17"/>
  <c r="AA12" i="17"/>
  <c r="X12" i="17"/>
  <c r="AB12" i="17"/>
  <c r="Y12" i="17"/>
  <c r="AC12" i="17"/>
  <c r="V12" i="17"/>
  <c r="Z12" i="17"/>
  <c r="W14" i="17"/>
  <c r="AA14" i="17"/>
  <c r="X14" i="17"/>
  <c r="AB14" i="17"/>
  <c r="Y14" i="17"/>
  <c r="AC14" i="17"/>
  <c r="V14" i="17"/>
  <c r="Z14" i="17"/>
  <c r="W16" i="17"/>
  <c r="AA16" i="17"/>
  <c r="X16" i="17"/>
  <c r="AB16" i="17"/>
  <c r="Y16" i="17"/>
  <c r="AC16" i="17"/>
  <c r="V16" i="17"/>
  <c r="Z16" i="17"/>
  <c r="W18" i="17"/>
  <c r="AA18" i="17"/>
  <c r="X18" i="17"/>
  <c r="AB18" i="17"/>
  <c r="Y18" i="17"/>
  <c r="AC18" i="17"/>
  <c r="V18" i="17"/>
  <c r="Z18" i="17"/>
  <c r="W20" i="17"/>
  <c r="W106" i="17" s="1"/>
  <c r="AA20" i="17"/>
  <c r="AA106" i="17" s="1"/>
  <c r="X20" i="17"/>
  <c r="X106" i="17" s="1"/>
  <c r="AB20" i="17"/>
  <c r="AB106" i="17" s="1"/>
  <c r="V20" i="17"/>
  <c r="V106" i="17" s="1"/>
  <c r="Z20" i="17"/>
  <c r="Z106" i="17" s="1"/>
  <c r="U33" i="17"/>
  <c r="U29" i="17"/>
  <c r="U25" i="17"/>
  <c r="U21" i="17"/>
  <c r="U17" i="17"/>
  <c r="U13" i="17"/>
  <c r="U9" i="17"/>
  <c r="U41" i="17"/>
  <c r="AC34" i="17"/>
  <c r="AC29" i="17"/>
  <c r="AA27" i="17"/>
  <c r="AA26" i="17"/>
  <c r="AA25" i="17"/>
  <c r="W25" i="17"/>
  <c r="AB110" i="17" l="1"/>
  <c r="R117" i="17"/>
  <c r="X110" i="17"/>
  <c r="AA110" i="17"/>
  <c r="AC121" i="17"/>
  <c r="Z110" i="17"/>
  <c r="T114" i="17"/>
  <c r="AB121" i="17"/>
  <c r="AC117" i="17"/>
  <c r="AC110" i="17"/>
  <c r="T110" i="17"/>
  <c r="Q116" i="17"/>
  <c r="AA121" i="17"/>
  <c r="AB117" i="17"/>
  <c r="Y110" i="17"/>
  <c r="AB114" i="17"/>
  <c r="T116" i="17"/>
  <c r="Z121" i="17"/>
  <c r="S117" i="17"/>
  <c r="T112" i="17"/>
  <c r="R116" i="17"/>
  <c r="Q121" i="17"/>
  <c r="Q117" i="17"/>
  <c r="Q110" i="17"/>
  <c r="T109" i="17"/>
  <c r="X121" i="17"/>
  <c r="AA117" i="17"/>
  <c r="R110" i="17"/>
  <c r="W121" i="17"/>
  <c r="Z117" i="17"/>
  <c r="Q109" i="17"/>
  <c r="V121" i="17"/>
  <c r="Y117" i="17"/>
  <c r="U121" i="17"/>
  <c r="AB116" i="17"/>
  <c r="T121" i="17"/>
  <c r="W117" i="17"/>
  <c r="S121" i="17"/>
  <c r="S116" i="17"/>
  <c r="Z116" i="17"/>
  <c r="R121" i="17"/>
  <c r="Q114" i="17"/>
  <c r="R114" i="17"/>
  <c r="T117" i="17"/>
  <c r="S114" i="17"/>
  <c r="S112" i="17"/>
  <c r="S110" i="17"/>
  <c r="S109" i="17"/>
  <c r="L16" i="17"/>
  <c r="N27" i="17"/>
  <c r="N8" i="17"/>
  <c r="L24" i="17"/>
  <c r="L21" i="17"/>
  <c r="N70" i="17"/>
  <c r="L12" i="17"/>
  <c r="L25" i="17"/>
  <c r="N18" i="17"/>
  <c r="N6" i="17"/>
  <c r="N24" i="17"/>
  <c r="L47" i="17"/>
  <c r="L18" i="17"/>
  <c r="L26" i="17"/>
  <c r="L17" i="17"/>
  <c r="L27" i="17"/>
  <c r="N10" i="17"/>
  <c r="N14" i="17"/>
  <c r="L51" i="17"/>
  <c r="L6" i="17"/>
  <c r="N21" i="17"/>
  <c r="N71" i="17"/>
  <c r="L13" i="17"/>
  <c r="N29" i="17"/>
  <c r="L70" i="17"/>
  <c r="N22" i="17"/>
  <c r="N7" i="17"/>
  <c r="N11" i="17"/>
  <c r="N15" i="17"/>
  <c r="N19" i="17"/>
  <c r="N47" i="17"/>
  <c r="L23" i="17"/>
  <c r="N9" i="17"/>
  <c r="N17" i="17"/>
  <c r="L19" i="17"/>
  <c r="N26" i="17"/>
  <c r="N23" i="17"/>
  <c r="L11" i="17"/>
  <c r="L71" i="17"/>
  <c r="N51" i="17"/>
  <c r="N13" i="17"/>
  <c r="L7" i="17"/>
  <c r="L38" i="17"/>
  <c r="N41" i="17"/>
  <c r="L15" i="17"/>
  <c r="L22" i="17"/>
  <c r="L29" i="17"/>
  <c r="L8" i="17"/>
  <c r="L10" i="17"/>
  <c r="N16" i="17"/>
  <c r="N12" i="17"/>
  <c r="L41" i="17"/>
  <c r="L14" i="17"/>
  <c r="N38" i="17"/>
  <c r="N25" i="17"/>
  <c r="L9" i="17"/>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2" i="16"/>
  <c r="A3" i="16"/>
  <c r="A4" i="16"/>
  <c r="A5" i="16"/>
  <c r="A6" i="16"/>
  <c r="A7" i="16"/>
  <c r="A8" i="16"/>
  <c r="A9" i="16"/>
  <c r="A10" i="16"/>
  <c r="A11" i="16"/>
  <c r="A12" i="16"/>
  <c r="E86" i="16"/>
  <c r="H14" i="16"/>
  <c r="H7" i="16"/>
  <c r="H6" i="16"/>
  <c r="H2" i="16"/>
  <c r="H9" i="16"/>
  <c r="AB40" i="4" l="1"/>
  <c r="AB41" i="4"/>
  <c r="AB42" i="4"/>
  <c r="AB44" i="4"/>
  <c r="AB101" i="4" s="1"/>
  <c r="AB45" i="4"/>
  <c r="AB46" i="4"/>
  <c r="AB102" i="4" s="1"/>
  <c r="AB49" i="4"/>
  <c r="AB50" i="4"/>
  <c r="AB51" i="4"/>
  <c r="AB52" i="4"/>
  <c r="AB53" i="4"/>
  <c r="AB104" i="4" s="1"/>
  <c r="AB54" i="4"/>
  <c r="AB105" i="4" s="1"/>
  <c r="AB55" i="4"/>
  <c r="AB56" i="4"/>
  <c r="AB57" i="4"/>
  <c r="AB106" i="4" s="1"/>
  <c r="AB60" i="4"/>
  <c r="AB61" i="4"/>
  <c r="AB65" i="4"/>
  <c r="AB66" i="4"/>
  <c r="AB67" i="4"/>
  <c r="AB69" i="4"/>
  <c r="AB109" i="4" s="1"/>
  <c r="AB78" i="4"/>
  <c r="AB112" i="4" s="1"/>
  <c r="AB79" i="4"/>
  <c r="AB10" i="4"/>
  <c r="AB11" i="4"/>
  <c r="AB12" i="4"/>
  <c r="AB13" i="4"/>
  <c r="AB14" i="4"/>
  <c r="AB15" i="4"/>
  <c r="AB16" i="4"/>
  <c r="AB17" i="4"/>
  <c r="AB18" i="4"/>
  <c r="AB19" i="4"/>
  <c r="AB20" i="4"/>
  <c r="AB21" i="4"/>
  <c r="AB22" i="4"/>
  <c r="AB23" i="4"/>
  <c r="AB26" i="4"/>
  <c r="AB27" i="4"/>
  <c r="AB28" i="4"/>
  <c r="AB29" i="4"/>
  <c r="AB30" i="4"/>
  <c r="AB31" i="4"/>
  <c r="AB33" i="4"/>
  <c r="L105" i="15"/>
  <c r="AC20" i="17" s="1"/>
  <c r="AC106" i="17" s="1"/>
  <c r="L106" i="15"/>
  <c r="L107" i="15"/>
  <c r="A66" i="15"/>
  <c r="A3" i="15"/>
  <c r="A4" i="15"/>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2" i="15"/>
  <c r="L91" i="15"/>
  <c r="H41" i="15"/>
  <c r="H40" i="15"/>
  <c r="H34" i="15"/>
  <c r="H32" i="15"/>
  <c r="H35" i="15"/>
  <c r="H42" i="15"/>
  <c r="H6" i="15"/>
  <c r="E121" i="16"/>
  <c r="E122" i="16" s="1"/>
  <c r="E123" i="16" s="1"/>
  <c r="E124" i="16" s="1"/>
  <c r="E125" i="16" s="1"/>
  <c r="D121" i="16"/>
  <c r="D122" i="16" s="1"/>
  <c r="G116" i="16"/>
  <c r="F116" i="16"/>
  <c r="E116" i="16"/>
  <c r="D116" i="16"/>
  <c r="G115" i="16"/>
  <c r="F115" i="16"/>
  <c r="E115" i="16"/>
  <c r="D115" i="16"/>
  <c r="G114" i="16"/>
  <c r="F114" i="16"/>
  <c r="E114" i="16"/>
  <c r="D114" i="16"/>
  <c r="G113" i="16"/>
  <c r="F113" i="16"/>
  <c r="E113" i="16"/>
  <c r="D113" i="16"/>
  <c r="G112" i="16"/>
  <c r="F112" i="16"/>
  <c r="E112" i="16"/>
  <c r="D112" i="16"/>
  <c r="G111" i="16"/>
  <c r="F111" i="16"/>
  <c r="E111" i="16"/>
  <c r="D111" i="16"/>
  <c r="G110" i="16"/>
  <c r="F110" i="16"/>
  <c r="E110" i="16"/>
  <c r="D110" i="16"/>
  <c r="G109" i="16"/>
  <c r="F109" i="16"/>
  <c r="E109" i="16"/>
  <c r="D109" i="16"/>
  <c r="G108" i="16"/>
  <c r="F108" i="16"/>
  <c r="E108" i="16"/>
  <c r="D108" i="16"/>
  <c r="G107" i="16"/>
  <c r="F107" i="16"/>
  <c r="E107" i="16"/>
  <c r="D107" i="16"/>
  <c r="G106" i="16"/>
  <c r="F106" i="16"/>
  <c r="E106" i="16"/>
  <c r="D106" i="16"/>
  <c r="G105" i="16"/>
  <c r="F105" i="16"/>
  <c r="E105" i="16"/>
  <c r="D105" i="16"/>
  <c r="L104" i="16"/>
  <c r="AC6" i="4" s="1"/>
  <c r="G104" i="16"/>
  <c r="F104" i="16"/>
  <c r="E104" i="16"/>
  <c r="D104" i="16"/>
  <c r="L103" i="16"/>
  <c r="G103" i="16"/>
  <c r="F103" i="16"/>
  <c r="E103" i="16"/>
  <c r="D103" i="16"/>
  <c r="L102" i="16"/>
  <c r="G102" i="16"/>
  <c r="F102" i="16"/>
  <c r="E102" i="16"/>
  <c r="D102" i="16"/>
  <c r="L101" i="16"/>
  <c r="G101" i="16"/>
  <c r="F101" i="16"/>
  <c r="E101" i="16"/>
  <c r="D101" i="16"/>
  <c r="L100" i="16"/>
  <c r="G100" i="16"/>
  <c r="F100" i="16"/>
  <c r="E100" i="16"/>
  <c r="D100" i="16"/>
  <c r="L99" i="16"/>
  <c r="G99" i="16"/>
  <c r="F99" i="16"/>
  <c r="E99" i="16"/>
  <c r="D99" i="16"/>
  <c r="L98" i="16"/>
  <c r="G98" i="16"/>
  <c r="F98" i="16"/>
  <c r="E98" i="16"/>
  <c r="D98" i="16"/>
  <c r="L97" i="16"/>
  <c r="G97" i="16"/>
  <c r="F97" i="16"/>
  <c r="E97" i="16"/>
  <c r="D97" i="16"/>
  <c r="L96" i="16"/>
  <c r="G96" i="16"/>
  <c r="F96" i="16"/>
  <c r="E96" i="16"/>
  <c r="D96" i="16"/>
  <c r="L95" i="16"/>
  <c r="AC25" i="4" s="1"/>
  <c r="G95" i="16"/>
  <c r="F95" i="16"/>
  <c r="E95" i="16"/>
  <c r="D123" i="6" s="1"/>
  <c r="D95" i="16"/>
  <c r="G94" i="16"/>
  <c r="F94" i="16"/>
  <c r="E94" i="16"/>
  <c r="D94" i="16"/>
  <c r="S91" i="16"/>
  <c r="L91" i="16"/>
  <c r="G89" i="16"/>
  <c r="E89" i="16"/>
  <c r="D89" i="16"/>
  <c r="G88" i="16"/>
  <c r="E88" i="16"/>
  <c r="D88" i="16"/>
  <c r="N87" i="16"/>
  <c r="N88" i="16" s="1"/>
  <c r="N89" i="16" s="1"/>
  <c r="T86" i="16"/>
  <c r="T87" i="16" s="1"/>
  <c r="T88" i="16" s="1"/>
  <c r="T89" i="16" s="1"/>
  <c r="S86" i="16"/>
  <c r="S87" i="16" s="1"/>
  <c r="S88" i="16" s="1"/>
  <c r="S89" i="16" s="1"/>
  <c r="N86" i="16"/>
  <c r="L86" i="16"/>
  <c r="L87" i="16" s="1"/>
  <c r="L88" i="16" s="1"/>
  <c r="L89" i="16" s="1"/>
  <c r="D87" i="16"/>
  <c r="A13" i="16"/>
  <c r="E121" i="15"/>
  <c r="E122" i="15" s="1"/>
  <c r="E123" i="15" s="1"/>
  <c r="E124" i="15" s="1"/>
  <c r="E125" i="15" s="1"/>
  <c r="D121" i="15"/>
  <c r="D122" i="15" s="1"/>
  <c r="D123" i="15" s="1"/>
  <c r="D124" i="15" s="1"/>
  <c r="D125" i="15" s="1"/>
  <c r="G116" i="15"/>
  <c r="F116" i="15"/>
  <c r="E116" i="15"/>
  <c r="D116" i="15"/>
  <c r="G115" i="15"/>
  <c r="F115" i="15"/>
  <c r="E115" i="15"/>
  <c r="D115" i="15"/>
  <c r="G114" i="15"/>
  <c r="F114" i="15"/>
  <c r="E114" i="15"/>
  <c r="D114" i="15"/>
  <c r="G113" i="15"/>
  <c r="F113" i="15"/>
  <c r="E113" i="15"/>
  <c r="D113" i="15"/>
  <c r="G112" i="15"/>
  <c r="F112" i="15"/>
  <c r="E112" i="15"/>
  <c r="D112" i="15"/>
  <c r="G111" i="15"/>
  <c r="F111" i="15"/>
  <c r="E111" i="15"/>
  <c r="D111" i="15"/>
  <c r="G110" i="15"/>
  <c r="F110" i="15"/>
  <c r="E110" i="15"/>
  <c r="D110" i="15"/>
  <c r="G109" i="15"/>
  <c r="F109" i="15"/>
  <c r="E109" i="15"/>
  <c r="D109" i="15"/>
  <c r="G108" i="15"/>
  <c r="F108" i="15"/>
  <c r="E108" i="15"/>
  <c r="D108" i="15"/>
  <c r="G107" i="15"/>
  <c r="F107" i="15"/>
  <c r="E107" i="15"/>
  <c r="D107" i="15"/>
  <c r="G106" i="15"/>
  <c r="F106" i="15"/>
  <c r="E106" i="15"/>
  <c r="D106" i="15"/>
  <c r="G105" i="15"/>
  <c r="F105" i="15"/>
  <c r="E105" i="15"/>
  <c r="D105" i="15"/>
  <c r="G104" i="15"/>
  <c r="F104" i="15"/>
  <c r="E104" i="15"/>
  <c r="D104" i="15"/>
  <c r="G103" i="15"/>
  <c r="F103" i="15"/>
  <c r="E103" i="15"/>
  <c r="D103" i="15"/>
  <c r="G102" i="15"/>
  <c r="F102" i="15"/>
  <c r="E102" i="15"/>
  <c r="D102" i="15"/>
  <c r="G101" i="15"/>
  <c r="F101" i="15"/>
  <c r="E101" i="15"/>
  <c r="D101" i="15"/>
  <c r="G100" i="15"/>
  <c r="F100" i="15"/>
  <c r="E100" i="15"/>
  <c r="D100" i="15"/>
  <c r="G99" i="15"/>
  <c r="F99" i="15"/>
  <c r="E99" i="15"/>
  <c r="D99" i="15"/>
  <c r="G98" i="15"/>
  <c r="F98" i="15"/>
  <c r="E98" i="15"/>
  <c r="D98" i="15"/>
  <c r="G97" i="15"/>
  <c r="F97" i="15"/>
  <c r="E97" i="15"/>
  <c r="D97" i="15"/>
  <c r="G96" i="15"/>
  <c r="F96" i="15"/>
  <c r="E96" i="15"/>
  <c r="D96" i="15"/>
  <c r="G95" i="15"/>
  <c r="F95" i="15"/>
  <c r="E95" i="15"/>
  <c r="D122" i="6" s="1"/>
  <c r="D95" i="15"/>
  <c r="G94" i="15"/>
  <c r="F94" i="15"/>
  <c r="E94" i="15"/>
  <c r="D94" i="15"/>
  <c r="G89" i="15"/>
  <c r="E89" i="15"/>
  <c r="D89" i="15"/>
  <c r="G88" i="15"/>
  <c r="E88" i="15"/>
  <c r="D88" i="15"/>
  <c r="N87" i="15"/>
  <c r="D87" i="15"/>
  <c r="L86" i="15"/>
  <c r="L87" i="15" s="1"/>
  <c r="L88" i="15" s="1"/>
  <c r="L89" i="15" s="1"/>
  <c r="AB70" i="10"/>
  <c r="AC70" i="10"/>
  <c r="AB71" i="10"/>
  <c r="AC71" i="10"/>
  <c r="AB69" i="10"/>
  <c r="AB68" i="10"/>
  <c r="A130" i="10"/>
  <c r="D130" i="10"/>
  <c r="E130" i="10"/>
  <c r="F130" i="10"/>
  <c r="G130" i="10"/>
  <c r="AC69" i="10"/>
  <c r="AC68" i="10"/>
  <c r="AC39" i="4" l="1"/>
  <c r="AD35" i="17"/>
  <c r="AC36" i="4"/>
  <c r="AD32" i="17"/>
  <c r="AC34" i="4"/>
  <c r="AD30" i="17"/>
  <c r="AC40" i="4"/>
  <c r="AD36" i="17"/>
  <c r="AC37" i="4"/>
  <c r="AD33" i="17"/>
  <c r="AC48" i="4"/>
  <c r="AC103" i="4" s="1"/>
  <c r="AD43" i="17"/>
  <c r="AC35" i="4"/>
  <c r="AC99" i="4" s="1"/>
  <c r="AD31" i="17"/>
  <c r="AC32" i="4"/>
  <c r="AC98" i="4" s="1"/>
  <c r="AD28" i="17"/>
  <c r="AB108" i="4"/>
  <c r="M87" i="15"/>
  <c r="M88" i="15" s="1"/>
  <c r="M89" i="15" s="1"/>
  <c r="AB24" i="4"/>
  <c r="AB97" i="4" s="1"/>
  <c r="L103" i="15"/>
  <c r="AC55" i="17" s="1"/>
  <c r="AC116" i="17" s="1"/>
  <c r="L96" i="15"/>
  <c r="L102" i="15"/>
  <c r="L95" i="15"/>
  <c r="AB25" i="4" s="1"/>
  <c r="L99" i="15"/>
  <c r="L101" i="15"/>
  <c r="L97" i="15"/>
  <c r="L104" i="15"/>
  <c r="AB6" i="4" s="1"/>
  <c r="L100" i="15"/>
  <c r="L98" i="15"/>
  <c r="B96" i="16"/>
  <c r="B100" i="16"/>
  <c r="B104" i="16"/>
  <c r="M86" i="16"/>
  <c r="M87" i="16" s="1"/>
  <c r="M88" i="16" s="1"/>
  <c r="M89" i="16" s="1"/>
  <c r="E117" i="16"/>
  <c r="E118" i="16" s="1"/>
  <c r="B107" i="16"/>
  <c r="B108" i="16"/>
  <c r="B111" i="16"/>
  <c r="B112" i="16"/>
  <c r="B115" i="16"/>
  <c r="F117" i="16"/>
  <c r="G117" i="16"/>
  <c r="D90" i="16"/>
  <c r="B98" i="16"/>
  <c r="B102" i="16"/>
  <c r="E126" i="16"/>
  <c r="E91" i="16"/>
  <c r="B95" i="16"/>
  <c r="B97" i="16"/>
  <c r="B99" i="16"/>
  <c r="B101" i="16"/>
  <c r="B103" i="16"/>
  <c r="B105" i="16"/>
  <c r="B109" i="16"/>
  <c r="B113" i="16"/>
  <c r="E90" i="16"/>
  <c r="D123" i="16"/>
  <c r="D124" i="16" s="1"/>
  <c r="D125" i="16" s="1"/>
  <c r="D91" i="16"/>
  <c r="B94" i="16"/>
  <c r="B116" i="16"/>
  <c r="B106" i="16"/>
  <c r="B110" i="16"/>
  <c r="B114" i="16"/>
  <c r="N88" i="15"/>
  <c r="N89" i="15" s="1"/>
  <c r="D91" i="15"/>
  <c r="B100" i="15"/>
  <c r="B107" i="15"/>
  <c r="B108" i="15"/>
  <c r="B115" i="15"/>
  <c r="B116" i="15"/>
  <c r="B96" i="15"/>
  <c r="F117" i="15"/>
  <c r="B97" i="15"/>
  <c r="E117" i="15"/>
  <c r="E118" i="15" s="1"/>
  <c r="B95" i="15"/>
  <c r="B99" i="15"/>
  <c r="B105" i="15"/>
  <c r="B106" i="15"/>
  <c r="B113" i="15"/>
  <c r="B114" i="15"/>
  <c r="B103" i="15"/>
  <c r="B104" i="15"/>
  <c r="B111" i="15"/>
  <c r="D90" i="15"/>
  <c r="B94" i="15"/>
  <c r="G117" i="15"/>
  <c r="B98" i="15"/>
  <c r="B101" i="15"/>
  <c r="B102" i="15"/>
  <c r="B109" i="15"/>
  <c r="B110" i="15"/>
  <c r="B112" i="15"/>
  <c r="D126" i="15"/>
  <c r="E126" i="15"/>
  <c r="E90" i="15"/>
  <c r="E91" i="15"/>
  <c r="AB67" i="10"/>
  <c r="AC67" i="10"/>
  <c r="AA42" i="4"/>
  <c r="AA44" i="4"/>
  <c r="AA45" i="4"/>
  <c r="AA46" i="4"/>
  <c r="AA102" i="4" s="1"/>
  <c r="AA49" i="4"/>
  <c r="AA50" i="4"/>
  <c r="AA51" i="4"/>
  <c r="AA52" i="4"/>
  <c r="AA53" i="4"/>
  <c r="AA104" i="4" s="1"/>
  <c r="AA54" i="4"/>
  <c r="AA105" i="4" s="1"/>
  <c r="AA55" i="4"/>
  <c r="AA56" i="4"/>
  <c r="AA57" i="4"/>
  <c r="AA106" i="4" s="1"/>
  <c r="AA60" i="4"/>
  <c r="AA61" i="4"/>
  <c r="AA65" i="4"/>
  <c r="AA108" i="4" s="1"/>
  <c r="AA66" i="4"/>
  <c r="AA67" i="4"/>
  <c r="AA69" i="4"/>
  <c r="AA109" i="4" s="1"/>
  <c r="AA78" i="4"/>
  <c r="AA112" i="4" s="1"/>
  <c r="AA79" i="4"/>
  <c r="AA10" i="4"/>
  <c r="AA11" i="4"/>
  <c r="AA12" i="4"/>
  <c r="AA13" i="4"/>
  <c r="AA14" i="4"/>
  <c r="AA15" i="4"/>
  <c r="AA16" i="4"/>
  <c r="AA17" i="4"/>
  <c r="AA18" i="4"/>
  <c r="AA19" i="4"/>
  <c r="AA20" i="4"/>
  <c r="AA21" i="4"/>
  <c r="AA22" i="4"/>
  <c r="AA23" i="4"/>
  <c r="AA24" i="4"/>
  <c r="AA97" i="4" s="1"/>
  <c r="AA26" i="4"/>
  <c r="AA27" i="4"/>
  <c r="AA28" i="4"/>
  <c r="AA29" i="4"/>
  <c r="AA30" i="4"/>
  <c r="AA31" i="4"/>
  <c r="AA33" i="4"/>
  <c r="AA34" i="4"/>
  <c r="AA6" i="4"/>
  <c r="D108" i="13"/>
  <c r="E108" i="13"/>
  <c r="F108" i="13"/>
  <c r="G108" i="13"/>
  <c r="G104" i="13"/>
  <c r="G105" i="13"/>
  <c r="G106" i="13"/>
  <c r="G107" i="13"/>
  <c r="F104" i="13"/>
  <c r="F105" i="13"/>
  <c r="F106" i="13"/>
  <c r="E104" i="13"/>
  <c r="E105" i="13"/>
  <c r="E106" i="13"/>
  <c r="D104" i="13"/>
  <c r="D105" i="13"/>
  <c r="AC100" i="4" l="1"/>
  <c r="AC2" i="4"/>
  <c r="AC93" i="4"/>
  <c r="AA101" i="4"/>
  <c r="AC33" i="17"/>
  <c r="AB37" i="4"/>
  <c r="AC30" i="17"/>
  <c r="AB34" i="4"/>
  <c r="AC28" i="17"/>
  <c r="AB32" i="4"/>
  <c r="AB98" i="4" s="1"/>
  <c r="AC35" i="17"/>
  <c r="AC109" i="17" s="1"/>
  <c r="AB39" i="4"/>
  <c r="AB100" i="4" s="1"/>
  <c r="AC31" i="17"/>
  <c r="AB35" i="4"/>
  <c r="AB99" i="4" s="1"/>
  <c r="AB59" i="4"/>
  <c r="AB107" i="4" s="1"/>
  <c r="AC32" i="17"/>
  <c r="AB36" i="4"/>
  <c r="AC43" i="17"/>
  <c r="AC112" i="17" s="1"/>
  <c r="AB48" i="4"/>
  <c r="AB103" i="4" s="1"/>
  <c r="G118" i="16"/>
  <c r="B117" i="16"/>
  <c r="D126" i="16"/>
  <c r="D86" i="16"/>
  <c r="G86" i="16" s="1"/>
  <c r="B117" i="15"/>
  <c r="G118" i="15"/>
  <c r="D86" i="15"/>
  <c r="AA38" i="4"/>
  <c r="H15" i="13"/>
  <c r="H19" i="13"/>
  <c r="H28" i="13"/>
  <c r="H36" i="13"/>
  <c r="H41" i="13"/>
  <c r="A56" i="13"/>
  <c r="A2" i="13"/>
  <c r="A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7" i="13"/>
  <c r="H3" i="9"/>
  <c r="H22" i="9"/>
  <c r="H24" i="9"/>
  <c r="H34" i="9"/>
  <c r="H36" i="9"/>
  <c r="H35" i="9"/>
  <c r="L93" i="9"/>
  <c r="Z37" i="17" s="1"/>
  <c r="G4" i="14"/>
  <c r="AB66" i="10"/>
  <c r="AC66" i="10"/>
  <c r="AB2" i="4" l="1"/>
  <c r="AB93" i="4"/>
  <c r="AC103" i="17"/>
  <c r="N30" i="17"/>
  <c r="L30" i="17"/>
  <c r="G86" i="15"/>
  <c r="N39" i="1"/>
  <c r="D84" i="1" s="1"/>
  <c r="C84" i="1" s="1"/>
  <c r="E121" i="13"/>
  <c r="E122" i="13" s="1"/>
  <c r="E123" i="13" s="1"/>
  <c r="E124" i="13" s="1"/>
  <c r="E125" i="13" s="1"/>
  <c r="D121" i="13"/>
  <c r="D122" i="13" s="1"/>
  <c r="D123" i="13" s="1"/>
  <c r="D124" i="13" s="1"/>
  <c r="D125" i="13" s="1"/>
  <c r="G116" i="13"/>
  <c r="F116" i="13"/>
  <c r="E116" i="13"/>
  <c r="D116" i="13"/>
  <c r="G115" i="13"/>
  <c r="F115" i="13"/>
  <c r="E115" i="13"/>
  <c r="D115" i="13"/>
  <c r="G114" i="13"/>
  <c r="F114" i="13"/>
  <c r="E114" i="13"/>
  <c r="D114" i="13"/>
  <c r="G113" i="13"/>
  <c r="F113" i="13"/>
  <c r="E113" i="13"/>
  <c r="D113" i="13"/>
  <c r="G112" i="13"/>
  <c r="F112" i="13"/>
  <c r="E112" i="13"/>
  <c r="D112" i="13"/>
  <c r="G111" i="13"/>
  <c r="F111" i="13"/>
  <c r="E111" i="13"/>
  <c r="D111" i="13"/>
  <c r="G110" i="13"/>
  <c r="F110" i="13"/>
  <c r="E110" i="13"/>
  <c r="D110" i="13"/>
  <c r="G109" i="13"/>
  <c r="F109" i="13"/>
  <c r="E109" i="13"/>
  <c r="D109" i="13"/>
  <c r="F107" i="13"/>
  <c r="E107" i="13"/>
  <c r="D107" i="13"/>
  <c r="D106" i="13"/>
  <c r="G103" i="13"/>
  <c r="F103" i="13"/>
  <c r="E103" i="13"/>
  <c r="D103" i="13"/>
  <c r="L102" i="13"/>
  <c r="G102" i="13"/>
  <c r="F102" i="13"/>
  <c r="E102" i="13"/>
  <c r="D102" i="13"/>
  <c r="G101" i="13"/>
  <c r="F101" i="13"/>
  <c r="E101" i="13"/>
  <c r="D101" i="13"/>
  <c r="G100" i="13"/>
  <c r="F100" i="13"/>
  <c r="E100" i="13"/>
  <c r="D100" i="13"/>
  <c r="L99" i="13"/>
  <c r="G99" i="13"/>
  <c r="F99" i="13"/>
  <c r="E99" i="13"/>
  <c r="D99" i="13"/>
  <c r="L98" i="13"/>
  <c r="G98" i="13"/>
  <c r="F98" i="13"/>
  <c r="E98" i="13"/>
  <c r="D98" i="13"/>
  <c r="L97" i="13"/>
  <c r="G97" i="13"/>
  <c r="F97" i="13"/>
  <c r="E97" i="13"/>
  <c r="D97" i="13"/>
  <c r="L96" i="13"/>
  <c r="G96" i="13"/>
  <c r="F96" i="13"/>
  <c r="E96" i="13"/>
  <c r="D96" i="13"/>
  <c r="L95" i="13"/>
  <c r="AA25" i="4" s="1"/>
  <c r="G95" i="13"/>
  <c r="F95" i="13"/>
  <c r="E95" i="13"/>
  <c r="D121" i="6" s="1"/>
  <c r="D95" i="13"/>
  <c r="G94" i="13"/>
  <c r="F94" i="13"/>
  <c r="E94" i="13"/>
  <c r="D94" i="13"/>
  <c r="S91" i="13"/>
  <c r="L91" i="13"/>
  <c r="G89" i="13"/>
  <c r="E89" i="13"/>
  <c r="D89" i="13"/>
  <c r="G88" i="13"/>
  <c r="E88" i="13"/>
  <c r="D88" i="13"/>
  <c r="N87" i="13"/>
  <c r="N88" i="13" s="1"/>
  <c r="N89" i="13" s="1"/>
  <c r="D87" i="13"/>
  <c r="T86" i="13"/>
  <c r="T87" i="13" s="1"/>
  <c r="T88" i="13" s="1"/>
  <c r="T89" i="13" s="1"/>
  <c r="S86" i="13"/>
  <c r="S87" i="13" s="1"/>
  <c r="S88" i="13" s="1"/>
  <c r="S89" i="13" s="1"/>
  <c r="N86" i="13"/>
  <c r="M86" i="13"/>
  <c r="L86" i="13"/>
  <c r="L87" i="13" s="1"/>
  <c r="L88" i="13" s="1"/>
  <c r="L89" i="13" s="1"/>
  <c r="E86" i="13"/>
  <c r="L101" i="13"/>
  <c r="L100" i="13"/>
  <c r="Z25" i="4"/>
  <c r="Z26" i="4"/>
  <c r="Z27" i="4"/>
  <c r="Z28" i="4"/>
  <c r="Z29" i="4"/>
  <c r="Z30" i="4"/>
  <c r="Z31" i="4"/>
  <c r="Z33" i="4"/>
  <c r="Z34" i="4"/>
  <c r="Z35" i="4"/>
  <c r="Z38" i="4"/>
  <c r="Z41" i="4"/>
  <c r="Z42" i="4"/>
  <c r="Z44" i="4"/>
  <c r="Z101" i="4" s="1"/>
  <c r="Z45" i="4"/>
  <c r="Z46" i="4"/>
  <c r="Z102" i="4" s="1"/>
  <c r="Z49" i="4"/>
  <c r="Z50" i="4"/>
  <c r="Z51" i="4"/>
  <c r="Z52" i="4"/>
  <c r="Z53" i="4"/>
  <c r="Z104" i="4" s="1"/>
  <c r="Z54" i="4"/>
  <c r="Z105" i="4" s="1"/>
  <c r="Z55" i="4"/>
  <c r="Z56" i="4"/>
  <c r="Z57" i="4"/>
  <c r="Z106" i="4" s="1"/>
  <c r="Z60" i="4"/>
  <c r="Z61" i="4"/>
  <c r="Z65" i="4"/>
  <c r="Z66" i="4"/>
  <c r="Z67" i="4"/>
  <c r="Z69" i="4"/>
  <c r="Z109" i="4" s="1"/>
  <c r="Z78" i="4"/>
  <c r="Z112" i="4" s="1"/>
  <c r="Z79" i="4"/>
  <c r="Z10" i="4"/>
  <c r="Z11" i="4"/>
  <c r="Z12" i="4"/>
  <c r="Z13" i="4"/>
  <c r="Z14" i="4"/>
  <c r="Z15" i="4"/>
  <c r="Z16" i="4"/>
  <c r="Z17" i="4"/>
  <c r="Z18" i="4"/>
  <c r="Z19" i="4"/>
  <c r="Z20" i="4"/>
  <c r="Z21" i="4"/>
  <c r="Z22" i="4"/>
  <c r="Z23" i="4"/>
  <c r="Z24" i="4"/>
  <c r="Z97" i="4" s="1"/>
  <c r="H14" i="12"/>
  <c r="L90" i="12" s="1"/>
  <c r="H22" i="12"/>
  <c r="L92" i="12" s="1"/>
  <c r="H23" i="12"/>
  <c r="H28" i="12"/>
  <c r="H29" i="12"/>
  <c r="L95" i="12" s="1"/>
  <c r="AA55" i="17" s="1"/>
  <c r="AA116" i="17" s="1"/>
  <c r="L88" i="12"/>
  <c r="L89" i="12"/>
  <c r="L91" i="12"/>
  <c r="L87" i="12"/>
  <c r="L83" i="12"/>
  <c r="N79" i="12"/>
  <c r="N80" i="12" s="1"/>
  <c r="N81" i="12" s="1"/>
  <c r="G87" i="12"/>
  <c r="G88" i="12"/>
  <c r="G89" i="12"/>
  <c r="G90" i="12"/>
  <c r="G91" i="12"/>
  <c r="G92" i="12"/>
  <c r="G93" i="12"/>
  <c r="G94" i="12"/>
  <c r="G95" i="12"/>
  <c r="G96" i="12"/>
  <c r="G97" i="12"/>
  <c r="G98" i="12"/>
  <c r="G99" i="12"/>
  <c r="G100" i="12"/>
  <c r="G101" i="12"/>
  <c r="G102" i="12"/>
  <c r="G103" i="12"/>
  <c r="G104" i="12"/>
  <c r="G105" i="12"/>
  <c r="G86" i="12"/>
  <c r="F87" i="12"/>
  <c r="F88" i="12"/>
  <c r="F89" i="12"/>
  <c r="F90" i="12"/>
  <c r="F91" i="12"/>
  <c r="F92" i="12"/>
  <c r="F93" i="12"/>
  <c r="F94" i="12"/>
  <c r="F95" i="12"/>
  <c r="F96" i="12"/>
  <c r="F97" i="12"/>
  <c r="F98" i="12"/>
  <c r="F99" i="12"/>
  <c r="F100" i="12"/>
  <c r="F101" i="12"/>
  <c r="F102" i="12"/>
  <c r="F103" i="12"/>
  <c r="F104" i="12"/>
  <c r="F105" i="12"/>
  <c r="F86" i="12"/>
  <c r="D87" i="12"/>
  <c r="D88" i="12"/>
  <c r="D89" i="12"/>
  <c r="D90" i="12"/>
  <c r="D91" i="12"/>
  <c r="D92" i="12"/>
  <c r="D93" i="12"/>
  <c r="D94" i="12"/>
  <c r="D95" i="12"/>
  <c r="D96" i="12"/>
  <c r="D97" i="12"/>
  <c r="D98" i="12"/>
  <c r="D99" i="12"/>
  <c r="D100" i="12"/>
  <c r="D101" i="12"/>
  <c r="D102" i="12"/>
  <c r="D103" i="12"/>
  <c r="D104" i="12"/>
  <c r="D105" i="12"/>
  <c r="D86" i="12"/>
  <c r="E87" i="12"/>
  <c r="D120" i="6" s="1"/>
  <c r="E88" i="12"/>
  <c r="E89" i="12"/>
  <c r="E90" i="12"/>
  <c r="E91" i="12"/>
  <c r="E92" i="12"/>
  <c r="E93" i="12"/>
  <c r="E94" i="12"/>
  <c r="E95" i="12"/>
  <c r="E96" i="12"/>
  <c r="E97" i="12"/>
  <c r="E98" i="12"/>
  <c r="E99" i="12"/>
  <c r="E100" i="12"/>
  <c r="E101" i="12"/>
  <c r="E102" i="12"/>
  <c r="E103" i="12"/>
  <c r="E104" i="12"/>
  <c r="E105" i="12"/>
  <c r="E86" i="12"/>
  <c r="G81" i="12"/>
  <c r="G80" i="12"/>
  <c r="E81" i="12"/>
  <c r="E80" i="12"/>
  <c r="D81" i="12"/>
  <c r="D80" i="12"/>
  <c r="D79" i="12"/>
  <c r="E78" i="12"/>
  <c r="R11" i="6" s="1"/>
  <c r="A30" i="12"/>
  <c r="A31" i="12"/>
  <c r="A32" i="12"/>
  <c r="A33" i="12"/>
  <c r="A34" i="12"/>
  <c r="A28" i="12"/>
  <c r="A29" i="12"/>
  <c r="A25" i="12"/>
  <c r="A26" i="12"/>
  <c r="A27" i="12"/>
  <c r="A16" i="12"/>
  <c r="A17" i="12"/>
  <c r="A18" i="12"/>
  <c r="A19" i="12"/>
  <c r="A20" i="12"/>
  <c r="A21" i="12"/>
  <c r="A22" i="12"/>
  <c r="A23" i="12"/>
  <c r="A24" i="12"/>
  <c r="A15" i="12"/>
  <c r="A3" i="12"/>
  <c r="A4" i="12"/>
  <c r="A5" i="12"/>
  <c r="A6" i="12"/>
  <c r="A7" i="12"/>
  <c r="A8" i="12"/>
  <c r="A9" i="12"/>
  <c r="A10" i="12"/>
  <c r="A11" i="12"/>
  <c r="A12" i="12"/>
  <c r="A13" i="12"/>
  <c r="A14" i="12"/>
  <c r="A2" i="12"/>
  <c r="M78" i="12"/>
  <c r="E110" i="12"/>
  <c r="E111" i="12" s="1"/>
  <c r="E112" i="12" s="1"/>
  <c r="E113" i="12" s="1"/>
  <c r="E114" i="12" s="1"/>
  <c r="D110" i="12"/>
  <c r="D111" i="12" s="1"/>
  <c r="D112" i="12" s="1"/>
  <c r="D113" i="12" s="1"/>
  <c r="D114" i="12" s="1"/>
  <c r="S83" i="12"/>
  <c r="T78" i="12"/>
  <c r="T79" i="12" s="1"/>
  <c r="T80" i="12" s="1"/>
  <c r="T81" i="12" s="1"/>
  <c r="S78" i="12"/>
  <c r="S79" i="12" s="1"/>
  <c r="S80" i="12" s="1"/>
  <c r="S81" i="12" s="1"/>
  <c r="N78" i="12"/>
  <c r="L78" i="12"/>
  <c r="L79" i="12" s="1"/>
  <c r="L80" i="12" s="1"/>
  <c r="L81" i="12" s="1"/>
  <c r="Y41" i="4"/>
  <c r="Y42" i="4"/>
  <c r="Y44" i="4"/>
  <c r="Y45" i="4"/>
  <c r="Y49" i="4"/>
  <c r="Y51" i="4"/>
  <c r="Y52" i="4"/>
  <c r="Y53" i="4"/>
  <c r="Y104" i="4" s="1"/>
  <c r="Y54" i="4"/>
  <c r="Y55" i="4"/>
  <c r="Y56" i="4"/>
  <c r="Y57" i="4"/>
  <c r="Y106" i="4" s="1"/>
  <c r="Y59" i="4"/>
  <c r="Y60" i="4"/>
  <c r="Y61" i="4"/>
  <c r="Y65" i="4"/>
  <c r="Y108" i="4" s="1"/>
  <c r="Y66" i="4"/>
  <c r="Y67" i="4"/>
  <c r="Y69" i="4"/>
  <c r="Y109" i="4" s="1"/>
  <c r="Y78" i="4"/>
  <c r="Y112" i="4" s="1"/>
  <c r="Y79" i="4"/>
  <c r="Y10" i="4"/>
  <c r="Y11" i="4"/>
  <c r="Y12" i="4"/>
  <c r="Y13" i="4"/>
  <c r="Y14" i="4"/>
  <c r="Y15" i="4"/>
  <c r="Y16" i="4"/>
  <c r="Y17" i="4"/>
  <c r="Y18" i="4"/>
  <c r="Y19" i="4"/>
  <c r="Y20" i="4"/>
  <c r="Y21" i="4"/>
  <c r="Y22" i="4"/>
  <c r="Y23" i="4"/>
  <c r="Y24" i="4"/>
  <c r="Y97" i="4" s="1"/>
  <c r="Y25" i="4"/>
  <c r="Y26" i="4"/>
  <c r="Y27" i="4"/>
  <c r="Y28" i="4"/>
  <c r="Y29" i="4"/>
  <c r="Y30" i="4"/>
  <c r="Y31" i="4"/>
  <c r="Y32" i="4"/>
  <c r="Y33" i="4"/>
  <c r="Y34" i="4"/>
  <c r="Y35" i="4"/>
  <c r="Y38" i="4"/>
  <c r="X41" i="4"/>
  <c r="X42" i="4"/>
  <c r="X44" i="4"/>
  <c r="X45" i="4"/>
  <c r="X49" i="4"/>
  <c r="X51" i="4"/>
  <c r="X52" i="4"/>
  <c r="X53" i="4"/>
  <c r="X104" i="4" s="1"/>
  <c r="X55" i="4"/>
  <c r="X56" i="4"/>
  <c r="X57" i="4"/>
  <c r="X106" i="4" s="1"/>
  <c r="X59" i="4"/>
  <c r="X61" i="4"/>
  <c r="X65" i="4"/>
  <c r="X66" i="4"/>
  <c r="X67" i="4"/>
  <c r="X69" i="4"/>
  <c r="X109" i="4" s="1"/>
  <c r="X78" i="4"/>
  <c r="X79" i="4"/>
  <c r="X10" i="4"/>
  <c r="X11" i="4"/>
  <c r="X12" i="4"/>
  <c r="X13" i="4"/>
  <c r="X14" i="4"/>
  <c r="X15" i="4"/>
  <c r="X16" i="4"/>
  <c r="X17" i="4"/>
  <c r="X18" i="4"/>
  <c r="X19" i="4"/>
  <c r="X20" i="4"/>
  <c r="X21" i="4"/>
  <c r="X22" i="4"/>
  <c r="X23" i="4"/>
  <c r="X25" i="4"/>
  <c r="X26" i="4"/>
  <c r="X27" i="4"/>
  <c r="X28" i="4"/>
  <c r="X29" i="4"/>
  <c r="X30" i="4"/>
  <c r="X31" i="4"/>
  <c r="X33" i="4"/>
  <c r="X34" i="4"/>
  <c r="X35" i="4"/>
  <c r="X38" i="4"/>
  <c r="X39" i="4"/>
  <c r="W41" i="4"/>
  <c r="W42" i="4"/>
  <c r="W44" i="4"/>
  <c r="W101" i="4" s="1"/>
  <c r="W45" i="4"/>
  <c r="W52" i="4"/>
  <c r="W53" i="4"/>
  <c r="W104" i="4" s="1"/>
  <c r="W56" i="4"/>
  <c r="W57" i="4"/>
  <c r="W106" i="4" s="1"/>
  <c r="W59" i="4"/>
  <c r="W66" i="4"/>
  <c r="W67" i="4"/>
  <c r="W69" i="4"/>
  <c r="W109" i="4" s="1"/>
  <c r="W78" i="4"/>
  <c r="W112" i="4" s="1"/>
  <c r="W79" i="4"/>
  <c r="W10" i="4"/>
  <c r="W11" i="4"/>
  <c r="W12" i="4"/>
  <c r="W13" i="4"/>
  <c r="W14" i="4"/>
  <c r="W15" i="4"/>
  <c r="W16" i="4"/>
  <c r="W17" i="4"/>
  <c r="W18" i="4"/>
  <c r="W19" i="4"/>
  <c r="W20" i="4"/>
  <c r="W21" i="4"/>
  <c r="W22" i="4"/>
  <c r="W23" i="4"/>
  <c r="W24" i="4"/>
  <c r="W97" i="4" s="1"/>
  <c r="W25" i="4"/>
  <c r="W26" i="4"/>
  <c r="W27" i="4"/>
  <c r="W28" i="4"/>
  <c r="W29" i="4"/>
  <c r="W30" i="4"/>
  <c r="W31" i="4"/>
  <c r="W98" i="4" s="1"/>
  <c r="W32" i="4"/>
  <c r="W33" i="4"/>
  <c r="W34" i="4"/>
  <c r="W35" i="4"/>
  <c r="W38" i="4"/>
  <c r="V41" i="4"/>
  <c r="V42" i="4"/>
  <c r="V45" i="4"/>
  <c r="V48" i="4"/>
  <c r="V49" i="4"/>
  <c r="V52" i="4"/>
  <c r="V53" i="4"/>
  <c r="V104" i="4" s="1"/>
  <c r="V56" i="4"/>
  <c r="V57" i="4"/>
  <c r="V106" i="4" s="1"/>
  <c r="V59" i="4"/>
  <c r="V65" i="4"/>
  <c r="V66" i="4"/>
  <c r="V67" i="4"/>
  <c r="V69" i="4"/>
  <c r="V109" i="4" s="1"/>
  <c r="V79" i="4"/>
  <c r="V112" i="4" s="1"/>
  <c r="V10" i="4"/>
  <c r="V11" i="4"/>
  <c r="V12" i="4"/>
  <c r="V13" i="4"/>
  <c r="V14" i="4"/>
  <c r="V15" i="4"/>
  <c r="V16" i="4"/>
  <c r="V17" i="4"/>
  <c r="V18" i="4"/>
  <c r="V19" i="4"/>
  <c r="V20" i="4"/>
  <c r="V21" i="4"/>
  <c r="V22" i="4"/>
  <c r="V23" i="4"/>
  <c r="V24" i="4"/>
  <c r="V97" i="4" s="1"/>
  <c r="V25" i="4"/>
  <c r="V26" i="4"/>
  <c r="V27" i="4"/>
  <c r="V28" i="4"/>
  <c r="V29" i="4"/>
  <c r="V30" i="4"/>
  <c r="V31" i="4"/>
  <c r="V98" i="4" s="1"/>
  <c r="V32" i="4"/>
  <c r="V33" i="4"/>
  <c r="V34" i="4"/>
  <c r="V35" i="4"/>
  <c r="V36" i="4"/>
  <c r="V38" i="4"/>
  <c r="U41" i="4"/>
  <c r="U42" i="4"/>
  <c r="U45" i="4"/>
  <c r="U48" i="4"/>
  <c r="U49" i="4"/>
  <c r="U52" i="4"/>
  <c r="U54" i="4"/>
  <c r="U56" i="4"/>
  <c r="U57" i="4"/>
  <c r="U106" i="4" s="1"/>
  <c r="U59" i="4"/>
  <c r="U69" i="4"/>
  <c r="U109" i="4" s="1"/>
  <c r="U78" i="4"/>
  <c r="U79" i="4"/>
  <c r="U10" i="4"/>
  <c r="U11" i="4"/>
  <c r="U12" i="4"/>
  <c r="U13" i="4"/>
  <c r="U14" i="4"/>
  <c r="U15" i="4"/>
  <c r="U16" i="4"/>
  <c r="U17" i="4"/>
  <c r="U18" i="4"/>
  <c r="U19" i="4"/>
  <c r="U20" i="4"/>
  <c r="U21" i="4"/>
  <c r="U22" i="4"/>
  <c r="U23" i="4"/>
  <c r="U24" i="4"/>
  <c r="U97" i="4" s="1"/>
  <c r="U25" i="4"/>
  <c r="U26" i="4"/>
  <c r="U27" i="4"/>
  <c r="U28" i="4"/>
  <c r="U29" i="4"/>
  <c r="U30" i="4"/>
  <c r="U31" i="4"/>
  <c r="U98" i="4" s="1"/>
  <c r="U32" i="4"/>
  <c r="U33" i="4"/>
  <c r="U34" i="4"/>
  <c r="U35" i="4"/>
  <c r="U36" i="4"/>
  <c r="U37" i="4"/>
  <c r="U38" i="4"/>
  <c r="U39" i="4"/>
  <c r="T79" i="4"/>
  <c r="T112" i="4" s="1"/>
  <c r="T10" i="4"/>
  <c r="T11" i="4"/>
  <c r="T12" i="4"/>
  <c r="T13" i="4"/>
  <c r="T14" i="4"/>
  <c r="T15" i="4"/>
  <c r="T16" i="4"/>
  <c r="T17" i="4"/>
  <c r="T18" i="4"/>
  <c r="T19" i="4"/>
  <c r="T20" i="4"/>
  <c r="T21" i="4"/>
  <c r="T22" i="4"/>
  <c r="T23" i="4"/>
  <c r="T24" i="4"/>
  <c r="T97" i="4" s="1"/>
  <c r="T25" i="4"/>
  <c r="T26" i="4"/>
  <c r="T27" i="4"/>
  <c r="T28" i="4"/>
  <c r="T29" i="4"/>
  <c r="T30" i="4"/>
  <c r="T31" i="4"/>
  <c r="T32" i="4"/>
  <c r="T33" i="4"/>
  <c r="T34" i="4"/>
  <c r="T35" i="4"/>
  <c r="T36" i="4"/>
  <c r="T37" i="4"/>
  <c r="T38" i="4"/>
  <c r="T41" i="4"/>
  <c r="T42" i="4"/>
  <c r="T45" i="4"/>
  <c r="T49" i="4"/>
  <c r="T50" i="4"/>
  <c r="T52" i="4"/>
  <c r="T56" i="4"/>
  <c r="T59" i="4"/>
  <c r="T39" i="4"/>
  <c r="D40" i="4"/>
  <c r="D41" i="4"/>
  <c r="D42" i="4"/>
  <c r="D44" i="4"/>
  <c r="D45" i="4"/>
  <c r="D46" i="4"/>
  <c r="D48" i="4"/>
  <c r="D49" i="4"/>
  <c r="D50" i="4"/>
  <c r="D51" i="4"/>
  <c r="D52" i="4"/>
  <c r="D53" i="4"/>
  <c r="D54" i="4"/>
  <c r="D55" i="4"/>
  <c r="D56" i="4"/>
  <c r="D57" i="4"/>
  <c r="D59" i="4"/>
  <c r="D60" i="4"/>
  <c r="D61" i="4"/>
  <c r="D65" i="4"/>
  <c r="D66" i="4"/>
  <c r="D67" i="4"/>
  <c r="D69" i="4"/>
  <c r="D78" i="4"/>
  <c r="D7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AB65" i="10"/>
  <c r="AC65" i="10"/>
  <c r="AB64" i="10"/>
  <c r="AC64" i="10"/>
  <c r="AC63" i="10"/>
  <c r="AB63" i="10"/>
  <c r="A141" i="10"/>
  <c r="D141" i="10"/>
  <c r="E141" i="10"/>
  <c r="F141" i="10"/>
  <c r="G141" i="10"/>
  <c r="AC3" i="10"/>
  <c r="AC4" i="10"/>
  <c r="AC5" i="10"/>
  <c r="AC6" i="10"/>
  <c r="AC7" i="10"/>
  <c r="AC8" i="10"/>
  <c r="AC9" i="10"/>
  <c r="AC10" i="10"/>
  <c r="AC11" i="10"/>
  <c r="AC12" i="10"/>
  <c r="AC13" i="10"/>
  <c r="AC14" i="10"/>
  <c r="AC15" i="10"/>
  <c r="AC16" i="10"/>
  <c r="AC17" i="10"/>
  <c r="AC18" i="10"/>
  <c r="AC19" i="10"/>
  <c r="AC20" i="10"/>
  <c r="AC21" i="10"/>
  <c r="AC22" i="10"/>
  <c r="AC23" i="10"/>
  <c r="AC24" i="10"/>
  <c r="AC25" i="10"/>
  <c r="AC26" i="10"/>
  <c r="AC27" i="10"/>
  <c r="AC28" i="10"/>
  <c r="AC29"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2" i="10"/>
  <c r="AB62" i="10"/>
  <c r="D65" i="1"/>
  <c r="D64" i="1"/>
  <c r="D63" i="1"/>
  <c r="D62" i="1"/>
  <c r="D61" i="1"/>
  <c r="D60" i="1"/>
  <c r="C65" i="1"/>
  <c r="C64" i="1"/>
  <c r="C63" i="1"/>
  <c r="C62" i="1"/>
  <c r="C61" i="1"/>
  <c r="C60" i="1"/>
  <c r="T98" i="4" l="1"/>
  <c r="X101" i="4"/>
  <c r="Y101" i="4"/>
  <c r="Z108" i="4"/>
  <c r="Y98" i="4"/>
  <c r="X112" i="4"/>
  <c r="V108" i="4"/>
  <c r="X108" i="4"/>
  <c r="U112" i="4"/>
  <c r="AE112" i="4" s="1"/>
  <c r="Y107" i="4"/>
  <c r="Y105" i="4"/>
  <c r="U99" i="4"/>
  <c r="T99" i="4"/>
  <c r="L94" i="12"/>
  <c r="Z48" i="4" s="1"/>
  <c r="Z103" i="4" s="1"/>
  <c r="M87" i="13"/>
  <c r="M88" i="13" s="1"/>
  <c r="M89" i="13" s="1"/>
  <c r="AB37" i="17"/>
  <c r="AA41" i="4"/>
  <c r="AA36" i="4"/>
  <c r="AB32" i="17"/>
  <c r="AA59" i="4"/>
  <c r="AA107" i="4" s="1"/>
  <c r="AA40" i="4"/>
  <c r="AB36" i="17"/>
  <c r="AA37" i="4"/>
  <c r="AB33" i="17"/>
  <c r="AA39" i="4"/>
  <c r="AA100" i="4" s="1"/>
  <c r="AB35" i="17"/>
  <c r="AA35" i="4"/>
  <c r="AB31" i="17"/>
  <c r="AA32" i="4"/>
  <c r="AA98" i="4" s="1"/>
  <c r="AB28" i="17"/>
  <c r="AA48" i="4"/>
  <c r="AA103" i="4" s="1"/>
  <c r="AB43" i="17"/>
  <c r="AB112" i="17" s="1"/>
  <c r="Z32" i="4"/>
  <c r="AA28" i="17"/>
  <c r="Z37" i="4"/>
  <c r="AA33" i="17"/>
  <c r="Z39" i="4"/>
  <c r="Z100" i="4" s="1"/>
  <c r="AA35" i="17"/>
  <c r="AA109" i="17" s="1"/>
  <c r="Z59" i="4"/>
  <c r="Z107" i="4" s="1"/>
  <c r="Z40" i="4"/>
  <c r="AA36" i="17"/>
  <c r="Z36" i="4"/>
  <c r="Z99" i="4" s="1"/>
  <c r="AA32" i="17"/>
  <c r="M79" i="12"/>
  <c r="R3" i="6"/>
  <c r="B106" i="13"/>
  <c r="B108" i="13"/>
  <c r="B105" i="13"/>
  <c r="B104" i="13"/>
  <c r="B95" i="13"/>
  <c r="D90" i="13"/>
  <c r="B116" i="13"/>
  <c r="D91" i="13"/>
  <c r="B112" i="13"/>
  <c r="B107" i="13"/>
  <c r="B109" i="13"/>
  <c r="B110" i="13"/>
  <c r="B97" i="13"/>
  <c r="B103" i="13"/>
  <c r="B99" i="13"/>
  <c r="B113" i="13"/>
  <c r="B114" i="13"/>
  <c r="B101" i="13"/>
  <c r="E117" i="13"/>
  <c r="E118" i="13" s="1"/>
  <c r="F117" i="13"/>
  <c r="B94" i="13"/>
  <c r="G117" i="13"/>
  <c r="D126" i="13"/>
  <c r="E126" i="13"/>
  <c r="E90" i="13"/>
  <c r="B96" i="13"/>
  <c r="B98" i="13"/>
  <c r="B100" i="13"/>
  <c r="B102" i="13"/>
  <c r="B111" i="13"/>
  <c r="B115" i="13"/>
  <c r="E91" i="13"/>
  <c r="F106" i="12"/>
  <c r="E106" i="12"/>
  <c r="G106" i="12"/>
  <c r="D115" i="12"/>
  <c r="E115" i="12"/>
  <c r="D82" i="12"/>
  <c r="E82" i="12"/>
  <c r="H140" i="10"/>
  <c r="C86" i="1"/>
  <c r="C87" i="1"/>
  <c r="C88" i="1"/>
  <c r="C89" i="1"/>
  <c r="C85" i="1"/>
  <c r="Z93" i="4" l="1"/>
  <c r="Z98" i="4"/>
  <c r="AA43" i="17"/>
  <c r="AA112" i="17" s="1"/>
  <c r="AA93" i="4"/>
  <c r="AA2" i="4"/>
  <c r="AA99" i="4"/>
  <c r="AB109" i="17"/>
  <c r="Z2" i="4"/>
  <c r="D86" i="13"/>
  <c r="G86" i="13" s="1"/>
  <c r="L37" i="17"/>
  <c r="N37" i="17"/>
  <c r="AB103" i="17"/>
  <c r="L31" i="17"/>
  <c r="N31" i="17"/>
  <c r="N55" i="17"/>
  <c r="L55" i="17"/>
  <c r="M80" i="12"/>
  <c r="R4" i="6"/>
  <c r="G118" i="13"/>
  <c r="B117" i="13"/>
  <c r="H61" i="10"/>
  <c r="AB61" i="10"/>
  <c r="AA103" i="17" l="1"/>
  <c r="AA2" i="17"/>
  <c r="M81" i="12"/>
  <c r="D78" i="12" s="1"/>
  <c r="R5" i="6"/>
  <c r="R10" i="6" s="1"/>
  <c r="A47" i="7"/>
  <c r="L106" i="7" s="1"/>
  <c r="Q73" i="1" s="1"/>
  <c r="A30" i="7"/>
  <c r="L105" i="7" s="1"/>
  <c r="P73" i="1" s="1"/>
  <c r="A21" i="7"/>
  <c r="L104" i="7" s="1"/>
  <c r="O73" i="1" s="1"/>
  <c r="A8" i="7"/>
  <c r="L103" i="7" s="1"/>
  <c r="N73" i="1" s="1"/>
  <c r="S64" i="6"/>
  <c r="AB2" i="10"/>
  <c r="AB3" i="10"/>
  <c r="AB4" i="10"/>
  <c r="AB5" i="10"/>
  <c r="AB6" i="10"/>
  <c r="AB7" i="10"/>
  <c r="AB8" i="10"/>
  <c r="AB9" i="10"/>
  <c r="AB10" i="10"/>
  <c r="AB11" i="10"/>
  <c r="AB12" i="10"/>
  <c r="AB13" i="10"/>
  <c r="AB14" i="10"/>
  <c r="AB15" i="10"/>
  <c r="AB16" i="10"/>
  <c r="AB17" i="10"/>
  <c r="AB18" i="10"/>
  <c r="AB19" i="10"/>
  <c r="AB20" i="10"/>
  <c r="AB21" i="10"/>
  <c r="AB22" i="10"/>
  <c r="AB23" i="10"/>
  <c r="AB24" i="10"/>
  <c r="AB25" i="10"/>
  <c r="AB26" i="10"/>
  <c r="AB27" i="10"/>
  <c r="AB28" i="10"/>
  <c r="AB29" i="10"/>
  <c r="AB30" i="10"/>
  <c r="AB31" i="10"/>
  <c r="AB32" i="10"/>
  <c r="AB33" i="10"/>
  <c r="AB34" i="10"/>
  <c r="AB35" i="10"/>
  <c r="AB36" i="10"/>
  <c r="AB37" i="10"/>
  <c r="AB38" i="10"/>
  <c r="AB39" i="10"/>
  <c r="AB40" i="10"/>
  <c r="AB41" i="10"/>
  <c r="AB42" i="10"/>
  <c r="AB43" i="10"/>
  <c r="AB44" i="10"/>
  <c r="AB45" i="10"/>
  <c r="AB46" i="10"/>
  <c r="AB47" i="10"/>
  <c r="AB48" i="10"/>
  <c r="AB49" i="10"/>
  <c r="AB50" i="10"/>
  <c r="AB51" i="10"/>
  <c r="AB52" i="10"/>
  <c r="AB53" i="10"/>
  <c r="AB54" i="10"/>
  <c r="AB55" i="10"/>
  <c r="AB56" i="10"/>
  <c r="AB57" i="10"/>
  <c r="AB58" i="10"/>
  <c r="AB59" i="10"/>
  <c r="AB60" i="10"/>
  <c r="A112" i="10"/>
  <c r="A113" i="10"/>
  <c r="A114" i="10"/>
  <c r="A115" i="10"/>
  <c r="A116" i="10"/>
  <c r="A117" i="10"/>
  <c r="A118" i="10"/>
  <c r="A119" i="10"/>
  <c r="A120" i="10"/>
  <c r="A121" i="10"/>
  <c r="A122" i="10"/>
  <c r="A123" i="10"/>
  <c r="A124" i="10"/>
  <c r="A125" i="10"/>
  <c r="A126" i="10"/>
  <c r="A127" i="10"/>
  <c r="A128" i="10"/>
  <c r="A129" i="10"/>
  <c r="A131" i="10"/>
  <c r="A132" i="10"/>
  <c r="A138" i="10"/>
  <c r="A139" i="10"/>
  <c r="A140" i="10"/>
  <c r="A142" i="10"/>
  <c r="A111" i="10"/>
  <c r="H60" i="10"/>
  <c r="D59" i="10"/>
  <c r="D58" i="10"/>
  <c r="H57" i="10"/>
  <c r="H56" i="10"/>
  <c r="H50" i="10"/>
  <c r="H49" i="10"/>
  <c r="D48" i="10"/>
  <c r="D47" i="10"/>
  <c r="D46" i="10"/>
  <c r="A60" i="10" l="1"/>
  <c r="L136" i="10" s="1"/>
  <c r="P69" i="1" s="1"/>
  <c r="R73" i="1"/>
  <c r="H44" i="10"/>
  <c r="H43" i="10" l="1"/>
  <c r="H42" i="10"/>
  <c r="H41" i="10"/>
  <c r="H40" i="10" l="1"/>
  <c r="H4" i="6" l="1"/>
  <c r="H5" i="6"/>
  <c r="H6" i="6"/>
  <c r="H7" i="6"/>
  <c r="H8" i="6"/>
  <c r="H9" i="6"/>
  <c r="H10" i="6"/>
  <c r="H3" i="6"/>
  <c r="H39" i="10"/>
  <c r="H32" i="10" l="1"/>
  <c r="H31" i="10"/>
  <c r="D27" i="10" l="1"/>
  <c r="D26" i="10"/>
  <c r="E103" i="10" l="1"/>
  <c r="D99" i="10"/>
  <c r="E100" i="10" s="1"/>
  <c r="D104" i="10"/>
  <c r="E105" i="10"/>
  <c r="E106" i="10"/>
  <c r="N104" i="10"/>
  <c r="N105" i="10" s="1"/>
  <c r="A34" i="10"/>
  <c r="L135" i="10" s="1"/>
  <c r="O69" i="1" s="1"/>
  <c r="E155" i="10"/>
  <c r="Y42" i="1" s="1"/>
  <c r="P39" i="1"/>
  <c r="Q39" i="1"/>
  <c r="R39" i="1"/>
  <c r="S39" i="1"/>
  <c r="T39" i="1"/>
  <c r="U39" i="1"/>
  <c r="V39" i="1"/>
  <c r="W39" i="1"/>
  <c r="X39" i="1"/>
  <c r="O39" i="1"/>
  <c r="U57" i="6"/>
  <c r="L131" i="10"/>
  <c r="U63" i="17" s="1"/>
  <c r="U118" i="17" s="1"/>
  <c r="L114" i="10"/>
  <c r="U36" i="17" s="1"/>
  <c r="U109" i="17" s="1"/>
  <c r="U40" i="17"/>
  <c r="U110" i="17" s="1"/>
  <c r="L118" i="10"/>
  <c r="L122" i="10"/>
  <c r="L125" i="10"/>
  <c r="H29" i="6" s="1"/>
  <c r="H25" i="10"/>
  <c r="H24" i="10"/>
  <c r="L129" i="10" s="1"/>
  <c r="U60" i="17" s="1"/>
  <c r="H22" i="10"/>
  <c r="H21" i="10"/>
  <c r="H20" i="10"/>
  <c r="H19" i="10"/>
  <c r="H18" i="10"/>
  <c r="L130" i="10" s="1"/>
  <c r="U61" i="17" s="1"/>
  <c r="H17" i="10"/>
  <c r="H16" i="10"/>
  <c r="A15" i="10"/>
  <c r="L134" i="10" s="1"/>
  <c r="N69" i="1" s="1"/>
  <c r="H15" i="10"/>
  <c r="H14" i="10"/>
  <c r="L120" i="10" s="1"/>
  <c r="U53" i="17" s="1"/>
  <c r="H13" i="10"/>
  <c r="L115" i="10" s="1"/>
  <c r="H12" i="10"/>
  <c r="H6" i="10"/>
  <c r="H8" i="10"/>
  <c r="L124" i="10" s="1"/>
  <c r="U57" i="17" s="1"/>
  <c r="U116" i="17" s="1"/>
  <c r="H9" i="10"/>
  <c r="H10" i="10"/>
  <c r="H11" i="10"/>
  <c r="H2" i="10"/>
  <c r="H3" i="10"/>
  <c r="H4" i="10"/>
  <c r="L116" i="10" s="1"/>
  <c r="H5" i="10"/>
  <c r="AD40" i="1" l="1"/>
  <c r="AE40" i="1"/>
  <c r="D106" i="10"/>
  <c r="G106" i="10"/>
  <c r="G105" i="10"/>
  <c r="D105" i="10"/>
  <c r="AB40" i="1"/>
  <c r="AC40" i="1"/>
  <c r="R69" i="1"/>
  <c r="M103" i="10"/>
  <c r="M104" i="10" s="1"/>
  <c r="M105" i="10" s="1"/>
  <c r="H28" i="6"/>
  <c r="U49" i="17"/>
  <c r="H22" i="6"/>
  <c r="N63" i="17"/>
  <c r="H36" i="6"/>
  <c r="H34" i="6"/>
  <c r="L53" i="17"/>
  <c r="H25" i="6"/>
  <c r="U42" i="17"/>
  <c r="U111" i="17" s="1"/>
  <c r="H14" i="6"/>
  <c r="H33" i="6"/>
  <c r="U43" i="17"/>
  <c r="H17" i="6"/>
  <c r="U48" i="17"/>
  <c r="U113" i="17" s="1"/>
  <c r="H20" i="6"/>
  <c r="R40" i="1"/>
  <c r="Z40" i="1"/>
  <c r="AA40" i="1"/>
  <c r="V40" i="1"/>
  <c r="X40" i="1"/>
  <c r="T40" i="1"/>
  <c r="P40" i="1"/>
  <c r="O40" i="1"/>
  <c r="Y40" i="1"/>
  <c r="U40" i="1"/>
  <c r="Q40" i="1"/>
  <c r="T62" i="4"/>
  <c r="L128" i="10"/>
  <c r="U59" i="17" s="1"/>
  <c r="U117" i="17" s="1"/>
  <c r="L119" i="10"/>
  <c r="L117" i="10"/>
  <c r="X4" i="6"/>
  <c r="L121" i="10"/>
  <c r="T54" i="4"/>
  <c r="H12" i="6"/>
  <c r="T44" i="4"/>
  <c r="T101" i="4" s="1"/>
  <c r="T66" i="4"/>
  <c r="T57" i="4"/>
  <c r="T48" i="4"/>
  <c r="H11" i="6"/>
  <c r="T40" i="4"/>
  <c r="T61" i="4"/>
  <c r="T69" i="4"/>
  <c r="T60" i="4"/>
  <c r="T107" i="4" s="1"/>
  <c r="T53" i="4"/>
  <c r="T104" i="4" s="1"/>
  <c r="T46" i="4"/>
  <c r="T102" i="4" s="1"/>
  <c r="T67" i="4"/>
  <c r="W40" i="1"/>
  <c r="S40" i="1"/>
  <c r="Q37" i="1"/>
  <c r="R37" i="1"/>
  <c r="S37" i="1"/>
  <c r="T37" i="1"/>
  <c r="U37" i="1"/>
  <c r="V37" i="1"/>
  <c r="W37" i="1"/>
  <c r="X37" i="1"/>
  <c r="P37" i="1"/>
  <c r="T100" i="4" l="1"/>
  <c r="T105" i="4"/>
  <c r="H26" i="6"/>
  <c r="U54" i="17"/>
  <c r="U115" i="17" s="1"/>
  <c r="T109" i="4"/>
  <c r="AE109" i="4" s="1"/>
  <c r="U112" i="17"/>
  <c r="L63" i="17"/>
  <c r="D103" i="10"/>
  <c r="G103" i="10" s="1"/>
  <c r="N53" i="17"/>
  <c r="U50" i="17"/>
  <c r="U114" i="17" s="1"/>
  <c r="H23" i="6"/>
  <c r="H32" i="6"/>
  <c r="U46" i="17"/>
  <c r="H19" i="6"/>
  <c r="T58" i="4"/>
  <c r="T65" i="4"/>
  <c r="T108" i="4" s="1"/>
  <c r="L132" i="10"/>
  <c r="M131" i="10" s="1"/>
  <c r="T55" i="4"/>
  <c r="T51" i="4"/>
  <c r="T103" i="4" s="1"/>
  <c r="X5" i="1"/>
  <c r="X14" i="1"/>
  <c r="X13" i="1"/>
  <c r="T93" i="4" l="1"/>
  <c r="T2" i="4"/>
  <c r="T106" i="4"/>
  <c r="AE106" i="4" s="1"/>
  <c r="U103" i="17"/>
  <c r="U2" i="17"/>
  <c r="E147" i="10"/>
  <c r="D147" i="10"/>
  <c r="G142" i="10"/>
  <c r="F142" i="10"/>
  <c r="E142" i="10"/>
  <c r="D142" i="10"/>
  <c r="G140" i="10"/>
  <c r="F140" i="10"/>
  <c r="E140" i="10"/>
  <c r="D140" i="10"/>
  <c r="G139" i="10"/>
  <c r="F139" i="10"/>
  <c r="E139" i="10"/>
  <c r="D139" i="10"/>
  <c r="G138" i="10"/>
  <c r="F138" i="10"/>
  <c r="E138" i="10"/>
  <c r="D138" i="10"/>
  <c r="G132" i="10"/>
  <c r="F132" i="10"/>
  <c r="E132" i="10"/>
  <c r="D132" i="10"/>
  <c r="G131" i="10"/>
  <c r="F131" i="10"/>
  <c r="E131" i="10"/>
  <c r="D131" i="10"/>
  <c r="G129" i="10"/>
  <c r="F129" i="10"/>
  <c r="E129" i="10"/>
  <c r="D129" i="10"/>
  <c r="G128" i="10"/>
  <c r="F128" i="10"/>
  <c r="E128" i="10"/>
  <c r="D128" i="10"/>
  <c r="G127" i="10"/>
  <c r="F127" i="10"/>
  <c r="E127" i="10"/>
  <c r="D127" i="10"/>
  <c r="G126" i="10"/>
  <c r="F126" i="10"/>
  <c r="E126" i="10"/>
  <c r="D126" i="10"/>
  <c r="G125" i="10"/>
  <c r="F125" i="10"/>
  <c r="E125" i="10"/>
  <c r="D125" i="10"/>
  <c r="G124" i="10"/>
  <c r="F124" i="10"/>
  <c r="E124" i="10"/>
  <c r="D124" i="10"/>
  <c r="G123" i="10"/>
  <c r="F123" i="10"/>
  <c r="E123" i="10"/>
  <c r="D123" i="10"/>
  <c r="G122" i="10"/>
  <c r="F122" i="10"/>
  <c r="E122" i="10"/>
  <c r="D122" i="10"/>
  <c r="G121" i="10"/>
  <c r="F121" i="10"/>
  <c r="E121" i="10"/>
  <c r="D121" i="10"/>
  <c r="G120" i="10"/>
  <c r="F120" i="10"/>
  <c r="E120" i="10"/>
  <c r="D120" i="10"/>
  <c r="G119" i="10"/>
  <c r="F119" i="10"/>
  <c r="E119" i="10"/>
  <c r="D119" i="10"/>
  <c r="G118" i="10"/>
  <c r="F118" i="10"/>
  <c r="E118" i="10"/>
  <c r="D118" i="10"/>
  <c r="G117" i="10"/>
  <c r="F117" i="10"/>
  <c r="E117" i="10"/>
  <c r="D117" i="10"/>
  <c r="G116" i="10"/>
  <c r="F116" i="10"/>
  <c r="E116" i="10"/>
  <c r="D116" i="10"/>
  <c r="G115" i="10"/>
  <c r="U62" i="6" s="1"/>
  <c r="F115" i="10"/>
  <c r="U61" i="6" s="1"/>
  <c r="E115" i="10"/>
  <c r="D115" i="10"/>
  <c r="G114" i="10"/>
  <c r="H87" i="6" s="1"/>
  <c r="F114" i="10"/>
  <c r="H86" i="6" s="1"/>
  <c r="E114" i="10"/>
  <c r="D114" i="10"/>
  <c r="G113" i="10"/>
  <c r="F113" i="10"/>
  <c r="E113" i="10"/>
  <c r="D113" i="10"/>
  <c r="G112" i="10"/>
  <c r="F112" i="10"/>
  <c r="E112" i="10"/>
  <c r="D114" i="6" s="1"/>
  <c r="D112" i="10"/>
  <c r="G111" i="10"/>
  <c r="H66" i="6" s="1"/>
  <c r="F111" i="10"/>
  <c r="H65" i="6" s="1"/>
  <c r="E111" i="10"/>
  <c r="D111" i="10"/>
  <c r="L108" i="10"/>
  <c r="V33" i="6"/>
  <c r="AJ3" i="6"/>
  <c r="V34" i="6"/>
  <c r="AJ4" i="6"/>
  <c r="X11" i="6" l="1"/>
  <c r="B137" i="10"/>
  <c r="B134" i="10"/>
  <c r="B133" i="10"/>
  <c r="B136" i="10"/>
  <c r="B135" i="10"/>
  <c r="B141" i="10"/>
  <c r="B130" i="10"/>
  <c r="H114" i="10"/>
  <c r="H115" i="10"/>
  <c r="H116" i="10"/>
  <c r="H117" i="10"/>
  <c r="H118" i="10"/>
  <c r="H119" i="10"/>
  <c r="H120" i="10"/>
  <c r="H121" i="10"/>
  <c r="H122" i="10"/>
  <c r="H123" i="10"/>
  <c r="H124" i="10"/>
  <c r="H127" i="10"/>
  <c r="H128" i="10"/>
  <c r="H129" i="10"/>
  <c r="H130" i="10"/>
  <c r="H131" i="10"/>
  <c r="H138" i="10"/>
  <c r="H139" i="10"/>
  <c r="H141" i="10"/>
  <c r="H111" i="10"/>
  <c r="H112" i="10"/>
  <c r="H88" i="6"/>
  <c r="H89" i="6" s="1"/>
  <c r="U63" i="6"/>
  <c r="U64" i="6" s="1"/>
  <c r="D148" i="10"/>
  <c r="Y79" i="6"/>
  <c r="E148" i="10"/>
  <c r="Z79" i="6"/>
  <c r="E143" i="10"/>
  <c r="H67" i="6"/>
  <c r="H68" i="6" s="1"/>
  <c r="B112" i="10"/>
  <c r="B118" i="10"/>
  <c r="B120" i="10"/>
  <c r="B126" i="10"/>
  <c r="B128" i="10"/>
  <c r="B142" i="10"/>
  <c r="E108" i="10"/>
  <c r="B111" i="10"/>
  <c r="B114" i="10"/>
  <c r="B119" i="10"/>
  <c r="B122" i="10"/>
  <c r="B127" i="10"/>
  <c r="B132" i="10"/>
  <c r="D108" i="10"/>
  <c r="F143" i="10"/>
  <c r="B113" i="10"/>
  <c r="B116" i="10"/>
  <c r="B121" i="10"/>
  <c r="B124" i="10"/>
  <c r="B129" i="10"/>
  <c r="B131" i="10"/>
  <c r="G143" i="10"/>
  <c r="B115" i="10"/>
  <c r="B123" i="10"/>
  <c r="B139" i="10"/>
  <c r="B140" i="10"/>
  <c r="D107" i="10"/>
  <c r="B117" i="10"/>
  <c r="B125" i="10"/>
  <c r="B138" i="10"/>
  <c r="E107" i="10"/>
  <c r="E116" i="9"/>
  <c r="E117" i="9" s="1"/>
  <c r="E118" i="9" s="1"/>
  <c r="E119" i="9" s="1"/>
  <c r="E120" i="9" s="1"/>
  <c r="D116" i="9"/>
  <c r="D117" i="9" s="1"/>
  <c r="D118" i="9" s="1"/>
  <c r="D119" i="9" s="1"/>
  <c r="D120" i="9" s="1"/>
  <c r="G111" i="9"/>
  <c r="F111" i="9"/>
  <c r="E111" i="9"/>
  <c r="D111" i="9"/>
  <c r="G110" i="9"/>
  <c r="F110" i="9"/>
  <c r="E110" i="9"/>
  <c r="D110" i="9"/>
  <c r="G109" i="9"/>
  <c r="F109" i="9"/>
  <c r="E109" i="9"/>
  <c r="D109" i="9"/>
  <c r="G108" i="9"/>
  <c r="F108" i="9"/>
  <c r="E108" i="9"/>
  <c r="D108" i="9"/>
  <c r="G107" i="9"/>
  <c r="F107" i="9"/>
  <c r="E107" i="9"/>
  <c r="D107" i="9"/>
  <c r="G106" i="9"/>
  <c r="F106" i="9"/>
  <c r="E106" i="9"/>
  <c r="D106" i="9"/>
  <c r="G105" i="9"/>
  <c r="F105" i="9"/>
  <c r="E105" i="9"/>
  <c r="D105" i="9"/>
  <c r="G104" i="9"/>
  <c r="F104" i="9"/>
  <c r="E104" i="9"/>
  <c r="D104" i="9"/>
  <c r="G103" i="9"/>
  <c r="F103" i="9"/>
  <c r="E103" i="9"/>
  <c r="D103" i="9"/>
  <c r="G102" i="9"/>
  <c r="F102" i="9"/>
  <c r="E102" i="9"/>
  <c r="D102" i="9"/>
  <c r="G101" i="9"/>
  <c r="F101" i="9"/>
  <c r="E101" i="9"/>
  <c r="D101" i="9"/>
  <c r="G100" i="9"/>
  <c r="F100" i="9"/>
  <c r="E100" i="9"/>
  <c r="D100" i="9"/>
  <c r="G99" i="9"/>
  <c r="F99" i="9"/>
  <c r="E99" i="9"/>
  <c r="D99" i="9"/>
  <c r="G98" i="9"/>
  <c r="F98" i="9"/>
  <c r="E98" i="9"/>
  <c r="D98" i="9"/>
  <c r="G97" i="9"/>
  <c r="F97" i="9"/>
  <c r="E97" i="9"/>
  <c r="D97" i="9"/>
  <c r="G96" i="9"/>
  <c r="F96" i="9"/>
  <c r="E96" i="9"/>
  <c r="D96" i="9"/>
  <c r="G95" i="9"/>
  <c r="F95" i="9"/>
  <c r="E95" i="9"/>
  <c r="D95" i="9"/>
  <c r="G94" i="9"/>
  <c r="F94" i="9"/>
  <c r="E94" i="9"/>
  <c r="D94" i="9"/>
  <c r="G93" i="9"/>
  <c r="F93" i="9"/>
  <c r="E93" i="9"/>
  <c r="D93" i="9"/>
  <c r="G92" i="9"/>
  <c r="F92" i="9"/>
  <c r="E92" i="9"/>
  <c r="D92" i="9"/>
  <c r="G91" i="9"/>
  <c r="F91" i="9"/>
  <c r="E91" i="9"/>
  <c r="D91" i="9"/>
  <c r="G90" i="9"/>
  <c r="F90" i="9"/>
  <c r="E90" i="9"/>
  <c r="D90" i="9"/>
  <c r="G89" i="9"/>
  <c r="F89" i="9"/>
  <c r="E89" i="9"/>
  <c r="D89" i="9"/>
  <c r="G88" i="9"/>
  <c r="F88" i="9"/>
  <c r="E88" i="9"/>
  <c r="D88" i="9"/>
  <c r="G87" i="9"/>
  <c r="F87" i="9"/>
  <c r="E87" i="9"/>
  <c r="D119" i="6" s="1"/>
  <c r="D87" i="9"/>
  <c r="G86" i="9"/>
  <c r="F86" i="9"/>
  <c r="E86" i="9"/>
  <c r="D86" i="9"/>
  <c r="S83" i="9"/>
  <c r="L83" i="9"/>
  <c r="G81" i="9"/>
  <c r="E81" i="9"/>
  <c r="D81" i="9"/>
  <c r="G80" i="9"/>
  <c r="E80" i="9"/>
  <c r="D80" i="9"/>
  <c r="N79" i="9"/>
  <c r="N80" i="9" s="1"/>
  <c r="N81" i="9" s="1"/>
  <c r="D79" i="9"/>
  <c r="T78" i="9"/>
  <c r="S78" i="9"/>
  <c r="S79" i="9" s="1"/>
  <c r="S80" i="9" s="1"/>
  <c r="S81" i="9" s="1"/>
  <c r="N78" i="9"/>
  <c r="L78" i="9"/>
  <c r="L79" i="9" s="1"/>
  <c r="L80" i="9" s="1"/>
  <c r="L81" i="9" s="1"/>
  <c r="E78" i="9"/>
  <c r="S11" i="6" s="1"/>
  <c r="H44" i="9"/>
  <c r="H43" i="9"/>
  <c r="H41" i="9"/>
  <c r="H40" i="9"/>
  <c r="H39" i="9"/>
  <c r="L87" i="9" s="1"/>
  <c r="Y6" i="4" s="1"/>
  <c r="H33" i="9"/>
  <c r="H31" i="9"/>
  <c r="H30" i="9"/>
  <c r="H28" i="9"/>
  <c r="H27" i="9"/>
  <c r="H20" i="9"/>
  <c r="H19" i="9"/>
  <c r="H18" i="9"/>
  <c r="H17" i="9"/>
  <c r="H16" i="9"/>
  <c r="H13" i="9"/>
  <c r="H12" i="9"/>
  <c r="H11" i="9"/>
  <c r="L95" i="9" s="1"/>
  <c r="H6" i="9"/>
  <c r="H5" i="9"/>
  <c r="D4" i="6"/>
  <c r="D5" i="6"/>
  <c r="D10" i="6"/>
  <c r="D12" i="6"/>
  <c r="H3" i="7"/>
  <c r="H4" i="7"/>
  <c r="H5" i="7"/>
  <c r="H6" i="7"/>
  <c r="H9" i="7"/>
  <c r="H10" i="7"/>
  <c r="H11" i="7"/>
  <c r="H12" i="7"/>
  <c r="H13" i="7"/>
  <c r="H15" i="7"/>
  <c r="H16" i="7"/>
  <c r="H17" i="7"/>
  <c r="H18" i="7"/>
  <c r="H20" i="7"/>
  <c r="H22" i="7"/>
  <c r="H23" i="7"/>
  <c r="H24" i="7"/>
  <c r="H25" i="7"/>
  <c r="H26" i="7"/>
  <c r="H27" i="7"/>
  <c r="H28" i="7"/>
  <c r="H29" i="7"/>
  <c r="H30" i="7"/>
  <c r="H31" i="7"/>
  <c r="H32" i="7"/>
  <c r="H33" i="7"/>
  <c r="H34" i="7"/>
  <c r="H35" i="7"/>
  <c r="H36" i="7"/>
  <c r="H37" i="7"/>
  <c r="H38" i="7"/>
  <c r="H39" i="7"/>
  <c r="H40" i="7"/>
  <c r="L87" i="7" s="1"/>
  <c r="D6" i="6" s="1"/>
  <c r="H41" i="7"/>
  <c r="H42" i="7"/>
  <c r="H44" i="7"/>
  <c r="H45" i="7"/>
  <c r="H46" i="7"/>
  <c r="H2" i="7"/>
  <c r="E116" i="7"/>
  <c r="E117" i="7" s="1"/>
  <c r="E118" i="7" s="1"/>
  <c r="E119" i="7" s="1"/>
  <c r="E120" i="7" s="1"/>
  <c r="R83" i="6" s="1"/>
  <c r="D116" i="7"/>
  <c r="D117" i="7" s="1"/>
  <c r="D118" i="7" s="1"/>
  <c r="D119" i="7" s="1"/>
  <c r="D120" i="7" s="1"/>
  <c r="Q83" i="6" s="1"/>
  <c r="G97" i="7"/>
  <c r="F97" i="7"/>
  <c r="E97" i="7"/>
  <c r="D97" i="7"/>
  <c r="G95" i="7"/>
  <c r="F95" i="7"/>
  <c r="E95" i="7"/>
  <c r="D95" i="7"/>
  <c r="G88" i="7"/>
  <c r="F88" i="7"/>
  <c r="E88" i="7"/>
  <c r="D88" i="7"/>
  <c r="G101" i="7"/>
  <c r="F101" i="7"/>
  <c r="E101" i="7"/>
  <c r="D101" i="7"/>
  <c r="G103" i="7"/>
  <c r="F103" i="7"/>
  <c r="E103" i="7"/>
  <c r="D103" i="7"/>
  <c r="G93" i="7"/>
  <c r="F93" i="7"/>
  <c r="E93" i="7"/>
  <c r="D118" i="6" s="1"/>
  <c r="D93" i="7"/>
  <c r="G102" i="7"/>
  <c r="F102" i="7"/>
  <c r="E102" i="7"/>
  <c r="D102" i="7"/>
  <c r="G89" i="7"/>
  <c r="F89" i="7"/>
  <c r="E89" i="7"/>
  <c r="D89" i="7"/>
  <c r="G90" i="7"/>
  <c r="D87" i="6" s="1"/>
  <c r="F90" i="7"/>
  <c r="D86" i="6" s="1"/>
  <c r="E90" i="7"/>
  <c r="D90" i="7"/>
  <c r="G96" i="7"/>
  <c r="F96" i="7"/>
  <c r="E96" i="7"/>
  <c r="D96" i="7"/>
  <c r="G100" i="7"/>
  <c r="F100" i="7"/>
  <c r="E100" i="7"/>
  <c r="D100" i="7"/>
  <c r="G99" i="7"/>
  <c r="F99" i="7"/>
  <c r="E99" i="7"/>
  <c r="D99" i="7"/>
  <c r="G98" i="7"/>
  <c r="F98" i="7"/>
  <c r="E98" i="7"/>
  <c r="D98" i="7"/>
  <c r="G104" i="7"/>
  <c r="F104" i="7"/>
  <c r="E104" i="7"/>
  <c r="D104" i="7"/>
  <c r="G94" i="7"/>
  <c r="F94" i="7"/>
  <c r="E94" i="7"/>
  <c r="D94" i="7"/>
  <c r="L91" i="7"/>
  <c r="D17" i="6" s="1"/>
  <c r="G86" i="7"/>
  <c r="D66" i="6" s="1"/>
  <c r="F86" i="7"/>
  <c r="D65" i="6" s="1"/>
  <c r="E86" i="7"/>
  <c r="D86" i="7"/>
  <c r="G87" i="7"/>
  <c r="F87" i="7"/>
  <c r="E87" i="7"/>
  <c r="D87" i="7"/>
  <c r="G92" i="7"/>
  <c r="F92" i="7"/>
  <c r="E92" i="7"/>
  <c r="D92" i="7"/>
  <c r="G91" i="7"/>
  <c r="F91" i="7"/>
  <c r="E91" i="7"/>
  <c r="D91" i="7"/>
  <c r="G105" i="7"/>
  <c r="F105" i="7"/>
  <c r="E105" i="7"/>
  <c r="D105" i="7"/>
  <c r="S83" i="7"/>
  <c r="L83" i="7"/>
  <c r="G81" i="7"/>
  <c r="R33" i="6" s="1"/>
  <c r="E81" i="7"/>
  <c r="AF3" i="6" s="1"/>
  <c r="D81" i="7"/>
  <c r="G80" i="7"/>
  <c r="R34" i="6" s="1"/>
  <c r="E80" i="7"/>
  <c r="AF4" i="6" s="1"/>
  <c r="D80" i="7"/>
  <c r="N79" i="7"/>
  <c r="N80" i="7" s="1"/>
  <c r="N81" i="7" s="1"/>
  <c r="D79" i="7"/>
  <c r="T78" i="7"/>
  <c r="T79" i="7" s="1"/>
  <c r="T80" i="7" s="1"/>
  <c r="T81" i="7" s="1"/>
  <c r="S78" i="7"/>
  <c r="S79" i="7" s="1"/>
  <c r="S80" i="7" s="1"/>
  <c r="S81" i="7" s="1"/>
  <c r="N78" i="7"/>
  <c r="L78" i="7"/>
  <c r="L79" i="7" s="1"/>
  <c r="L80" i="7" s="1"/>
  <c r="L81" i="7" s="1"/>
  <c r="E78" i="7"/>
  <c r="T11" i="6" s="1"/>
  <c r="M78" i="7"/>
  <c r="T3" i="6" s="1"/>
  <c r="L97" i="7"/>
  <c r="L94" i="7"/>
  <c r="D22" i="6" s="1"/>
  <c r="L96" i="7"/>
  <c r="D7" i="6" s="1"/>
  <c r="L92" i="7"/>
  <c r="D18" i="6" s="1"/>
  <c r="T57" i="6"/>
  <c r="T56" i="6"/>
  <c r="R57" i="6"/>
  <c r="E116" i="5"/>
  <c r="T79" i="6" s="1"/>
  <c r="D116" i="5"/>
  <c r="S79" i="6" s="1"/>
  <c r="E116" i="3"/>
  <c r="E117" i="3" s="1"/>
  <c r="D116" i="3"/>
  <c r="U79" i="6" s="1"/>
  <c r="E140" i="2"/>
  <c r="E141" i="2" s="1"/>
  <c r="E142" i="2" s="1"/>
  <c r="E143" i="2" s="1"/>
  <c r="X82" i="6" s="1"/>
  <c r="D140" i="2"/>
  <c r="W79" i="6" s="1"/>
  <c r="F109" i="5"/>
  <c r="G109" i="5"/>
  <c r="F110" i="5"/>
  <c r="G110" i="5"/>
  <c r="F111" i="5"/>
  <c r="G111" i="5"/>
  <c r="F86" i="5"/>
  <c r="G108" i="5"/>
  <c r="F108" i="5"/>
  <c r="G107" i="5"/>
  <c r="F107" i="5"/>
  <c r="G106" i="5"/>
  <c r="F106" i="5"/>
  <c r="G105" i="5"/>
  <c r="F105" i="5"/>
  <c r="G104" i="5"/>
  <c r="F104" i="5"/>
  <c r="G103" i="5"/>
  <c r="F103" i="5"/>
  <c r="G102" i="5"/>
  <c r="F102" i="5"/>
  <c r="G101" i="5"/>
  <c r="F101" i="5"/>
  <c r="G100" i="5"/>
  <c r="F100" i="5"/>
  <c r="G99" i="5"/>
  <c r="R62" i="6" s="1"/>
  <c r="F99" i="5"/>
  <c r="R61" i="6" s="1"/>
  <c r="G98" i="5"/>
  <c r="F98" i="5"/>
  <c r="G97" i="5"/>
  <c r="F97" i="5"/>
  <c r="G96" i="5"/>
  <c r="F96" i="5"/>
  <c r="G95" i="5"/>
  <c r="F95" i="5"/>
  <c r="G94" i="5"/>
  <c r="F94" i="5"/>
  <c r="G93" i="5"/>
  <c r="F93" i="5"/>
  <c r="G92" i="5"/>
  <c r="F92" i="5"/>
  <c r="G91" i="5"/>
  <c r="F91" i="5"/>
  <c r="G90" i="5"/>
  <c r="E87" i="6" s="1"/>
  <c r="F90" i="5"/>
  <c r="E86" i="6" s="1"/>
  <c r="G89" i="5"/>
  <c r="F89" i="5"/>
  <c r="G88" i="5"/>
  <c r="F88" i="5"/>
  <c r="G87" i="5"/>
  <c r="F87" i="5"/>
  <c r="G86" i="5"/>
  <c r="E66" i="6" s="1"/>
  <c r="G87" i="3"/>
  <c r="G88" i="3"/>
  <c r="G89" i="3"/>
  <c r="G90" i="3"/>
  <c r="F87" i="6" s="1"/>
  <c r="G91" i="3"/>
  <c r="G92" i="3"/>
  <c r="G93" i="3"/>
  <c r="G94" i="3"/>
  <c r="G95" i="3"/>
  <c r="G96" i="3"/>
  <c r="G97" i="3"/>
  <c r="G98" i="3"/>
  <c r="G99" i="3"/>
  <c r="G100" i="3"/>
  <c r="G101" i="3"/>
  <c r="G102" i="3"/>
  <c r="G103" i="3"/>
  <c r="G104" i="3"/>
  <c r="G105" i="3"/>
  <c r="G106" i="3"/>
  <c r="G107" i="3"/>
  <c r="G108" i="3"/>
  <c r="G109" i="3"/>
  <c r="G86" i="3"/>
  <c r="F66" i="6" s="1"/>
  <c r="F103" i="3"/>
  <c r="F104" i="3"/>
  <c r="F105" i="3"/>
  <c r="F106" i="3"/>
  <c r="F107" i="3"/>
  <c r="F108" i="3"/>
  <c r="F109" i="3"/>
  <c r="F87" i="3"/>
  <c r="F88" i="3"/>
  <c r="F89" i="3"/>
  <c r="F90" i="3"/>
  <c r="F86" i="6" s="1"/>
  <c r="F91" i="3"/>
  <c r="F92" i="3"/>
  <c r="F93" i="3"/>
  <c r="F94" i="3"/>
  <c r="F95" i="3"/>
  <c r="F96" i="3"/>
  <c r="F97" i="3"/>
  <c r="F98" i="3"/>
  <c r="F99" i="3"/>
  <c r="F100" i="3"/>
  <c r="F101" i="3"/>
  <c r="F102" i="3"/>
  <c r="F86" i="3"/>
  <c r="F65" i="6" s="1"/>
  <c r="E106" i="2"/>
  <c r="AI3" i="6" s="1"/>
  <c r="E105" i="2"/>
  <c r="W11" i="6"/>
  <c r="E81" i="3"/>
  <c r="AH3" i="6" s="1"/>
  <c r="E80" i="3"/>
  <c r="AH4" i="6" s="1"/>
  <c r="E78" i="3"/>
  <c r="V11" i="6" s="1"/>
  <c r="E81" i="5"/>
  <c r="AG3" i="6" s="1"/>
  <c r="E80" i="5"/>
  <c r="E83" i="5" s="1"/>
  <c r="E78" i="5"/>
  <c r="U11" i="6" s="1"/>
  <c r="G112" i="2"/>
  <c r="G113" i="2"/>
  <c r="G114" i="2"/>
  <c r="G87" i="6" s="1"/>
  <c r="G115" i="2"/>
  <c r="T62" i="6" s="1"/>
  <c r="G116" i="2"/>
  <c r="G117" i="2"/>
  <c r="G118" i="2"/>
  <c r="G119" i="2"/>
  <c r="G120" i="2"/>
  <c r="G121" i="2"/>
  <c r="G122" i="2"/>
  <c r="G123" i="2"/>
  <c r="G124" i="2"/>
  <c r="G125" i="2"/>
  <c r="G126" i="2"/>
  <c r="G127" i="2"/>
  <c r="G128" i="2"/>
  <c r="G129" i="2"/>
  <c r="G130" i="2"/>
  <c r="G131" i="2"/>
  <c r="G132" i="2"/>
  <c r="G133" i="2"/>
  <c r="G134" i="2"/>
  <c r="G135" i="2"/>
  <c r="G111" i="2"/>
  <c r="G66" i="6" s="1"/>
  <c r="F112" i="2"/>
  <c r="F113" i="2"/>
  <c r="F114" i="2"/>
  <c r="G86" i="6" s="1"/>
  <c r="F115" i="2"/>
  <c r="T61" i="6" s="1"/>
  <c r="F116" i="2"/>
  <c r="F117" i="2"/>
  <c r="F118" i="2"/>
  <c r="F119" i="2"/>
  <c r="F120" i="2"/>
  <c r="F121" i="2"/>
  <c r="F122" i="2"/>
  <c r="F123" i="2"/>
  <c r="F124" i="2"/>
  <c r="F125" i="2"/>
  <c r="F126" i="2"/>
  <c r="F127" i="2"/>
  <c r="F128" i="2"/>
  <c r="F129" i="2"/>
  <c r="F130" i="2"/>
  <c r="F131" i="2"/>
  <c r="F132" i="2"/>
  <c r="F133" i="2"/>
  <c r="F134" i="2"/>
  <c r="F135" i="2"/>
  <c r="F111" i="2"/>
  <c r="D112" i="2"/>
  <c r="D113" i="2"/>
  <c r="D114" i="2"/>
  <c r="D115" i="2"/>
  <c r="D116" i="2"/>
  <c r="D117" i="2"/>
  <c r="D118" i="2"/>
  <c r="D119" i="2"/>
  <c r="D120" i="2"/>
  <c r="D121" i="2"/>
  <c r="D122" i="2"/>
  <c r="D123" i="2"/>
  <c r="D124" i="2"/>
  <c r="D125" i="2"/>
  <c r="D126" i="2"/>
  <c r="D127" i="2"/>
  <c r="D128" i="2"/>
  <c r="D129" i="2"/>
  <c r="D130" i="2"/>
  <c r="D131" i="2"/>
  <c r="D132" i="2"/>
  <c r="D133" i="2"/>
  <c r="D134" i="2"/>
  <c r="D135" i="2"/>
  <c r="D111" i="2"/>
  <c r="G4" i="6"/>
  <c r="G6" i="6"/>
  <c r="G7" i="6"/>
  <c r="G8" i="6"/>
  <c r="F5" i="6"/>
  <c r="F6" i="6"/>
  <c r="F7" i="6"/>
  <c r="F8" i="6"/>
  <c r="E4" i="6"/>
  <c r="E5" i="6"/>
  <c r="E6" i="6"/>
  <c r="E7" i="6"/>
  <c r="E12" i="6"/>
  <c r="S108" i="2"/>
  <c r="T103" i="2"/>
  <c r="T104" i="2" s="1"/>
  <c r="T105" i="2" s="1"/>
  <c r="S103" i="2"/>
  <c r="S104" i="2" s="1"/>
  <c r="S105" i="2" s="1"/>
  <c r="T79" i="3"/>
  <c r="T80" i="3" s="1"/>
  <c r="T78" i="3"/>
  <c r="S83" i="3"/>
  <c r="S78" i="3"/>
  <c r="S79" i="3" s="1"/>
  <c r="S80" i="3" s="1"/>
  <c r="S81" i="3" s="1"/>
  <c r="L98" i="5"/>
  <c r="E23" i="6" s="1"/>
  <c r="N78" i="5"/>
  <c r="S83" i="5"/>
  <c r="T78" i="5"/>
  <c r="T79" i="5" s="1"/>
  <c r="T80" i="5" s="1"/>
  <c r="T81" i="5" s="1"/>
  <c r="S78" i="5"/>
  <c r="S79" i="5" s="1"/>
  <c r="S80" i="5" s="1"/>
  <c r="S81" i="5" s="1"/>
  <c r="E111" i="5"/>
  <c r="B111" i="5" s="1"/>
  <c r="D111" i="5"/>
  <c r="H3" i="5"/>
  <c r="H4" i="5"/>
  <c r="H5" i="5"/>
  <c r="H6" i="5"/>
  <c r="H7" i="5"/>
  <c r="H8" i="5"/>
  <c r="H9" i="5"/>
  <c r="H10" i="5"/>
  <c r="H11" i="5"/>
  <c r="H12" i="5"/>
  <c r="H13" i="5"/>
  <c r="H14" i="5"/>
  <c r="H15" i="5"/>
  <c r="H16" i="5"/>
  <c r="L93" i="5" s="1"/>
  <c r="E16" i="6" s="1"/>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L90" i="5" s="1"/>
  <c r="H54" i="5"/>
  <c r="L100" i="5" s="1"/>
  <c r="H55" i="5"/>
  <c r="L87" i="5" s="1"/>
  <c r="H56" i="5"/>
  <c r="H57" i="5"/>
  <c r="H58" i="5"/>
  <c r="H60" i="5"/>
  <c r="H61" i="5"/>
  <c r="H62" i="5"/>
  <c r="H64" i="5"/>
  <c r="H67" i="5"/>
  <c r="H68" i="5"/>
  <c r="H69" i="5"/>
  <c r="H70" i="5"/>
  <c r="L101" i="5" s="1"/>
  <c r="H71" i="5"/>
  <c r="H72" i="5"/>
  <c r="H2" i="5"/>
  <c r="L94" i="5" s="1"/>
  <c r="E17" i="6" s="1"/>
  <c r="E110" i="5"/>
  <c r="B110" i="5" s="1"/>
  <c r="D110" i="5"/>
  <c r="E91" i="5"/>
  <c r="B91" i="5" s="1"/>
  <c r="D91" i="5"/>
  <c r="E104" i="5"/>
  <c r="B104" i="5" s="1"/>
  <c r="D104" i="5"/>
  <c r="E90" i="5"/>
  <c r="B90" i="5" s="1"/>
  <c r="D90" i="5"/>
  <c r="E103" i="5"/>
  <c r="B103" i="5" s="1"/>
  <c r="D103" i="5"/>
  <c r="E109" i="5"/>
  <c r="B109" i="5" s="1"/>
  <c r="D109" i="5"/>
  <c r="E92" i="5"/>
  <c r="B92" i="5" s="1"/>
  <c r="D92" i="5"/>
  <c r="E89" i="5"/>
  <c r="B89" i="5" s="1"/>
  <c r="D89" i="5"/>
  <c r="E94" i="5"/>
  <c r="D94" i="5"/>
  <c r="E108" i="5"/>
  <c r="B108" i="5" s="1"/>
  <c r="D108" i="5"/>
  <c r="E102" i="5"/>
  <c r="B102" i="5" s="1"/>
  <c r="D102" i="5"/>
  <c r="E100" i="5"/>
  <c r="B100" i="5" s="1"/>
  <c r="D100" i="5"/>
  <c r="E99" i="5"/>
  <c r="B99" i="5" s="1"/>
  <c r="D99" i="5"/>
  <c r="E88" i="5"/>
  <c r="B88" i="5" s="1"/>
  <c r="D88" i="5"/>
  <c r="E95" i="5"/>
  <c r="B95" i="5" s="1"/>
  <c r="D95" i="5"/>
  <c r="E87" i="5"/>
  <c r="D87" i="5"/>
  <c r="E101" i="5"/>
  <c r="B101" i="5" s="1"/>
  <c r="D101" i="5"/>
  <c r="E96" i="5"/>
  <c r="B96" i="5" s="1"/>
  <c r="D96" i="5"/>
  <c r="E107" i="5"/>
  <c r="B107" i="5" s="1"/>
  <c r="D107" i="5"/>
  <c r="E86" i="5"/>
  <c r="B86" i="5" s="1"/>
  <c r="D86" i="5"/>
  <c r="E106" i="5"/>
  <c r="B106" i="5" s="1"/>
  <c r="D106" i="5"/>
  <c r="E93" i="5"/>
  <c r="B93" i="5" s="1"/>
  <c r="D93" i="5"/>
  <c r="E98" i="5"/>
  <c r="B98" i="5" s="1"/>
  <c r="D98" i="5"/>
  <c r="E105" i="5"/>
  <c r="B105" i="5" s="1"/>
  <c r="D105" i="5"/>
  <c r="E97" i="5"/>
  <c r="B97" i="5" s="1"/>
  <c r="D97" i="5"/>
  <c r="L83" i="5"/>
  <c r="G81" i="5"/>
  <c r="S33" i="6" s="1"/>
  <c r="D81" i="5"/>
  <c r="G80" i="5"/>
  <c r="S34" i="6" s="1"/>
  <c r="D80" i="5"/>
  <c r="N79" i="5"/>
  <c r="N80" i="5" s="1"/>
  <c r="N81" i="5" s="1"/>
  <c r="D79" i="5"/>
  <c r="L78" i="5"/>
  <c r="L79" i="5" s="1"/>
  <c r="L80" i="5" s="1"/>
  <c r="L81" i="5" s="1"/>
  <c r="N78" i="3"/>
  <c r="L78" i="3"/>
  <c r="L79" i="3" s="1"/>
  <c r="L80" i="3" s="1"/>
  <c r="L81" i="3" s="1"/>
  <c r="H62" i="3"/>
  <c r="H63" i="3"/>
  <c r="H64" i="3"/>
  <c r="H65" i="3"/>
  <c r="H66" i="3"/>
  <c r="H67" i="3"/>
  <c r="H68" i="3"/>
  <c r="H69" i="3"/>
  <c r="H70" i="3"/>
  <c r="H72" i="3"/>
  <c r="H73" i="3"/>
  <c r="H61" i="3"/>
  <c r="H59" i="3"/>
  <c r="H60" i="3"/>
  <c r="H37" i="3"/>
  <c r="H38" i="3"/>
  <c r="H40" i="3"/>
  <c r="H41" i="3"/>
  <c r="H42" i="3"/>
  <c r="H43" i="3"/>
  <c r="H44" i="3"/>
  <c r="H45" i="3"/>
  <c r="H46" i="3"/>
  <c r="H47" i="3"/>
  <c r="H48" i="3"/>
  <c r="H49" i="3"/>
  <c r="H50" i="3"/>
  <c r="H53" i="3"/>
  <c r="H54" i="3"/>
  <c r="H55" i="3"/>
  <c r="H56" i="3"/>
  <c r="H57" i="3"/>
  <c r="H58" i="3"/>
  <c r="H25" i="3"/>
  <c r="H26" i="3"/>
  <c r="H27" i="3"/>
  <c r="H28" i="3"/>
  <c r="L89" i="3" s="1"/>
  <c r="H29" i="3"/>
  <c r="H30" i="3"/>
  <c r="H31" i="3"/>
  <c r="H32" i="3"/>
  <c r="H33" i="3"/>
  <c r="H34" i="3"/>
  <c r="H35" i="3"/>
  <c r="H36" i="3"/>
  <c r="E109" i="3"/>
  <c r="B109" i="3" s="1"/>
  <c r="D109" i="3"/>
  <c r="E86" i="3"/>
  <c r="F67" i="6" s="1"/>
  <c r="D86" i="3"/>
  <c r="E108" i="3"/>
  <c r="B108" i="3" s="1"/>
  <c r="D108" i="3"/>
  <c r="E107" i="3"/>
  <c r="B107" i="3" s="1"/>
  <c r="D107" i="3"/>
  <c r="E93" i="3"/>
  <c r="B93" i="3" s="1"/>
  <c r="D93" i="3"/>
  <c r="E106" i="3"/>
  <c r="B106" i="3" s="1"/>
  <c r="D106" i="3"/>
  <c r="E88" i="3"/>
  <c r="B88" i="3" s="1"/>
  <c r="D88" i="3"/>
  <c r="E105" i="3"/>
  <c r="B105" i="3" s="1"/>
  <c r="D105" i="3"/>
  <c r="E104" i="3"/>
  <c r="B104" i="3" s="1"/>
  <c r="D104" i="3"/>
  <c r="E103" i="3"/>
  <c r="B103" i="3" s="1"/>
  <c r="D103" i="3"/>
  <c r="E92" i="3"/>
  <c r="B92" i="3" s="1"/>
  <c r="D92" i="3"/>
  <c r="E102" i="3"/>
  <c r="B102" i="3" s="1"/>
  <c r="D102" i="3"/>
  <c r="E101" i="3"/>
  <c r="B101" i="3" s="1"/>
  <c r="D101" i="3"/>
  <c r="E100" i="3"/>
  <c r="B100" i="3" s="1"/>
  <c r="D100" i="3"/>
  <c r="E99" i="3"/>
  <c r="B99" i="3" s="1"/>
  <c r="D99" i="3"/>
  <c r="E98" i="3"/>
  <c r="B98" i="3" s="1"/>
  <c r="D98" i="3"/>
  <c r="E97" i="3"/>
  <c r="B97" i="3" s="1"/>
  <c r="D97" i="3"/>
  <c r="E90" i="3"/>
  <c r="B90" i="3" s="1"/>
  <c r="D90" i="3"/>
  <c r="E96" i="3"/>
  <c r="B96" i="3" s="1"/>
  <c r="D96" i="3"/>
  <c r="E95" i="3"/>
  <c r="B95" i="3" s="1"/>
  <c r="D95" i="3"/>
  <c r="E87" i="3"/>
  <c r="D87" i="3"/>
  <c r="E94" i="3"/>
  <c r="B94" i="3" s="1"/>
  <c r="D94" i="3"/>
  <c r="E89" i="3"/>
  <c r="B89" i="3" s="1"/>
  <c r="D89" i="3"/>
  <c r="E91" i="3"/>
  <c r="B91" i="3" s="1"/>
  <c r="D91" i="3"/>
  <c r="L83" i="3"/>
  <c r="G81" i="3"/>
  <c r="T33" i="6" s="1"/>
  <c r="D81" i="3"/>
  <c r="G80" i="3"/>
  <c r="T34" i="6" s="1"/>
  <c r="D80" i="3"/>
  <c r="D79" i="3"/>
  <c r="N79" i="3"/>
  <c r="N80" i="3" s="1"/>
  <c r="N81" i="3" s="1"/>
  <c r="H24" i="3"/>
  <c r="H23" i="3"/>
  <c r="H22" i="3"/>
  <c r="H21" i="3"/>
  <c r="H20" i="3"/>
  <c r="H19" i="3"/>
  <c r="H18" i="3"/>
  <c r="H17" i="3"/>
  <c r="L96" i="3" s="1"/>
  <c r="F22" i="6" s="1"/>
  <c r="H16" i="3"/>
  <c r="H15" i="3"/>
  <c r="H14" i="3"/>
  <c r="H13" i="3"/>
  <c r="L90" i="3" s="1"/>
  <c r="H12" i="3"/>
  <c r="H11" i="3"/>
  <c r="L92" i="3" s="1"/>
  <c r="H10" i="3"/>
  <c r="H9" i="3"/>
  <c r="H8" i="3"/>
  <c r="H5" i="3"/>
  <c r="H4" i="3"/>
  <c r="H3" i="3"/>
  <c r="E116" i="2"/>
  <c r="B116" i="2" s="1"/>
  <c r="E133" i="2"/>
  <c r="B133" i="2" s="1"/>
  <c r="E134" i="2"/>
  <c r="B134" i="2" s="1"/>
  <c r="E111" i="2"/>
  <c r="E135" i="2"/>
  <c r="B135" i="2" s="1"/>
  <c r="E115" i="2"/>
  <c r="B115" i="2" s="1"/>
  <c r="E112" i="2"/>
  <c r="E129" i="2"/>
  <c r="B129" i="2" s="1"/>
  <c r="E117" i="2"/>
  <c r="B117" i="2" s="1"/>
  <c r="E132" i="2"/>
  <c r="B132" i="2" s="1"/>
  <c r="E128" i="2"/>
  <c r="B128" i="2" s="1"/>
  <c r="E123" i="2"/>
  <c r="B123" i="2" s="1"/>
  <c r="E124" i="2"/>
  <c r="B124" i="2" s="1"/>
  <c r="E125" i="2"/>
  <c r="B125" i="2" s="1"/>
  <c r="E113" i="2"/>
  <c r="B113" i="2" s="1"/>
  <c r="E119" i="2"/>
  <c r="B119" i="2" s="1"/>
  <c r="E126" i="2"/>
  <c r="B126" i="2" s="1"/>
  <c r="E122" i="2"/>
  <c r="B122" i="2" s="1"/>
  <c r="E121" i="2"/>
  <c r="B121" i="2" s="1"/>
  <c r="E114" i="2"/>
  <c r="B114" i="2" s="1"/>
  <c r="E118" i="2"/>
  <c r="B118" i="2" s="1"/>
  <c r="E130" i="2"/>
  <c r="B130" i="2" s="1"/>
  <c r="E120" i="2"/>
  <c r="B120" i="2" s="1"/>
  <c r="E127" i="2"/>
  <c r="B127" i="2" s="1"/>
  <c r="E131" i="2"/>
  <c r="B131" i="2" s="1"/>
  <c r="N103" i="2"/>
  <c r="N104" i="2" s="1"/>
  <c r="N105" i="2" s="1"/>
  <c r="L108" i="2"/>
  <c r="L103" i="2"/>
  <c r="L104" i="2" s="1"/>
  <c r="L105" i="2" s="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L124" i="2" s="1"/>
  <c r="H41" i="2"/>
  <c r="H42" i="2"/>
  <c r="H43" i="2"/>
  <c r="H44" i="2"/>
  <c r="H45" i="2"/>
  <c r="H46" i="2"/>
  <c r="H47" i="2"/>
  <c r="H48" i="2"/>
  <c r="H49" i="2"/>
  <c r="H50" i="2"/>
  <c r="H51" i="2"/>
  <c r="H52" i="2"/>
  <c r="H53" i="2"/>
  <c r="H54" i="2"/>
  <c r="H55" i="2"/>
  <c r="H56" i="2"/>
  <c r="H57" i="2"/>
  <c r="H58" i="2"/>
  <c r="H59" i="2"/>
  <c r="H60" i="2"/>
  <c r="H62" i="2"/>
  <c r="H63" i="2"/>
  <c r="H64" i="2"/>
  <c r="H65" i="2"/>
  <c r="H66" i="2"/>
  <c r="L127" i="2" s="1"/>
  <c r="H67" i="2"/>
  <c r="H68" i="2"/>
  <c r="H69" i="2"/>
  <c r="H70" i="2"/>
  <c r="H71" i="2"/>
  <c r="H72" i="2"/>
  <c r="H73" i="2"/>
  <c r="H74" i="2"/>
  <c r="H75" i="2"/>
  <c r="H76" i="2"/>
  <c r="H77" i="2"/>
  <c r="H78" i="2"/>
  <c r="H79" i="2"/>
  <c r="H80" i="2"/>
  <c r="H81" i="2"/>
  <c r="H82" i="2"/>
  <c r="H83" i="2"/>
  <c r="H84" i="2"/>
  <c r="H85" i="2"/>
  <c r="L119" i="2" s="1"/>
  <c r="G20" i="6" s="1"/>
  <c r="H86" i="2"/>
  <c r="H87" i="2"/>
  <c r="H88" i="2"/>
  <c r="H89" i="2"/>
  <c r="H90" i="2"/>
  <c r="H91" i="2"/>
  <c r="H2" i="2"/>
  <c r="E32" i="6" l="1"/>
  <c r="X59" i="17"/>
  <c r="X117" i="17" s="1"/>
  <c r="B112" i="2"/>
  <c r="D115" i="6"/>
  <c r="B87" i="3"/>
  <c r="D116" i="6"/>
  <c r="E28" i="6"/>
  <c r="X57" i="17"/>
  <c r="G34" i="6"/>
  <c r="V61" i="17"/>
  <c r="B87" i="5"/>
  <c r="D117" i="6"/>
  <c r="L89" i="5"/>
  <c r="L88" i="3"/>
  <c r="V7" i="4" s="1"/>
  <c r="D141" i="2"/>
  <c r="D142" i="2" s="1"/>
  <c r="D143" i="2" s="1"/>
  <c r="D144" i="2" s="1"/>
  <c r="W83" i="6" s="1"/>
  <c r="L97" i="3"/>
  <c r="F23" i="6" s="1"/>
  <c r="U64" i="4"/>
  <c r="G31" i="6"/>
  <c r="L117" i="2"/>
  <c r="G18" i="6" s="1"/>
  <c r="L91" i="3"/>
  <c r="F11" i="6" s="1"/>
  <c r="L123" i="2"/>
  <c r="G29" i="6" s="1"/>
  <c r="L98" i="3"/>
  <c r="L94" i="3"/>
  <c r="F18" i="6" s="1"/>
  <c r="E108" i="2"/>
  <c r="L118" i="2"/>
  <c r="G19" i="6" s="1"/>
  <c r="V80" i="6"/>
  <c r="E118" i="3"/>
  <c r="E119" i="3" s="1"/>
  <c r="E120" i="3" s="1"/>
  <c r="V83" i="6" s="1"/>
  <c r="V79" i="6"/>
  <c r="L93" i="3"/>
  <c r="F14" i="6" s="1"/>
  <c r="D83" i="3"/>
  <c r="D82" i="5"/>
  <c r="E82" i="3"/>
  <c r="X80" i="6"/>
  <c r="L121" i="2"/>
  <c r="L125" i="2"/>
  <c r="L99" i="3"/>
  <c r="L96" i="5"/>
  <c r="L95" i="5"/>
  <c r="E18" i="6" s="1"/>
  <c r="L92" i="5"/>
  <c r="X42" i="17" s="1"/>
  <c r="X111" i="17" s="1"/>
  <c r="L91" i="5"/>
  <c r="X36" i="17" s="1"/>
  <c r="X79" i="6"/>
  <c r="D67" i="6"/>
  <c r="D68" i="6" s="1"/>
  <c r="R79" i="6"/>
  <c r="L126" i="2"/>
  <c r="L95" i="3"/>
  <c r="F19" i="6" s="1"/>
  <c r="L97" i="5"/>
  <c r="E22" i="6" s="1"/>
  <c r="L99" i="5"/>
  <c r="L88" i="5"/>
  <c r="E8" i="6" s="1"/>
  <c r="F112" i="5"/>
  <c r="B94" i="7"/>
  <c r="B104" i="7"/>
  <c r="B98" i="7"/>
  <c r="B99" i="7"/>
  <c r="B100" i="7"/>
  <c r="B96" i="7"/>
  <c r="B90" i="7"/>
  <c r="X43" i="17"/>
  <c r="W48" i="4"/>
  <c r="X35" i="17"/>
  <c r="W39" i="4"/>
  <c r="E10" i="6"/>
  <c r="W6" i="4"/>
  <c r="E3" i="6"/>
  <c r="W40" i="4"/>
  <c r="E11" i="6"/>
  <c r="W65" i="4"/>
  <c r="W108" i="4" s="1"/>
  <c r="W61" i="4"/>
  <c r="X49" i="17"/>
  <c r="X114" i="17" s="1"/>
  <c r="W54" i="4"/>
  <c r="W36" i="4"/>
  <c r="U67" i="4"/>
  <c r="X33" i="17"/>
  <c r="W37" i="4"/>
  <c r="M78" i="3"/>
  <c r="M79" i="3" s="1"/>
  <c r="F4" i="6"/>
  <c r="E9" i="6"/>
  <c r="D83" i="5"/>
  <c r="D82" i="3"/>
  <c r="AG4" i="6"/>
  <c r="AG11" i="6" s="1"/>
  <c r="AI4" i="6"/>
  <c r="E65" i="6"/>
  <c r="Y49" i="17"/>
  <c r="Y114" i="17" s="1"/>
  <c r="X54" i="4"/>
  <c r="X105" i="4" s="1"/>
  <c r="B89" i="7"/>
  <c r="Q80" i="6"/>
  <c r="R81" i="6"/>
  <c r="E112" i="5"/>
  <c r="E113" i="5" s="1"/>
  <c r="B113" i="5" s="1"/>
  <c r="X44" i="17"/>
  <c r="W49" i="4"/>
  <c r="X50" i="17"/>
  <c r="W55" i="4"/>
  <c r="F136" i="2"/>
  <c r="E83" i="3"/>
  <c r="F88" i="6"/>
  <c r="F89" i="6" s="1"/>
  <c r="J13" i="14"/>
  <c r="K13" i="14" s="1"/>
  <c r="L13" i="14" s="1"/>
  <c r="M13" i="14" s="1"/>
  <c r="N13" i="14" s="1"/>
  <c r="Y32" i="17"/>
  <c r="X36" i="4"/>
  <c r="B102" i="7"/>
  <c r="B93" i="7"/>
  <c r="B103" i="7"/>
  <c r="B101" i="7"/>
  <c r="B88" i="7"/>
  <c r="B95" i="7"/>
  <c r="B97" i="7"/>
  <c r="L98" i="7"/>
  <c r="D88" i="6"/>
  <c r="D89" i="6" s="1"/>
  <c r="R80" i="6"/>
  <c r="L114" i="2"/>
  <c r="L115" i="2"/>
  <c r="G14" i="6" s="1"/>
  <c r="L128" i="2"/>
  <c r="L120" i="2"/>
  <c r="G23" i="6" s="1"/>
  <c r="M78" i="5"/>
  <c r="E82" i="5"/>
  <c r="E67" i="6"/>
  <c r="E144" i="2"/>
  <c r="X83" i="6" s="1"/>
  <c r="E88" i="6"/>
  <c r="E89" i="6" s="1"/>
  <c r="J22" i="14"/>
  <c r="K22" i="14" s="1"/>
  <c r="L22" i="14" s="1"/>
  <c r="M22" i="14" s="1"/>
  <c r="N22" i="14" s="1"/>
  <c r="Y45" i="17"/>
  <c r="X50" i="4"/>
  <c r="J21" i="14"/>
  <c r="K21" i="14" s="1"/>
  <c r="L21" i="14" s="1"/>
  <c r="M21" i="14" s="1"/>
  <c r="N21" i="14" s="1"/>
  <c r="Y43" i="17"/>
  <c r="X48" i="4"/>
  <c r="X103" i="4" s="1"/>
  <c r="Q79" i="6"/>
  <c r="V48" i="17"/>
  <c r="V113" i="17" s="1"/>
  <c r="U53" i="4"/>
  <c r="L116" i="2"/>
  <c r="G15" i="6" s="1"/>
  <c r="L113" i="2"/>
  <c r="L112" i="2"/>
  <c r="L122" i="2"/>
  <c r="B111" i="2"/>
  <c r="E136" i="2"/>
  <c r="B136" i="2" s="1"/>
  <c r="E110" i="3"/>
  <c r="B110" i="3" s="1"/>
  <c r="L87" i="3"/>
  <c r="E107" i="2"/>
  <c r="V81" i="6"/>
  <c r="X81" i="6"/>
  <c r="J9" i="14"/>
  <c r="K9" i="14" s="1"/>
  <c r="L9" i="14" s="1"/>
  <c r="M9" i="14" s="1"/>
  <c r="N9" i="14" s="1"/>
  <c r="Y28" i="17"/>
  <c r="X32" i="4"/>
  <c r="B105" i="7"/>
  <c r="B91" i="7"/>
  <c r="B92" i="7"/>
  <c r="B87" i="7"/>
  <c r="E106" i="7"/>
  <c r="B106" i="7" s="1"/>
  <c r="B86" i="7"/>
  <c r="J6" i="14"/>
  <c r="Y20" i="17"/>
  <c r="X24" i="4"/>
  <c r="X97" i="4" s="1"/>
  <c r="AE97" i="4" s="1"/>
  <c r="D8" i="6"/>
  <c r="Q81" i="6"/>
  <c r="Q82" i="6"/>
  <c r="R82" i="6"/>
  <c r="L89" i="9"/>
  <c r="Z33" i="17" s="1"/>
  <c r="L92" i="9"/>
  <c r="Y46" i="4" s="1"/>
  <c r="Y102" i="4" s="1"/>
  <c r="B86" i="3"/>
  <c r="B86" i="9"/>
  <c r="B87" i="9"/>
  <c r="B88" i="9"/>
  <c r="B89" i="9"/>
  <c r="B90" i="9"/>
  <c r="B91" i="9"/>
  <c r="B92" i="9"/>
  <c r="B93" i="9"/>
  <c r="B94" i="9"/>
  <c r="B95" i="9"/>
  <c r="B96" i="9"/>
  <c r="B97" i="9"/>
  <c r="B98" i="9"/>
  <c r="B99" i="9"/>
  <c r="B100" i="9"/>
  <c r="B101" i="9"/>
  <c r="B102" i="9"/>
  <c r="B103" i="9"/>
  <c r="B104" i="9"/>
  <c r="B105" i="9"/>
  <c r="B106" i="9"/>
  <c r="B107" i="9"/>
  <c r="B108" i="9"/>
  <c r="B109" i="9"/>
  <c r="B110" i="9"/>
  <c r="B111" i="9"/>
  <c r="T64" i="6"/>
  <c r="R64" i="6"/>
  <c r="AF11" i="6"/>
  <c r="AH11" i="6"/>
  <c r="T81" i="3"/>
  <c r="V3" i="6"/>
  <c r="T79" i="9"/>
  <c r="T80" i="9" s="1"/>
  <c r="T81" i="9" s="1"/>
  <c r="V61" i="4"/>
  <c r="W50" i="17"/>
  <c r="V55" i="4"/>
  <c r="W33" i="17"/>
  <c r="V37" i="4"/>
  <c r="V99" i="4" s="1"/>
  <c r="W35" i="17"/>
  <c r="V39" i="4"/>
  <c r="W42" i="17"/>
  <c r="W111" i="17" s="1"/>
  <c r="V46" i="4"/>
  <c r="V102" i="4" s="1"/>
  <c r="F10" i="6"/>
  <c r="W40" i="17"/>
  <c r="W110" i="17" s="1"/>
  <c r="V44" i="4"/>
  <c r="V101" i="4" s="1"/>
  <c r="W45" i="17"/>
  <c r="W112" i="17" s="1"/>
  <c r="V50" i="4"/>
  <c r="F9" i="6"/>
  <c r="W36" i="17"/>
  <c r="V40" i="4"/>
  <c r="W49" i="17"/>
  <c r="W114" i="17" s="1"/>
  <c r="V54" i="4"/>
  <c r="V105" i="4" s="1"/>
  <c r="W46" i="17"/>
  <c r="V51" i="4"/>
  <c r="V60" i="4"/>
  <c r="F12" i="6"/>
  <c r="E112" i="9"/>
  <c r="E113" i="9" s="1"/>
  <c r="G112" i="5"/>
  <c r="G113" i="5" s="1"/>
  <c r="B112" i="5"/>
  <c r="B94" i="5"/>
  <c r="B143" i="10"/>
  <c r="E144" i="10"/>
  <c r="B144" i="10" s="1"/>
  <c r="AH12" i="6"/>
  <c r="AF12" i="6"/>
  <c r="G136" i="2"/>
  <c r="G65" i="6"/>
  <c r="G88" i="6"/>
  <c r="G89" i="6" s="1"/>
  <c r="G67" i="6"/>
  <c r="E149" i="10"/>
  <c r="Z80" i="6"/>
  <c r="D149" i="10"/>
  <c r="Y80" i="6"/>
  <c r="G144" i="10"/>
  <c r="L91" i="9"/>
  <c r="M78" i="9"/>
  <c r="L94" i="9"/>
  <c r="Z43" i="17" s="1"/>
  <c r="L90" i="9"/>
  <c r="G112" i="9"/>
  <c r="D83" i="9"/>
  <c r="E121" i="9"/>
  <c r="L88" i="9"/>
  <c r="Z32" i="17" s="1"/>
  <c r="F112" i="9"/>
  <c r="D121" i="9"/>
  <c r="D82" i="9"/>
  <c r="E82" i="9"/>
  <c r="F68" i="6"/>
  <c r="E83" i="9"/>
  <c r="F106" i="7"/>
  <c r="G106" i="7"/>
  <c r="L88" i="7"/>
  <c r="L93" i="7"/>
  <c r="D21" i="6" s="1"/>
  <c r="L89" i="7"/>
  <c r="L90" i="7"/>
  <c r="D14" i="6" s="1"/>
  <c r="L95" i="7"/>
  <c r="D83" i="7"/>
  <c r="D121" i="7"/>
  <c r="Q84" i="6" s="1"/>
  <c r="M79" i="7"/>
  <c r="E121" i="7"/>
  <c r="R84" i="6" s="1"/>
  <c r="D82" i="7"/>
  <c r="E82" i="7"/>
  <c r="E83" i="7"/>
  <c r="D117" i="5"/>
  <c r="E117" i="5"/>
  <c r="D117" i="3"/>
  <c r="M103" i="2"/>
  <c r="G106" i="2"/>
  <c r="U33" i="6" s="1"/>
  <c r="G105" i="2"/>
  <c r="U34" i="6" s="1"/>
  <c r="D106" i="2"/>
  <c r="D105" i="2"/>
  <c r="D104" i="2"/>
  <c r="E68" i="6" l="1"/>
  <c r="W100" i="4"/>
  <c r="V107" i="4"/>
  <c r="W109" i="17"/>
  <c r="V82" i="6"/>
  <c r="X32" i="17"/>
  <c r="U62" i="4"/>
  <c r="W105" i="4"/>
  <c r="G28" i="6"/>
  <c r="V57" i="17"/>
  <c r="F27" i="6"/>
  <c r="W56" i="17"/>
  <c r="W116" i="17" s="1"/>
  <c r="F28" i="6"/>
  <c r="W57" i="17"/>
  <c r="G32" i="6"/>
  <c r="V59" i="17"/>
  <c r="V117" i="17" s="1"/>
  <c r="U104" i="4"/>
  <c r="AE104" i="4" s="1"/>
  <c r="G27" i="6"/>
  <c r="V56" i="17"/>
  <c r="V116" i="17" s="1"/>
  <c r="AG12" i="6"/>
  <c r="X98" i="4"/>
  <c r="AE98" i="4" s="1"/>
  <c r="V103" i="4"/>
  <c r="Q85" i="6"/>
  <c r="Y112" i="17"/>
  <c r="W60" i="4"/>
  <c r="W107" i="4" s="1"/>
  <c r="X56" i="17"/>
  <c r="X116" i="17" s="1"/>
  <c r="G33" i="6"/>
  <c r="V60" i="17"/>
  <c r="N60" i="17" s="1"/>
  <c r="V85" i="6"/>
  <c r="D27" i="6"/>
  <c r="Y56" i="17"/>
  <c r="Y116" i="17" s="1"/>
  <c r="X109" i="17"/>
  <c r="R85" i="6"/>
  <c r="V100" i="4"/>
  <c r="W99" i="4"/>
  <c r="X85" i="6"/>
  <c r="U50" i="4"/>
  <c r="U65" i="4"/>
  <c r="U66" i="4"/>
  <c r="W80" i="6"/>
  <c r="U51" i="4"/>
  <c r="G137" i="2"/>
  <c r="V46" i="17"/>
  <c r="W103" i="17"/>
  <c r="U60" i="4"/>
  <c r="U107" i="4" s="1"/>
  <c r="W82" i="6"/>
  <c r="D145" i="2"/>
  <c r="W84" i="6" s="1"/>
  <c r="W81" i="6"/>
  <c r="W46" i="4"/>
  <c r="W102" i="4" s="1"/>
  <c r="E14" i="6"/>
  <c r="W51" i="4"/>
  <c r="E19" i="6"/>
  <c r="W50" i="4"/>
  <c r="E121" i="3"/>
  <c r="V84" i="6" s="1"/>
  <c r="V45" i="17"/>
  <c r="V112" i="17" s="1"/>
  <c r="X45" i="17"/>
  <c r="X112" i="17" s="1"/>
  <c r="X46" i="17"/>
  <c r="E27" i="6"/>
  <c r="Y37" i="4"/>
  <c r="J19" i="14"/>
  <c r="K19" i="14" s="1"/>
  <c r="L19" i="14" s="1"/>
  <c r="M19" i="14" s="1"/>
  <c r="N19" i="14" s="1"/>
  <c r="Y42" i="17"/>
  <c r="Y111" i="17" s="1"/>
  <c r="X46" i="4"/>
  <c r="X102" i="4" s="1"/>
  <c r="Y106" i="17"/>
  <c r="L20" i="17"/>
  <c r="N20" i="17"/>
  <c r="V6" i="4"/>
  <c r="F3" i="6"/>
  <c r="G11" i="6"/>
  <c r="U47" i="4"/>
  <c r="G5" i="6"/>
  <c r="U8" i="4"/>
  <c r="N44" i="17"/>
  <c r="L44" i="17"/>
  <c r="W4" i="6"/>
  <c r="D118" i="3"/>
  <c r="U80" i="6"/>
  <c r="J16" i="14"/>
  <c r="K16" i="14" s="1"/>
  <c r="L16" i="14" s="1"/>
  <c r="M16" i="14" s="1"/>
  <c r="N16" i="14" s="1"/>
  <c r="Y36" i="17"/>
  <c r="Y109" i="17" s="1"/>
  <c r="X40" i="4"/>
  <c r="X100" i="4" s="1"/>
  <c r="D11" i="6"/>
  <c r="Z42" i="17"/>
  <c r="Z111" i="17" s="1"/>
  <c r="K6" i="14"/>
  <c r="N28" i="17"/>
  <c r="L28" i="17"/>
  <c r="U61" i="4"/>
  <c r="G10" i="6"/>
  <c r="V42" i="17"/>
  <c r="V111" i="17" s="1"/>
  <c r="U46" i="4"/>
  <c r="U102" i="4" s="1"/>
  <c r="M80" i="3"/>
  <c r="V4" i="6"/>
  <c r="L61" i="17"/>
  <c r="N61" i="17"/>
  <c r="D107" i="2"/>
  <c r="D108" i="2"/>
  <c r="E118" i="5"/>
  <c r="T80" i="6"/>
  <c r="G3" i="6"/>
  <c r="U6" i="4"/>
  <c r="N48" i="17"/>
  <c r="L48" i="17"/>
  <c r="V40" i="17"/>
  <c r="V110" i="17" s="1"/>
  <c r="U44" i="4"/>
  <c r="G12" i="6"/>
  <c r="M80" i="7"/>
  <c r="T4" i="6"/>
  <c r="M104" i="2"/>
  <c r="D118" i="5"/>
  <c r="S80" i="6"/>
  <c r="X60" i="4"/>
  <c r="X107" i="4" s="1"/>
  <c r="X6" i="4"/>
  <c r="X2" i="4" s="1"/>
  <c r="D3" i="6"/>
  <c r="G9" i="6"/>
  <c r="V36" i="17"/>
  <c r="V109" i="17" s="1"/>
  <c r="U40" i="4"/>
  <c r="U100" i="4" s="1"/>
  <c r="M79" i="5"/>
  <c r="U3" i="6"/>
  <c r="V50" i="17"/>
  <c r="V114" i="17" s="1"/>
  <c r="U55" i="4"/>
  <c r="J14" i="14"/>
  <c r="K14" i="14" s="1"/>
  <c r="L14" i="14" s="1"/>
  <c r="M14" i="14" s="1"/>
  <c r="N14" i="14" s="1"/>
  <c r="Y33" i="17"/>
  <c r="X37" i="4"/>
  <c r="X99" i="4" s="1"/>
  <c r="D9" i="6"/>
  <c r="E145" i="2"/>
  <c r="X84" i="6" s="1"/>
  <c r="B112" i="9"/>
  <c r="M79" i="9"/>
  <c r="M80" i="9" s="1"/>
  <c r="S3" i="6"/>
  <c r="Y40" i="4"/>
  <c r="Z36" i="17"/>
  <c r="L32" i="17"/>
  <c r="N32" i="17"/>
  <c r="Y39" i="4"/>
  <c r="Z35" i="17"/>
  <c r="Y50" i="4"/>
  <c r="Z45" i="17"/>
  <c r="Z112" i="17" s="1"/>
  <c r="L43" i="17"/>
  <c r="N43" i="17"/>
  <c r="N49" i="17"/>
  <c r="L49" i="17"/>
  <c r="Y36" i="4"/>
  <c r="Y48" i="4"/>
  <c r="G68" i="6"/>
  <c r="D150" i="10"/>
  <c r="Y81" i="6"/>
  <c r="E150" i="10"/>
  <c r="Z81" i="6"/>
  <c r="X6" i="6"/>
  <c r="X5" i="6"/>
  <c r="G113" i="9"/>
  <c r="G107" i="7"/>
  <c r="W85" i="6" l="1"/>
  <c r="W103" i="4"/>
  <c r="X93" i="4"/>
  <c r="W93" i="4"/>
  <c r="Y103" i="4"/>
  <c r="AE107" i="4"/>
  <c r="U108" i="4"/>
  <c r="AE108" i="4" s="1"/>
  <c r="U105" i="4"/>
  <c r="AE105" i="4" s="1"/>
  <c r="U101" i="4"/>
  <c r="AE101" i="4" s="1"/>
  <c r="L59" i="17"/>
  <c r="Y99" i="4"/>
  <c r="AE99" i="4" s="1"/>
  <c r="Y93" i="4"/>
  <c r="Y2" i="4"/>
  <c r="N35" i="17"/>
  <c r="Z109" i="17"/>
  <c r="W2" i="4"/>
  <c r="Y100" i="4"/>
  <c r="AE100" i="4" s="1"/>
  <c r="U103" i="4"/>
  <c r="U2" i="4"/>
  <c r="U93" i="4"/>
  <c r="V93" i="4"/>
  <c r="V2" i="4"/>
  <c r="AE102" i="4"/>
  <c r="N57" i="17"/>
  <c r="N59" i="17"/>
  <c r="N42" i="17"/>
  <c r="W2" i="17"/>
  <c r="L45" i="17"/>
  <c r="L46" i="17"/>
  <c r="X103" i="17"/>
  <c r="N46" i="17"/>
  <c r="N45" i="17"/>
  <c r="L33" i="17"/>
  <c r="L50" i="17"/>
  <c r="L40" i="17"/>
  <c r="L42" i="17"/>
  <c r="L60" i="17"/>
  <c r="L57" i="17"/>
  <c r="X2" i="17"/>
  <c r="N40" i="17"/>
  <c r="N56" i="17"/>
  <c r="L56" i="17"/>
  <c r="N50" i="17"/>
  <c r="N33" i="17"/>
  <c r="L36" i="17"/>
  <c r="M81" i="7"/>
  <c r="T5" i="6"/>
  <c r="L6" i="14"/>
  <c r="K4" i="14"/>
  <c r="D119" i="3"/>
  <c r="U81" i="6"/>
  <c r="S4" i="6"/>
  <c r="V103" i="17"/>
  <c r="V2" i="17"/>
  <c r="D119" i="5"/>
  <c r="S81" i="6"/>
  <c r="M81" i="3"/>
  <c r="V5" i="6"/>
  <c r="Y103" i="17"/>
  <c r="Y2" i="17"/>
  <c r="W5" i="6"/>
  <c r="M105" i="2"/>
  <c r="W6" i="6" s="1"/>
  <c r="E119" i="5"/>
  <c r="T81" i="6"/>
  <c r="M80" i="5"/>
  <c r="U4" i="6"/>
  <c r="J4" i="14"/>
  <c r="N36" i="17"/>
  <c r="L35" i="17"/>
  <c r="X10" i="6"/>
  <c r="Z103" i="17"/>
  <c r="Z2" i="17"/>
  <c r="M81" i="9"/>
  <c r="S5" i="6"/>
  <c r="D151" i="10"/>
  <c r="Y83" i="6" s="1"/>
  <c r="Y85" i="6" s="1"/>
  <c r="Y82" i="6"/>
  <c r="E151" i="10"/>
  <c r="Z83" i="6" s="1"/>
  <c r="Z82" i="6"/>
  <c r="Z85" i="6" s="1"/>
  <c r="Q14" i="1"/>
  <c r="R14" i="1"/>
  <c r="S14" i="1"/>
  <c r="T14" i="1"/>
  <c r="U14" i="1"/>
  <c r="V14" i="1"/>
  <c r="W14" i="1"/>
  <c r="P14" i="1"/>
  <c r="Q13" i="1"/>
  <c r="R13" i="1"/>
  <c r="S13" i="1"/>
  <c r="T13" i="1"/>
  <c r="U13" i="1"/>
  <c r="V13" i="1"/>
  <c r="W13" i="1"/>
  <c r="P13" i="1"/>
  <c r="AE103" i="4" l="1"/>
  <c r="W10" i="6"/>
  <c r="V6" i="6"/>
  <c r="V10" i="6" s="1"/>
  <c r="D78" i="3"/>
  <c r="G78" i="3" s="1"/>
  <c r="T6" i="6"/>
  <c r="T10" i="6" s="1"/>
  <c r="D78" i="7"/>
  <c r="G78" i="7" s="1"/>
  <c r="M81" i="5"/>
  <c r="U6" i="6" s="1"/>
  <c r="U5" i="6"/>
  <c r="E120" i="5"/>
  <c r="T83" i="6" s="1"/>
  <c r="T82" i="6"/>
  <c r="D120" i="3"/>
  <c r="U83" i="6" s="1"/>
  <c r="U82" i="6"/>
  <c r="M6" i="14"/>
  <c r="L4" i="14"/>
  <c r="S10" i="6"/>
  <c r="D120" i="5"/>
  <c r="S83" i="6" s="1"/>
  <c r="S85" i="6" s="1"/>
  <c r="S82" i="6"/>
  <c r="D103" i="2"/>
  <c r="G103" i="2" s="1"/>
  <c r="D78" i="9"/>
  <c r="G78" i="9" s="1"/>
  <c r="D152" i="10"/>
  <c r="Y84" i="6" s="1"/>
  <c r="E152" i="10"/>
  <c r="Z84" i="6" s="1"/>
  <c r="O5" i="1"/>
  <c r="P5" i="1"/>
  <c r="P36" i="1" s="1"/>
  <c r="Q5" i="1"/>
  <c r="R5" i="1"/>
  <c r="S5" i="1"/>
  <c r="S36" i="1" s="1"/>
  <c r="T5" i="1"/>
  <c r="T36" i="1" s="1"/>
  <c r="F110" i="3"/>
  <c r="G111" i="3" s="1"/>
  <c r="G110" i="3"/>
  <c r="U85" i="6" l="1"/>
  <c r="T85" i="6"/>
  <c r="AD36" i="1"/>
  <c r="AE36" i="1"/>
  <c r="AB36" i="1"/>
  <c r="AC36" i="1"/>
  <c r="D78" i="5"/>
  <c r="G78" i="5" s="1"/>
  <c r="Z36" i="1"/>
  <c r="AA36" i="1"/>
  <c r="Q36" i="1"/>
  <c r="U10" i="6"/>
  <c r="R36" i="1"/>
  <c r="N6" i="14"/>
  <c r="N4" i="14" s="1"/>
  <c r="M4" i="14"/>
  <c r="E121" i="5"/>
  <c r="T84" i="6" s="1"/>
  <c r="Y36" i="1"/>
  <c r="U36" i="1"/>
  <c r="W36" i="1"/>
  <c r="V36" i="1"/>
  <c r="X36" i="1"/>
  <c r="D121" i="3"/>
  <c r="U84" i="6" s="1"/>
  <c r="D121" i="5"/>
  <c r="S84" i="6" s="1"/>
  <c r="B101" i="12"/>
  <c r="G107" i="12"/>
  <c r="B99" i="12"/>
  <c r="B104" i="12"/>
  <c r="D83" i="12"/>
  <c r="E83" i="12" l="1"/>
  <c r="B95" i="12"/>
  <c r="B86" i="12"/>
  <c r="B105" i="12"/>
  <c r="B100" i="12"/>
  <c r="B93" i="12"/>
  <c r="E107" i="12"/>
  <c r="B97" i="12"/>
  <c r="B102" i="12"/>
  <c r="B96" i="12"/>
  <c r="B90" i="12"/>
  <c r="B103" i="12"/>
  <c r="B92" i="12"/>
  <c r="B88" i="12"/>
  <c r="B87" i="12"/>
  <c r="G78" i="12"/>
  <c r="B94" i="12"/>
  <c r="B98" i="12"/>
  <c r="B89" i="12"/>
  <c r="B91" i="12"/>
  <c r="B106" i="12" l="1"/>
  <c r="B170" i="20"/>
  <c r="E171" i="20"/>
  <c r="B171" i="20" s="1"/>
  <c r="AD79" i="6"/>
  <c r="AD80" i="6"/>
  <c r="AD81" i="6" l="1"/>
  <c r="AD82" i="6" l="1"/>
  <c r="AD83" i="6"/>
  <c r="AD85" i="6" l="1"/>
  <c r="E184" i="20"/>
  <c r="AD84" i="6" s="1"/>
  <c r="G171" i="20" l="1"/>
  <c r="G180" i="27"/>
  <c r="E180" i="27"/>
  <c r="B180" i="27" s="1"/>
  <c r="B179"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 Buhl</author>
    <author>Bruger</author>
  </authors>
  <commentList>
    <comment ref="L1" authorId="0" shapeId="0" xr:uid="{A38C37D7-663E-4E5D-94ED-C66388582646}">
      <text>
        <r>
          <rPr>
            <b/>
            <sz val="9"/>
            <color indexed="81"/>
            <rFont val="Tahoma"/>
            <family val="2"/>
          </rPr>
          <t>Thomas Buhl:</t>
        </r>
        <r>
          <rPr>
            <sz val="9"/>
            <color indexed="81"/>
            <rFont val="Tahoma"/>
            <family val="2"/>
          </rPr>
          <t xml:space="preserve">
PO=Performance Optimized</t>
        </r>
      </text>
    </comment>
    <comment ref="AB3" authorId="1" shapeId="0" xr:uid="{A5054810-7C2A-430D-A756-A35D98DB1080}">
      <text>
        <r>
          <rPr>
            <b/>
            <sz val="9"/>
            <color indexed="81"/>
            <rFont val="Tahoma"/>
            <family val="2"/>
          </rPr>
          <t>Bruger:</t>
        </r>
        <r>
          <rPr>
            <sz val="9"/>
            <color indexed="81"/>
            <rFont val="Tahoma"/>
            <family val="2"/>
          </rPr>
          <t xml:space="preserve">
project completed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49059BA2-0A43-44F0-AC0B-2D1DB0AC0B77}">
      <text>
        <r>
          <rPr>
            <b/>
            <sz val="9"/>
            <color indexed="81"/>
            <rFont val="Tahoma"/>
            <family val="2"/>
          </rPr>
          <t>Thomas Buhl:</t>
        </r>
        <r>
          <rPr>
            <sz val="9"/>
            <color indexed="81"/>
            <rFont val="Tahoma"/>
            <family val="2"/>
          </rPr>
          <t xml:space="preserve">
PO=Performance Optimized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9EF6BBE6-E835-4819-8E1D-DD7EBA3E9B1E}">
      <text>
        <r>
          <rPr>
            <b/>
            <sz val="9"/>
            <color indexed="81"/>
            <rFont val="Tahoma"/>
            <family val="2"/>
          </rPr>
          <t>Thomas Buhl:</t>
        </r>
        <r>
          <rPr>
            <sz val="9"/>
            <color indexed="81"/>
            <rFont val="Tahoma"/>
            <family val="2"/>
          </rPr>
          <t xml:space="preserve">
PO=Performance Optimized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4C5BFEF9-29FA-4C75-8BC9-4A3A63F5BD5D}">
      <text>
        <r>
          <rPr>
            <b/>
            <sz val="9"/>
            <color indexed="81"/>
            <rFont val="Tahoma"/>
            <family val="2"/>
          </rPr>
          <t>Thomas Buhl:</t>
        </r>
        <r>
          <rPr>
            <sz val="9"/>
            <color indexed="81"/>
            <rFont val="Tahoma"/>
            <family val="2"/>
          </rPr>
          <t xml:space="preserve">
PO=Performance Optimized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71A89811-7D96-4E54-B8FB-5A457C1D36C2}">
      <text>
        <r>
          <rPr>
            <b/>
            <sz val="9"/>
            <color indexed="81"/>
            <rFont val="Tahoma"/>
            <family val="2"/>
          </rPr>
          <t>Thomas Buhl:</t>
        </r>
        <r>
          <rPr>
            <sz val="9"/>
            <color indexed="81"/>
            <rFont val="Tahoma"/>
            <family val="2"/>
          </rPr>
          <t xml:space="preserve">
PO=Performance Optimized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F5A94B67-255A-480A-BC0E-A6A9BC61C35F}">
      <text>
        <r>
          <rPr>
            <b/>
            <sz val="9"/>
            <color indexed="81"/>
            <rFont val="Tahoma"/>
            <family val="2"/>
          </rPr>
          <t>Thomas Buhl:</t>
        </r>
        <r>
          <rPr>
            <sz val="9"/>
            <color indexed="81"/>
            <rFont val="Tahoma"/>
            <family val="2"/>
          </rPr>
          <t xml:space="preserve">
PO=Performance Optimized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Thomas Buhl</author>
    <author>Bruger</author>
  </authors>
  <commentList>
    <comment ref="L1" authorId="0" shapeId="0" xr:uid="{49E3B52E-8859-4396-B2BE-6C17E9F02995}">
      <text>
        <r>
          <rPr>
            <b/>
            <sz val="9"/>
            <color indexed="81"/>
            <rFont val="Tahoma"/>
            <family val="2"/>
          </rPr>
          <t>Thomas Buhl:</t>
        </r>
        <r>
          <rPr>
            <sz val="9"/>
            <color indexed="81"/>
            <rFont val="Tahoma"/>
            <family val="2"/>
          </rPr>
          <t xml:space="preserve">
PO=Performance Optimized</t>
        </r>
      </text>
    </comment>
    <comment ref="AB42" authorId="1" shapeId="0" xr:uid="{5324497F-07DA-4CCB-B8DF-46066D76FDBF}">
      <text>
        <r>
          <rPr>
            <b/>
            <sz val="9"/>
            <color indexed="81"/>
            <rFont val="Tahoma"/>
            <family val="2"/>
          </rPr>
          <t>Bruger:</t>
        </r>
        <r>
          <rPr>
            <sz val="9"/>
            <color indexed="81"/>
            <rFont val="Tahoma"/>
            <family val="2"/>
          </rPr>
          <t xml:space="preserve">
project completed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6236A40F-1E06-4842-85E8-E74907CC13D6}">
      <text>
        <r>
          <rPr>
            <b/>
            <sz val="9"/>
            <color indexed="81"/>
            <rFont val="Tahoma"/>
            <family val="2"/>
          </rPr>
          <t>Thomas Buhl:</t>
        </r>
        <r>
          <rPr>
            <sz val="9"/>
            <color indexed="81"/>
            <rFont val="Tahoma"/>
            <family val="2"/>
          </rPr>
          <t xml:space="preserve">
PO=Performance Optimized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M1" authorId="0" shapeId="0" xr:uid="{00000000-0006-0000-0200-000001000000}">
      <text>
        <r>
          <rPr>
            <b/>
            <sz val="9"/>
            <color indexed="81"/>
            <rFont val="Tahoma"/>
            <family val="2"/>
          </rPr>
          <t>Thomas Buhl:</t>
        </r>
        <r>
          <rPr>
            <sz val="9"/>
            <color indexed="81"/>
            <rFont val="Tahoma"/>
            <family val="2"/>
          </rPr>
          <t xml:space="preserve">
PO=Performance Optimized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00000000-0006-0000-0300-000001000000}">
      <text>
        <r>
          <rPr>
            <b/>
            <sz val="9"/>
            <color indexed="81"/>
            <rFont val="Tahoma"/>
            <family val="2"/>
          </rPr>
          <t>Thomas Buhl:</t>
        </r>
        <r>
          <rPr>
            <sz val="9"/>
            <color indexed="81"/>
            <rFont val="Tahoma"/>
            <family val="2"/>
          </rPr>
          <t xml:space="preserve">
PO=Performance Optimized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00000000-0006-0000-0400-000001000000}">
      <text>
        <r>
          <rPr>
            <b/>
            <sz val="9"/>
            <color indexed="81"/>
            <rFont val="Tahoma"/>
            <family val="2"/>
          </rPr>
          <t>Thomas Buhl:</t>
        </r>
        <r>
          <rPr>
            <sz val="9"/>
            <color indexed="81"/>
            <rFont val="Tahoma"/>
            <family val="2"/>
          </rPr>
          <t xml:space="preserve">
PO=Performance Optimized</t>
        </r>
      </text>
    </comment>
    <comment ref="F89" authorId="0" shapeId="0" xr:uid="{00000000-0006-0000-0400-000002000000}">
      <text>
        <r>
          <rPr>
            <b/>
            <sz val="9"/>
            <color indexed="81"/>
            <rFont val="Tahoma"/>
            <family val="2"/>
          </rPr>
          <t>Thomas Buhl:</t>
        </r>
        <r>
          <rPr>
            <sz val="9"/>
            <color indexed="81"/>
            <rFont val="Tahoma"/>
            <family val="2"/>
          </rPr>
          <t xml:space="preserve">
one site is 20y the other 15y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00000000-0006-0000-0500-000001000000}">
      <text>
        <r>
          <rPr>
            <b/>
            <sz val="9"/>
            <color indexed="81"/>
            <rFont val="Tahoma"/>
            <family val="2"/>
          </rPr>
          <t>Thomas Buhl:</t>
        </r>
        <r>
          <rPr>
            <sz val="9"/>
            <color indexed="81"/>
            <rFont val="Tahoma"/>
            <family val="2"/>
          </rPr>
          <t xml:space="preserve">
PO=Performance Optimized</t>
        </r>
      </text>
    </comment>
    <comment ref="F6" authorId="0" shapeId="0" xr:uid="{00000000-0006-0000-0500-000002000000}">
      <text>
        <r>
          <rPr>
            <b/>
            <sz val="9"/>
            <color indexed="81"/>
            <rFont val="Tahoma"/>
            <family val="2"/>
          </rPr>
          <t>Thomas Buhl:</t>
        </r>
        <r>
          <rPr>
            <sz val="9"/>
            <color indexed="81"/>
            <rFont val="Tahoma"/>
            <family val="2"/>
          </rPr>
          <t xml:space="preserve">
also 20 y service and support agreement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00000000-0006-0000-0600-000001000000}">
      <text>
        <r>
          <rPr>
            <b/>
            <sz val="9"/>
            <color indexed="81"/>
            <rFont val="Tahoma"/>
            <family val="2"/>
          </rPr>
          <t>Thomas Buhl:</t>
        </r>
        <r>
          <rPr>
            <sz val="9"/>
            <color indexed="81"/>
            <rFont val="Tahoma"/>
            <family val="2"/>
          </rPr>
          <t xml:space="preserve">
PO=Performance Optimized</t>
        </r>
      </text>
    </comment>
    <comment ref="F41" authorId="0" shapeId="0" xr:uid="{00000000-0006-0000-0600-000002000000}">
      <text>
        <r>
          <rPr>
            <b/>
            <sz val="9"/>
            <color indexed="81"/>
            <rFont val="Tahoma"/>
            <family val="2"/>
          </rPr>
          <t>Thomas Buhl:</t>
        </r>
        <r>
          <rPr>
            <sz val="9"/>
            <color indexed="81"/>
            <rFont val="Tahoma"/>
            <family val="2"/>
          </rPr>
          <t xml:space="preserve">
AEP=76.6GWh (according to contract)</t>
        </r>
      </text>
    </comment>
    <comment ref="F69" authorId="0" shapeId="0" xr:uid="{00000000-0006-0000-0600-000003000000}">
      <text>
        <r>
          <rPr>
            <b/>
            <sz val="9"/>
            <color indexed="81"/>
            <rFont val="Tahoma"/>
            <family val="2"/>
          </rPr>
          <t>Thomas Buhl:</t>
        </r>
        <r>
          <rPr>
            <sz val="9"/>
            <color indexed="81"/>
            <rFont val="Tahoma"/>
            <family val="2"/>
          </rPr>
          <t xml:space="preserve">
AEP=85GWh pr contract</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00000000-0006-0000-0700-000001000000}">
      <text>
        <r>
          <rPr>
            <b/>
            <sz val="9"/>
            <color indexed="81"/>
            <rFont val="Tahoma"/>
            <family val="2"/>
          </rPr>
          <t>Thomas Buhl:</t>
        </r>
        <r>
          <rPr>
            <sz val="9"/>
            <color indexed="81"/>
            <rFont val="Tahoma"/>
            <family val="2"/>
          </rPr>
          <t xml:space="preserve">
PO=Performance Optimized</t>
        </r>
      </text>
    </comment>
    <comment ref="F5" authorId="0" shapeId="0" xr:uid="{00000000-0006-0000-0700-000002000000}">
      <text>
        <r>
          <rPr>
            <b/>
            <sz val="9"/>
            <color indexed="81"/>
            <rFont val="Tahoma"/>
            <family val="2"/>
          </rPr>
          <t>Thomas Buhl:</t>
        </r>
        <r>
          <rPr>
            <sz val="9"/>
            <color indexed="81"/>
            <rFont val="Tahoma"/>
            <family val="2"/>
          </rPr>
          <t xml:space="preserve">
extendable to 10y
</t>
        </r>
      </text>
    </comment>
    <comment ref="F16" authorId="0" shapeId="0" xr:uid="{00000000-0006-0000-0700-000003000000}">
      <text>
        <r>
          <rPr>
            <b/>
            <sz val="9"/>
            <color indexed="81"/>
            <rFont val="Tahoma"/>
            <family val="2"/>
          </rPr>
          <t>Thomas Buhl:</t>
        </r>
        <r>
          <rPr>
            <sz val="9"/>
            <color indexed="81"/>
            <rFont val="Tahoma"/>
            <family val="2"/>
          </rPr>
          <t xml:space="preserve">
150GWh</t>
        </r>
      </text>
    </comment>
    <comment ref="F39" authorId="0" shapeId="0" xr:uid="{00000000-0006-0000-0700-000004000000}">
      <text>
        <r>
          <rPr>
            <b/>
            <sz val="9"/>
            <color indexed="81"/>
            <rFont val="Tahoma"/>
            <family val="2"/>
          </rPr>
          <t>Thomas Buhl:</t>
        </r>
        <r>
          <rPr>
            <sz val="9"/>
            <color indexed="81"/>
            <rFont val="Tahoma"/>
            <family val="2"/>
          </rPr>
          <t xml:space="preserve">
227GWh</t>
        </r>
      </text>
    </comment>
    <comment ref="F43" authorId="0" shapeId="0" xr:uid="{00000000-0006-0000-0700-000005000000}">
      <text>
        <r>
          <rPr>
            <b/>
            <sz val="9"/>
            <color indexed="81"/>
            <rFont val="Tahoma"/>
            <family val="2"/>
          </rPr>
          <t>Thomas Buhl:</t>
        </r>
        <r>
          <rPr>
            <sz val="9"/>
            <color indexed="81"/>
            <rFont val="Tahoma"/>
            <family val="2"/>
          </rPr>
          <t xml:space="preserve">
131GWh</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00000000-0006-0000-0800-000001000000}">
      <text>
        <r>
          <rPr>
            <b/>
            <sz val="9"/>
            <color indexed="81"/>
            <rFont val="Tahoma"/>
            <family val="2"/>
          </rPr>
          <t>Thomas Buhl:</t>
        </r>
        <r>
          <rPr>
            <sz val="9"/>
            <color indexed="81"/>
            <rFont val="Tahoma"/>
            <family val="2"/>
          </rPr>
          <t xml:space="preserve">
PO=Performance Optimized</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00000000-0006-0000-0900-000001000000}">
      <text>
        <r>
          <rPr>
            <b/>
            <sz val="9"/>
            <color indexed="81"/>
            <rFont val="Tahoma"/>
            <family val="2"/>
          </rPr>
          <t>Thomas Buhl:</t>
        </r>
        <r>
          <rPr>
            <sz val="9"/>
            <color indexed="81"/>
            <rFont val="Tahoma"/>
            <family val="2"/>
          </rPr>
          <t xml:space="preserve">
PO=Performance Optimized</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00000000-0006-0000-0A00-000001000000}">
      <text>
        <r>
          <rPr>
            <b/>
            <sz val="9"/>
            <color indexed="81"/>
            <rFont val="Tahoma"/>
            <family val="2"/>
          </rPr>
          <t>Thomas Buhl:</t>
        </r>
        <r>
          <rPr>
            <sz val="9"/>
            <color indexed="81"/>
            <rFont val="Tahoma"/>
            <family val="2"/>
          </rPr>
          <t xml:space="preserve">
PO=Performance Optimized</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00000000-0006-0000-0B00-000001000000}">
      <text>
        <r>
          <rPr>
            <b/>
            <sz val="9"/>
            <color indexed="81"/>
            <rFont val="Tahoma"/>
            <family val="2"/>
          </rPr>
          <t>Thomas Buhl:</t>
        </r>
        <r>
          <rPr>
            <sz val="9"/>
            <color indexed="81"/>
            <rFont val="Tahoma"/>
            <family val="2"/>
          </rPr>
          <t xml:space="preserve">
PO=Performance Optimized</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00000000-0006-0000-0C00-000001000000}">
      <text>
        <r>
          <rPr>
            <b/>
            <sz val="9"/>
            <color indexed="81"/>
            <rFont val="Tahoma"/>
            <family val="2"/>
          </rPr>
          <t>Thomas Buhl:</t>
        </r>
        <r>
          <rPr>
            <sz val="9"/>
            <color indexed="81"/>
            <rFont val="Tahoma"/>
            <family val="2"/>
          </rPr>
          <t xml:space="preserve">
PO=Performance Optimized</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Thomas Buhl</author>
  </authors>
  <commentList>
    <comment ref="L1" authorId="0" shapeId="0" xr:uid="{00000000-0006-0000-0D00-000001000000}">
      <text>
        <r>
          <rPr>
            <b/>
            <sz val="9"/>
            <color indexed="81"/>
            <rFont val="Tahoma"/>
            <family val="2"/>
          </rPr>
          <t>Thomas Buhl:</t>
        </r>
        <r>
          <rPr>
            <sz val="9"/>
            <color indexed="81"/>
            <rFont val="Tahoma"/>
            <family val="2"/>
          </rPr>
          <t xml:space="preserve">
PO=Performance Optimized</t>
        </r>
      </text>
    </comment>
  </commentList>
</comments>
</file>

<file path=xl/sharedStrings.xml><?xml version="1.0" encoding="utf-8"?>
<sst xmlns="http://schemas.openxmlformats.org/spreadsheetml/2006/main" count="10493" uniqueCount="2092">
  <si>
    <t>Order backlog – wind turbines (bnEUR)</t>
  </si>
  <si>
    <t>Order backlog – service (bnEUR)</t>
  </si>
  <si>
    <t>gross profit</t>
  </si>
  <si>
    <t>revenue (mEUR)</t>
  </si>
  <si>
    <t>employees:</t>
  </si>
  <si>
    <t>sales</t>
  </si>
  <si>
    <t>Others</t>
  </si>
  <si>
    <t>Order intake (bnEUR)</t>
  </si>
  <si>
    <t>average # employees</t>
  </si>
  <si>
    <t>EOY employees</t>
  </si>
  <si>
    <t>Order inkake (MW)</t>
  </si>
  <si>
    <t>Manufacturing and sourcing</t>
  </si>
  <si>
    <t>sales of projects</t>
  </si>
  <si>
    <t>sales of service</t>
  </si>
  <si>
    <t>WT order backlog/sold GW</t>
  </si>
  <si>
    <t>Service order backlog/sold GW</t>
  </si>
  <si>
    <t>Mongoliet</t>
  </si>
  <si>
    <t>Engie</t>
  </si>
  <si>
    <t>Ej oplyst</t>
  </si>
  <si>
    <t>F21</t>
  </si>
  <si>
    <t>USA</t>
  </si>
  <si>
    <t>Copenhagen Infrastructure Partners</t>
  </si>
  <si>
    <t>Serveone</t>
  </si>
  <si>
    <t>Midamerican</t>
  </si>
  <si>
    <t>Irland</t>
  </si>
  <si>
    <t>ABO Wind</t>
  </si>
  <si>
    <t>Arise</t>
  </si>
  <si>
    <t>Argentina</t>
  </si>
  <si>
    <t>PetroquÃ­mica Comodoro Rivadavia</t>
  </si>
  <si>
    <t>EDF Renewable Energy</t>
  </si>
  <si>
    <t>Tilt Renewables</t>
  </si>
  <si>
    <t>APG Group og Vasa Vind</t>
  </si>
  <si>
    <t>Bel Lavello Vigi</t>
  </si>
  <si>
    <t>Tozzi Sud</t>
  </si>
  <si>
    <t>Mexico</t>
  </si>
  <si>
    <t>Grupo Frali</t>
  </si>
  <si>
    <t>Atria Brindavan Power</t>
  </si>
  <si>
    <t>Spanien</t>
  </si>
  <si>
    <t>Gas Natural Fenosa</t>
  </si>
  <si>
    <t>HECIC-New Energy</t>
  </si>
  <si>
    <t>Energie Burgenland</t>
  </si>
  <si>
    <t>Watsun Infra Private</t>
  </si>
  <si>
    <t>Chile</t>
  </si>
  <si>
    <t>Vientos de Renaico</t>
  </si>
  <si>
    <t>Petroquimica Comodoro</t>
  </si>
  <si>
    <t>Canada</t>
  </si>
  <si>
    <t>Pattern Energy</t>
  </si>
  <si>
    <t>Avangrid</t>
  </si>
  <si>
    <t>Aluar Aluminio</t>
  </si>
  <si>
    <t>Total-EREN</t>
  </si>
  <si>
    <t>Eolus</t>
  </si>
  <si>
    <t>Capital Power</t>
  </si>
  <si>
    <t>Jiangsu Sinojit</t>
  </si>
  <si>
    <t>Energie Baden-WÃ¼rttemberg</t>
  </si>
  <si>
    <t>WEB Windenergie</t>
  </si>
  <si>
    <t>OOO Fortum</t>
  </si>
  <si>
    <t>Ebert Erneuerbare Energien</t>
  </si>
  <si>
    <t>Flat Top Wind</t>
  </si>
  <si>
    <t>Vasa Vind</t>
  </si>
  <si>
    <t>Wales</t>
  </si>
  <si>
    <t>Innogy</t>
  </si>
  <si>
    <t>Thailand</t>
  </si>
  <si>
    <t>Ikke oplyst</t>
  </si>
  <si>
    <t>Windlab</t>
  </si>
  <si>
    <t>Energieprojekte Eichsfeld</t>
  </si>
  <si>
    <t>Echoenergia</t>
  </si>
  <si>
    <t>Den Dominikanske Republik</t>
  </si>
  <si>
    <t>Elecnor</t>
  </si>
  <si>
    <t>OX2</t>
  </si>
  <si>
    <t>Ukraine</t>
  </si>
  <si>
    <t>Vindkraft Tavriya</t>
  </si>
  <si>
    <t>Uhl Windkraft</t>
  </si>
  <si>
    <t>Eltech Anemos</t>
  </si>
  <si>
    <t>Imwind</t>
  </si>
  <si>
    <t>Holland</t>
  </si>
  <si>
    <t>Eneco</t>
  </si>
  <si>
    <t>Ostro Kutch PPL</t>
  </si>
  <si>
    <t>BKW Energie</t>
  </si>
  <si>
    <t>China Datang Corporation Renewable Power Co.</t>
  </si>
  <si>
    <t>Looft-Schmidt</t>
  </si>
  <si>
    <t>Fortum</t>
  </si>
  <si>
    <t>Genneia</t>
  </si>
  <si>
    <t>Protergia</t>
  </si>
  <si>
    <t>Greenwind</t>
  </si>
  <si>
    <t>Evn Naturkraft</t>
  </si>
  <si>
    <t>Southern Power</t>
  </si>
  <si>
    <t>date</t>
  </si>
  <si>
    <t>country</t>
  </si>
  <si>
    <t>size [MW]</t>
  </si>
  <si>
    <t>customer</t>
  </si>
  <si>
    <t>platform</t>
  </si>
  <si>
    <t>#</t>
  </si>
  <si>
    <t>2MW</t>
  </si>
  <si>
    <t>AOM4000</t>
  </si>
  <si>
    <t>AOM5000</t>
  </si>
  <si>
    <t>?</t>
  </si>
  <si>
    <t>Zuma Energia</t>
  </si>
  <si>
    <t>Compañía Eólica Vicente Guerrero SA</t>
  </si>
  <si>
    <t>Service scheme</t>
  </si>
  <si>
    <t>yes</t>
  </si>
  <si>
    <t>Service time  [years]</t>
  </si>
  <si>
    <t>Tower height</t>
  </si>
  <si>
    <t>15-20</t>
  </si>
  <si>
    <t>special mode</t>
  </si>
  <si>
    <t>PO 3.6</t>
  </si>
  <si>
    <t>Multi platform</t>
  </si>
  <si>
    <t>V126-3.3MW</t>
  </si>
  <si>
    <t>Multi towerH</t>
  </si>
  <si>
    <t>V136-3.45MW</t>
  </si>
  <si>
    <t>V126-3.45MW</t>
  </si>
  <si>
    <t>V110-2.0MW</t>
  </si>
  <si>
    <t>V112-3.3MW</t>
  </si>
  <si>
    <t>V112-3.45MW</t>
  </si>
  <si>
    <t>V100-2.0MW</t>
  </si>
  <si>
    <t>V105-3.45MW</t>
  </si>
  <si>
    <t>V117-3.45MW</t>
  </si>
  <si>
    <t>PO 2.2</t>
  </si>
  <si>
    <t>V136-3.0MW</t>
  </si>
  <si>
    <t>V136-3.6MW</t>
  </si>
  <si>
    <t>V110-2.2MW</t>
  </si>
  <si>
    <t>V126-3.6MW</t>
  </si>
  <si>
    <t>V136-4.2MW</t>
  </si>
  <si>
    <t>V116-2.0MW</t>
  </si>
  <si>
    <t>3.6 PO-&gt;3.8PO</t>
  </si>
  <si>
    <t>Counters</t>
  </si>
  <si>
    <t># of sites</t>
  </si>
  <si>
    <t>average length AOM5000</t>
  </si>
  <si>
    <t>average length AOM4000</t>
  </si>
  <si>
    <t>% of confirmed Energy yield SC</t>
  </si>
  <si>
    <t># MW</t>
  </si>
  <si>
    <t>MW</t>
  </si>
  <si>
    <t>Rotor</t>
  </si>
  <si>
    <t>3MW PL</t>
  </si>
  <si>
    <t>2MW PL</t>
  </si>
  <si>
    <t>4MW PL</t>
  </si>
  <si>
    <t># sites</t>
  </si>
  <si>
    <t># Power optimized sites</t>
  </si>
  <si>
    <t>India</t>
  </si>
  <si>
    <t>Germany</t>
  </si>
  <si>
    <t>Norway</t>
  </si>
  <si>
    <t>Sweden</t>
  </si>
  <si>
    <t>Brazil</t>
  </si>
  <si>
    <t>China</t>
  </si>
  <si>
    <t>Russia</t>
  </si>
  <si>
    <t>Australia</t>
  </si>
  <si>
    <t>Austria</t>
  </si>
  <si>
    <t>Italy</t>
  </si>
  <si>
    <t>South Korea</t>
  </si>
  <si>
    <t>Greece</t>
  </si>
  <si>
    <t>Country</t>
  </si>
  <si>
    <t>Services Counters</t>
  </si>
  <si>
    <t>20.01.16</t>
  </si>
  <si>
    <t>28.01.16</t>
  </si>
  <si>
    <t>04.02.16</t>
  </si>
  <si>
    <t>11.02.16</t>
  </si>
  <si>
    <t>23.02.16</t>
  </si>
  <si>
    <t>29.02.16</t>
  </si>
  <si>
    <t>01.03.16</t>
  </si>
  <si>
    <t>15.03.16</t>
  </si>
  <si>
    <t>18.03.16</t>
  </si>
  <si>
    <t>31.03.16</t>
  </si>
  <si>
    <t>Poland</t>
  </si>
  <si>
    <t>Ireland</t>
  </si>
  <si>
    <t>Denmark</t>
  </si>
  <si>
    <t>Uruguay</t>
  </si>
  <si>
    <t>UK</t>
  </si>
  <si>
    <t>Spain</t>
  </si>
  <si>
    <t>04.04.16</t>
  </si>
  <si>
    <t>28.04.16</t>
  </si>
  <si>
    <t>04.05.16</t>
  </si>
  <si>
    <t>31.05.16</t>
  </si>
  <si>
    <t>15.06.16</t>
  </si>
  <si>
    <t>27.06.16</t>
  </si>
  <si>
    <t>29.06.16</t>
  </si>
  <si>
    <t>30.06.16</t>
  </si>
  <si>
    <t>Vietnam</t>
  </si>
  <si>
    <t>Turkey</t>
  </si>
  <si>
    <t>15.07.16</t>
  </si>
  <si>
    <t>02.08.16</t>
  </si>
  <si>
    <t>08.08.16</t>
  </si>
  <si>
    <t>10.08.16</t>
  </si>
  <si>
    <t>11.08.16</t>
  </si>
  <si>
    <t>19.08.16</t>
  </si>
  <si>
    <t>23.09.16</t>
  </si>
  <si>
    <t>29.09.16</t>
  </si>
  <si>
    <t>30.09.16</t>
  </si>
  <si>
    <t>Morocco</t>
  </si>
  <si>
    <t>Mongolia</t>
  </si>
  <si>
    <t>14.10.16</t>
  </si>
  <si>
    <t>25.10.16</t>
  </si>
  <si>
    <t>14.11.16</t>
  </si>
  <si>
    <t>24.11.16</t>
  </si>
  <si>
    <t>30.11.16</t>
  </si>
  <si>
    <t>01.12.16</t>
  </si>
  <si>
    <t>07.12.16</t>
  </si>
  <si>
    <t>08.12.16</t>
  </si>
  <si>
    <t>12.12.16</t>
  </si>
  <si>
    <t>16.12.16</t>
  </si>
  <si>
    <t>19.12.16</t>
  </si>
  <si>
    <t>20.12.16</t>
  </si>
  <si>
    <t>21.12.16</t>
  </si>
  <si>
    <t>22.12.16</t>
  </si>
  <si>
    <t>23.12.16</t>
  </si>
  <si>
    <t>28.12.16</t>
  </si>
  <si>
    <t>29.12.16</t>
  </si>
  <si>
    <t>30.12.16</t>
  </si>
  <si>
    <t>France</t>
  </si>
  <si>
    <t>Jordan</t>
  </si>
  <si>
    <t>Honduras</t>
  </si>
  <si>
    <t>Energix Renewable Energies Ltd</t>
  </si>
  <si>
    <t>Eolus Vind AB</t>
  </si>
  <si>
    <t>IMPAX</t>
  </si>
  <si>
    <t>AOM</t>
  </si>
  <si>
    <t>Forsen Vind</t>
  </si>
  <si>
    <t>PO 3.6MW</t>
  </si>
  <si>
    <t>Hogager</t>
  </si>
  <si>
    <t>PO 2.2MW</t>
  </si>
  <si>
    <t>Cobra</t>
  </si>
  <si>
    <t>Finnmark Kraft</t>
  </si>
  <si>
    <t>KG</t>
  </si>
  <si>
    <t>EDF</t>
  </si>
  <si>
    <t>Datang</t>
  </si>
  <si>
    <t>V100-1.8MW</t>
  </si>
  <si>
    <t>Capital Power Coo</t>
  </si>
  <si>
    <t>V117-3.3MW</t>
  </si>
  <si>
    <t>Longyuan Power</t>
  </si>
  <si>
    <t>Tan Hoan</t>
  </si>
  <si>
    <t>CNI</t>
  </si>
  <si>
    <t>Xcel</t>
  </si>
  <si>
    <t>RethWisch</t>
  </si>
  <si>
    <t>Elfa</t>
  </si>
  <si>
    <t>Rabbalshede</t>
  </si>
  <si>
    <t>3MW</t>
  </si>
  <si>
    <t>V90-3.0MW</t>
  </si>
  <si>
    <t>E.ON</t>
  </si>
  <si>
    <t>Raskifte</t>
  </si>
  <si>
    <t>Sempra</t>
  </si>
  <si>
    <t>MidAmerica</t>
  </si>
  <si>
    <t>Green Wind Energy</t>
  </si>
  <si>
    <t>Clean Energy Asia</t>
  </si>
  <si>
    <t>CGN Wind</t>
  </si>
  <si>
    <t>Gestamp</t>
  </si>
  <si>
    <t>Windlab ltd</t>
  </si>
  <si>
    <t>Mt Emerald Wind Farm</t>
  </si>
  <si>
    <t>V90-2.0MW</t>
  </si>
  <si>
    <t>SWF</t>
  </si>
  <si>
    <t>GS Yeongyang Windpower</t>
  </si>
  <si>
    <t>SSE Plc</t>
  </si>
  <si>
    <t>KEPCO</t>
  </si>
  <si>
    <t>EPC</t>
  </si>
  <si>
    <t>Bürger-Windpark</t>
  </si>
  <si>
    <t>BHE Renewables</t>
  </si>
  <si>
    <t>Karpatenwind</t>
  </si>
  <si>
    <t>Avangrid Renewables</t>
  </si>
  <si>
    <t>Huadian</t>
  </si>
  <si>
    <t>&lt;2MW PL</t>
  </si>
  <si>
    <t>14.01.15</t>
  </si>
  <si>
    <t>21.01.15</t>
  </si>
  <si>
    <t>29.01.15</t>
  </si>
  <si>
    <t>02.02.15</t>
  </si>
  <si>
    <t>03.02.15</t>
  </si>
  <si>
    <t>04.02.15</t>
  </si>
  <si>
    <t>10.02.15</t>
  </si>
  <si>
    <t>13.02.15</t>
  </si>
  <si>
    <t>19.02.15</t>
  </si>
  <si>
    <t>06.03.15</t>
  </si>
  <si>
    <t>10.03.15</t>
  </si>
  <si>
    <t>19.03.15</t>
  </si>
  <si>
    <t>20.03.15</t>
  </si>
  <si>
    <t>25.03.15</t>
  </si>
  <si>
    <t>26.03.15</t>
  </si>
  <si>
    <t>31.03.15</t>
  </si>
  <si>
    <t>28.04.15</t>
  </si>
  <si>
    <t>30.04.15</t>
  </si>
  <si>
    <t>04.05.15</t>
  </si>
  <si>
    <t>05.05.15</t>
  </si>
  <si>
    <t>08.05.15</t>
  </si>
  <si>
    <t>18.05.15</t>
  </si>
  <si>
    <t>25.05.15</t>
  </si>
  <si>
    <t>27.05.15</t>
  </si>
  <si>
    <t>28.05.15</t>
  </si>
  <si>
    <t>04.06.15</t>
  </si>
  <si>
    <t>25.06.15</t>
  </si>
  <si>
    <t>26.06.15</t>
  </si>
  <si>
    <t>28.06.15</t>
  </si>
  <si>
    <t>29.06.15</t>
  </si>
  <si>
    <t>30.06.15</t>
  </si>
  <si>
    <t>10.07.15</t>
  </si>
  <si>
    <t>16.07.15</t>
  </si>
  <si>
    <t>22.07.15</t>
  </si>
  <si>
    <t>11.08.15</t>
  </si>
  <si>
    <t>24.08.15</t>
  </si>
  <si>
    <t>26.08.15</t>
  </si>
  <si>
    <t>27.08.15</t>
  </si>
  <si>
    <t>28.08.15</t>
  </si>
  <si>
    <t>01.09.15</t>
  </si>
  <si>
    <t>02.09.15</t>
  </si>
  <si>
    <t>04.09.15</t>
  </si>
  <si>
    <t>11.09.15</t>
  </si>
  <si>
    <t>15.09.15</t>
  </si>
  <si>
    <t>29.09.15</t>
  </si>
  <si>
    <t>30.09.15</t>
  </si>
  <si>
    <t>15.10.15</t>
  </si>
  <si>
    <t>26.10.15</t>
  </si>
  <si>
    <t>27.10.15</t>
  </si>
  <si>
    <t>06.11.15</t>
  </si>
  <si>
    <t>09.11.15</t>
  </si>
  <si>
    <t>13.11.15</t>
  </si>
  <si>
    <t>23.11.15</t>
  </si>
  <si>
    <t>30.11.15</t>
  </si>
  <si>
    <t>02.12.15</t>
  </si>
  <si>
    <t>17.12.15</t>
  </si>
  <si>
    <t>23.12.15</t>
  </si>
  <si>
    <t>24.12.15</t>
  </si>
  <si>
    <t>29.12.15</t>
  </si>
  <si>
    <t>30.12.15</t>
  </si>
  <si>
    <t>31.12.15</t>
  </si>
  <si>
    <t>Jamaica</t>
  </si>
  <si>
    <t>Finland</t>
  </si>
  <si>
    <t>Costa Rica</t>
  </si>
  <si>
    <t>Belgium</t>
  </si>
  <si>
    <t>V112-3.0MW</t>
  </si>
  <si>
    <t>First reserve</t>
  </si>
  <si>
    <t>BMR</t>
  </si>
  <si>
    <t>Jianshui</t>
  </si>
  <si>
    <t>Fujian</t>
  </si>
  <si>
    <t>Cabeco</t>
  </si>
  <si>
    <t>BayWa</t>
  </si>
  <si>
    <t>Polenergia</t>
  </si>
  <si>
    <t>CPC Germania</t>
  </si>
  <si>
    <t>CGN</t>
  </si>
  <si>
    <t>Allianz Cap</t>
  </si>
  <si>
    <t>European Energy AS</t>
  </si>
  <si>
    <t>V112-3.075MW</t>
  </si>
  <si>
    <t>LLC</t>
  </si>
  <si>
    <t>Hebei Fenging</t>
  </si>
  <si>
    <t>EPV</t>
  </si>
  <si>
    <t>Hunt Energy</t>
  </si>
  <si>
    <t>Eurus</t>
  </si>
  <si>
    <t>Berkshire</t>
  </si>
  <si>
    <t>Smart-energy</t>
  </si>
  <si>
    <t>RPM Access</t>
  </si>
  <si>
    <t>Eolica Tres Mesas</t>
  </si>
  <si>
    <t>UK - Offshore</t>
  </si>
  <si>
    <t>No</t>
  </si>
  <si>
    <t>MHI Vestas Offshore Wind</t>
  </si>
  <si>
    <t>Wind Field Korytnica</t>
  </si>
  <si>
    <t>Bak Enerji</t>
  </si>
  <si>
    <t>Isolux de Mexico</t>
  </si>
  <si>
    <t>Eolica Cancellara</t>
  </si>
  <si>
    <t>Infinis Energy</t>
  </si>
  <si>
    <t>Latin America Power</t>
  </si>
  <si>
    <t>Skovgaard Invest Aps</t>
  </si>
  <si>
    <t>Suomen</t>
  </si>
  <si>
    <t>SunEdison</t>
  </si>
  <si>
    <t>Sehzada Enerji</t>
  </si>
  <si>
    <t>Glymont</t>
  </si>
  <si>
    <t>Powerica</t>
  </si>
  <si>
    <t>Windpark Kirchberg</t>
  </si>
  <si>
    <t>WPD</t>
  </si>
  <si>
    <t>Teyma Uruguay</t>
  </si>
  <si>
    <t>Windpark Kalkriese</t>
  </si>
  <si>
    <t>Xcel Energy</t>
  </si>
  <si>
    <t>HydroChina</t>
  </si>
  <si>
    <t>Energy Absolute</t>
  </si>
  <si>
    <t>TuuliWatti Oy</t>
  </si>
  <si>
    <t>Eolus Vind</t>
  </si>
  <si>
    <t>Inner Mongolia Hanas Wind</t>
  </si>
  <si>
    <t>GS Power</t>
  </si>
  <si>
    <t>Hanas Group</t>
  </si>
  <si>
    <t>VR EnergieProjekte</t>
  </si>
  <si>
    <t>SSE Generation Limited</t>
  </si>
  <si>
    <t>RES</t>
  </si>
  <si>
    <t>Elliniki Technodomiki</t>
  </si>
  <si>
    <t>Hanwha E&amp;C</t>
  </si>
  <si>
    <t>#Turbines</t>
  </si>
  <si>
    <t>Turbine Models</t>
  </si>
  <si>
    <t># sold</t>
  </si>
  <si>
    <t># turbines</t>
  </si>
  <si>
    <t>4MW</t>
  </si>
  <si>
    <t>Turbine model of platform</t>
  </si>
  <si>
    <t>If model is specified</t>
  </si>
  <si>
    <t>&gt;2MW</t>
  </si>
  <si>
    <t>Size</t>
  </si>
  <si>
    <t>2-2.99MW</t>
  </si>
  <si>
    <t>3-3.99MW</t>
  </si>
  <si>
    <t># AOM5000 Energy based yield</t>
  </si>
  <si>
    <t># AOM4000 Time based yield</t>
  </si>
  <si>
    <t>Confirmed service contracts</t>
  </si>
  <si>
    <t>Not mentioned</t>
  </si>
  <si>
    <t>% AOM5000 of confirmed</t>
  </si>
  <si>
    <t>MW of each service</t>
  </si>
  <si>
    <t>Turbines</t>
  </si>
  <si>
    <t>Turbine</t>
  </si>
  <si>
    <t>average</t>
  </si>
  <si>
    <t>Average</t>
  </si>
  <si>
    <t>av.length AOM5000</t>
  </si>
  <si>
    <t>av.length AOM4000</t>
  </si>
  <si>
    <t>Indian</t>
  </si>
  <si>
    <t>No info</t>
  </si>
  <si>
    <t>total</t>
  </si>
  <si>
    <t>Average length</t>
  </si>
  <si>
    <t>0-5</t>
  </si>
  <si>
    <t>5-10</t>
  </si>
  <si>
    <t>10-15</t>
  </si>
  <si>
    <t>20+</t>
  </si>
  <si>
    <t>no info</t>
  </si>
  <si>
    <t>14.02.14</t>
  </si>
  <si>
    <t>05.03.14</t>
  </si>
  <si>
    <t>07.03.14</t>
  </si>
  <si>
    <t>07.03.14 </t>
  </si>
  <si>
    <t>17.03.14</t>
  </si>
  <si>
    <t>28.03.14</t>
  </si>
  <si>
    <t>31.03.14</t>
  </si>
  <si>
    <t>01.04.14</t>
  </si>
  <si>
    <t>25.04.14</t>
  </si>
  <si>
    <t>02.05.14</t>
  </si>
  <si>
    <t>14.05.14</t>
  </si>
  <si>
    <t>19.05.14</t>
  </si>
  <si>
    <t>21.05.14</t>
  </si>
  <si>
    <t>30.05.14</t>
  </si>
  <si>
    <t>06.06.14</t>
  </si>
  <si>
    <t>23.06.14</t>
  </si>
  <si>
    <t>27.06.14</t>
  </si>
  <si>
    <t>28.06.14</t>
  </si>
  <si>
    <t>01.07.14</t>
  </si>
  <si>
    <t>31.07.14</t>
  </si>
  <si>
    <t>29.08.14</t>
  </si>
  <si>
    <t>01.09.14</t>
  </si>
  <si>
    <t>03.09.14</t>
  </si>
  <si>
    <t>23.09.14</t>
  </si>
  <si>
    <t>25.09.14</t>
  </si>
  <si>
    <t>30.09.14</t>
  </si>
  <si>
    <t>24.10.14</t>
  </si>
  <si>
    <t>31.10.14</t>
  </si>
  <si>
    <t>06.11.14</t>
  </si>
  <si>
    <t>13.11.14</t>
  </si>
  <si>
    <t>14.11.14</t>
  </si>
  <si>
    <t>19.11.14</t>
  </si>
  <si>
    <t>25.11.14</t>
  </si>
  <si>
    <t>26.11.14</t>
  </si>
  <si>
    <t>11.12.14</t>
  </si>
  <si>
    <t>19.12.14</t>
  </si>
  <si>
    <t>29.12.14</t>
  </si>
  <si>
    <t>30.12.14</t>
  </si>
  <si>
    <t>31.12.14</t>
  </si>
  <si>
    <t>Philippines</t>
  </si>
  <si>
    <t>Guatemala</t>
  </si>
  <si>
    <t>Croatia</t>
  </si>
  <si>
    <t>Dominican Republic</t>
  </si>
  <si>
    <t>Kenya</t>
  </si>
  <si>
    <t>BWP Eider</t>
  </si>
  <si>
    <t>EnBW + Borusan</t>
  </si>
  <si>
    <t>Juwi</t>
  </si>
  <si>
    <t>V117-3.0MW</t>
  </si>
  <si>
    <t>Asja Ambiente Italia</t>
  </si>
  <si>
    <t>European Energy</t>
  </si>
  <si>
    <t>EDC</t>
  </si>
  <si>
    <t>GS Yeongyang</t>
  </si>
  <si>
    <t>KGE Windpark</t>
  </si>
  <si>
    <t>First Wind</t>
  </si>
  <si>
    <t>Eolico</t>
  </si>
  <si>
    <t>V80-2.0MW</t>
  </si>
  <si>
    <t>Allianz cap</t>
  </si>
  <si>
    <t>Recomcept</t>
  </si>
  <si>
    <t>ERG Renew</t>
  </si>
  <si>
    <t>Duke</t>
  </si>
  <si>
    <t>Rajakiiri Oy</t>
  </si>
  <si>
    <t>Fred Olsen Rew</t>
  </si>
  <si>
    <t>Taxway SA</t>
  </si>
  <si>
    <t>Hanas</t>
  </si>
  <si>
    <t>Steag</t>
  </si>
  <si>
    <t>PGE</t>
  </si>
  <si>
    <t>Huitong</t>
  </si>
  <si>
    <t>Odell</t>
  </si>
  <si>
    <t>Akuo</t>
  </si>
  <si>
    <t>BlackRock-man fund</t>
  </si>
  <si>
    <t>Grupo Cobra</t>
  </si>
  <si>
    <t>V52-850kW</t>
  </si>
  <si>
    <t>Lake Turkana</t>
  </si>
  <si>
    <t>Kangal Elektrik</t>
  </si>
  <si>
    <t>Green Bear</t>
  </si>
  <si>
    <t>Alisea SRL</t>
  </si>
  <si>
    <t>Terma Energy</t>
  </si>
  <si>
    <t>03.01.2013</t>
  </si>
  <si>
    <t>14.01.2013</t>
  </si>
  <si>
    <t>18.03.2013</t>
  </si>
  <si>
    <t>29.03.2013</t>
  </si>
  <si>
    <t>08.04.2013 </t>
  </si>
  <si>
    <t>10.04.2013 </t>
  </si>
  <si>
    <t>18.04.2013</t>
  </si>
  <si>
    <t>24.04.2013</t>
  </si>
  <si>
    <t>30.04.2013 </t>
  </si>
  <si>
    <t>23.05.2013</t>
  </si>
  <si>
    <t>30.05.2013</t>
  </si>
  <si>
    <t>11.06.2013</t>
  </si>
  <si>
    <t>13.06.2013</t>
  </si>
  <si>
    <t>20.06.2013</t>
  </si>
  <si>
    <t>27.06.2013</t>
  </si>
  <si>
    <t>28.06.2013</t>
  </si>
  <si>
    <t>03.07.2013</t>
  </si>
  <si>
    <t>01.08.2013</t>
  </si>
  <si>
    <t>13.08.2013 </t>
  </si>
  <si>
    <t>16.08.2013 </t>
  </si>
  <si>
    <t>03.09.2013 </t>
  </si>
  <si>
    <t>05.09.2013 </t>
  </si>
  <si>
    <t>12.09.2013 </t>
  </si>
  <si>
    <t>13.09.2013 </t>
  </si>
  <si>
    <t>20.09.2013 </t>
  </si>
  <si>
    <t>23.09.2013 </t>
  </si>
  <si>
    <t>26.09.2013 </t>
  </si>
  <si>
    <t>27.09.2013 </t>
  </si>
  <si>
    <t>30.09.2013</t>
  </si>
  <si>
    <t>10.10.2013</t>
  </si>
  <si>
    <t>28.11.2013</t>
  </si>
  <si>
    <t>05.12.2013</t>
  </si>
  <si>
    <t>10.12.2013</t>
  </si>
  <si>
    <t>17.12.2013</t>
  </si>
  <si>
    <t>18.12.2013</t>
  </si>
  <si>
    <t>19.12.2013</t>
  </si>
  <si>
    <t>20.12.2013</t>
  </si>
  <si>
    <t>23.12.2013</t>
  </si>
  <si>
    <t>24.12.2013</t>
  </si>
  <si>
    <t>27.12.2013</t>
  </si>
  <si>
    <t>30.12.2013</t>
  </si>
  <si>
    <t>31.12.2013</t>
  </si>
  <si>
    <t>Romania</t>
  </si>
  <si>
    <t>Netherlands</t>
  </si>
  <si>
    <t>South Africa</t>
  </si>
  <si>
    <t>Vattenfall</t>
  </si>
  <si>
    <t>Enel Green Power</t>
  </si>
  <si>
    <t>SC Crucea</t>
  </si>
  <si>
    <t>Duke Energy Rew</t>
  </si>
  <si>
    <t>Innowind (EDF)</t>
  </si>
  <si>
    <t>Cennergi</t>
  </si>
  <si>
    <t>Taralga</t>
  </si>
  <si>
    <t>Rabbalshede Kraft</t>
  </si>
  <si>
    <t>Aurora</t>
  </si>
  <si>
    <t>Compania Forestal</t>
  </si>
  <si>
    <t>Ienova</t>
  </si>
  <si>
    <t xml:space="preserve">Empresas </t>
  </si>
  <si>
    <t>DTEK</t>
  </si>
  <si>
    <t>Enel group</t>
  </si>
  <si>
    <t>Jordan Wind Project com</t>
  </si>
  <si>
    <t>Market share</t>
  </si>
  <si>
    <t>Type of contract</t>
  </si>
  <si>
    <t>AOM3000</t>
  </si>
  <si>
    <t>AOM 2000</t>
  </si>
  <si>
    <t>from Annual report</t>
  </si>
  <si>
    <t>AR 17</t>
  </si>
  <si>
    <t>Ar17</t>
  </si>
  <si>
    <t>AR15</t>
  </si>
  <si>
    <t>AR14</t>
  </si>
  <si>
    <t>Turbine sale index</t>
  </si>
  <si>
    <t>Service sale index</t>
  </si>
  <si>
    <t>22.01.2018</t>
  </si>
  <si>
    <t>01.02.2018</t>
  </si>
  <si>
    <t>21.02.2018</t>
  </si>
  <si>
    <t>12.03.2018</t>
  </si>
  <si>
    <t>26.03.2018</t>
  </si>
  <si>
    <t>28.03.2018</t>
  </si>
  <si>
    <t>29.03.2018</t>
  </si>
  <si>
    <t>30.03.2018</t>
  </si>
  <si>
    <t>31.03.2018</t>
  </si>
  <si>
    <t>Kazakhstan</t>
  </si>
  <si>
    <t>CAPEC Green Energy</t>
  </si>
  <si>
    <t>opt 3.6MW</t>
  </si>
  <si>
    <t>Stena Rewable AB</t>
  </si>
  <si>
    <t>opt 3.6MW and 3.8MW</t>
  </si>
  <si>
    <t>Fri-El Spa</t>
  </si>
  <si>
    <t>CIP</t>
  </si>
  <si>
    <t>Shobak Wind Energy</t>
  </si>
  <si>
    <t xml:space="preserve">ABO Wind </t>
  </si>
  <si>
    <t>Powerica Limited</t>
  </si>
  <si>
    <t>V120-2.2MW</t>
  </si>
  <si>
    <t>Terra-Gen</t>
  </si>
  <si>
    <t>Mid-American Energy Company</t>
  </si>
  <si>
    <t>Xcel Enery Inc</t>
  </si>
  <si>
    <t>V120-2.0MW</t>
  </si>
  <si>
    <t>05.05.2018</t>
  </si>
  <si>
    <t>16.05.2018</t>
  </si>
  <si>
    <t>18.05.2018</t>
  </si>
  <si>
    <t>01.06.2018</t>
  </si>
  <si>
    <t>14.06.2018</t>
  </si>
  <si>
    <t>15.06.2018</t>
  </si>
  <si>
    <t>19.06.2018</t>
  </si>
  <si>
    <t>BayWa AG</t>
  </si>
  <si>
    <t>opt 3.8MW</t>
  </si>
  <si>
    <t>Pampa Energia SA</t>
  </si>
  <si>
    <t>RES America</t>
  </si>
  <si>
    <t>EnerAB</t>
  </si>
  <si>
    <t>Longroad Energy</t>
  </si>
  <si>
    <t>InfraRed cap</t>
  </si>
  <si>
    <t>Panama</t>
  </si>
  <si>
    <t>opt 3.3MW</t>
  </si>
  <si>
    <t>Parque Eolico Toabre SA</t>
  </si>
  <si>
    <t>average MW price [mEUR/MW]</t>
  </si>
  <si>
    <t>In %</t>
  </si>
  <si>
    <t>25.06.2018</t>
  </si>
  <si>
    <t>Flack Renewable Vind</t>
  </si>
  <si>
    <t>Citizen owned</t>
  </si>
  <si>
    <t>Note</t>
  </si>
  <si>
    <t>Replaced 4x V66-1.65MW</t>
  </si>
  <si>
    <t>Vindkraft Group</t>
  </si>
  <si>
    <t>26.06.2018</t>
  </si>
  <si>
    <t>Japan</t>
  </si>
  <si>
    <t>29.06.2018</t>
  </si>
  <si>
    <t>30.06.2018</t>
  </si>
  <si>
    <t>Bolivia</t>
  </si>
  <si>
    <t>BlackRock and Zephyr</t>
  </si>
  <si>
    <t>delivery 2.q 2020</t>
  </si>
  <si>
    <t>delivery 1.q2019</t>
  </si>
  <si>
    <t>Eurowatt</t>
  </si>
  <si>
    <t>repowering of V80 USING SAME TOWERS!!!</t>
  </si>
  <si>
    <t>ENDE</t>
  </si>
  <si>
    <t>opt 3.0MW</t>
  </si>
  <si>
    <t>RGE</t>
  </si>
  <si>
    <t>06.07.2018</t>
  </si>
  <si>
    <t>TuuliWatti</t>
  </si>
  <si>
    <t>V150-4.2MW</t>
  </si>
  <si>
    <t>Cable Stayed Towers</t>
  </si>
  <si>
    <t>12.07.2018</t>
  </si>
  <si>
    <t>Palisade Invest</t>
  </si>
  <si>
    <t>Serbia</t>
  </si>
  <si>
    <t>MK Fintel</t>
  </si>
  <si>
    <t>02.08.2018</t>
  </si>
  <si>
    <t>opt 2.0MW</t>
  </si>
  <si>
    <t>market share</t>
  </si>
  <si>
    <t>NotMentioned</t>
  </si>
  <si>
    <t>27.08.2018</t>
  </si>
  <si>
    <t>The Netherlands</t>
  </si>
  <si>
    <t>ECN Wind Energy Facilities</t>
  </si>
  <si>
    <t>03.09.2018</t>
  </si>
  <si>
    <t>Senegal</t>
  </si>
  <si>
    <t>Sarreole</t>
  </si>
  <si>
    <t>07.09.2018</t>
  </si>
  <si>
    <t>Ecoren Energy</t>
  </si>
  <si>
    <t>opt 2.2MW</t>
  </si>
  <si>
    <t>18.09.2018</t>
  </si>
  <si>
    <t>delivery 2q 2019</t>
  </si>
  <si>
    <t>20.09.2018</t>
  </si>
  <si>
    <t>2q 2019</t>
  </si>
  <si>
    <t>27.09.2018</t>
  </si>
  <si>
    <t>Central Puerto</t>
  </si>
  <si>
    <t>28.09.2018</t>
  </si>
  <si>
    <t>Global Power Generation</t>
  </si>
  <si>
    <t>112 m hub height</t>
  </si>
  <si>
    <t>SITAC</t>
  </si>
  <si>
    <t>29.09.2018</t>
  </si>
  <si>
    <t>NOTUS energy</t>
  </si>
  <si>
    <t>132 m hub height</t>
  </si>
  <si>
    <t>opt 4.2MW</t>
  </si>
  <si>
    <t>Servicemargin</t>
  </si>
  <si>
    <t>Samlet margin</t>
  </si>
  <si>
    <t>Margin eksl. service</t>
  </si>
  <si>
    <t>16Q1</t>
  </si>
  <si>
    <t>16Q2</t>
  </si>
  <si>
    <t>16Q3</t>
  </si>
  <si>
    <t>16Q4</t>
  </si>
  <si>
    <t>17Q1</t>
  </si>
  <si>
    <t>17Q2</t>
  </si>
  <si>
    <t>17Q3</t>
  </si>
  <si>
    <t>17Q4</t>
  </si>
  <si>
    <t>18Q1</t>
  </si>
  <si>
    <t>18Q2</t>
  </si>
  <si>
    <t>18Q3</t>
  </si>
  <si>
    <t>15Q1</t>
  </si>
  <si>
    <t>15Q2</t>
  </si>
  <si>
    <t>15Q3</t>
  </si>
  <si>
    <t>15Q4</t>
  </si>
  <si>
    <t>Pris/MW</t>
  </si>
  <si>
    <t>13Q1</t>
  </si>
  <si>
    <t>13Q2</t>
  </si>
  <si>
    <t>13Q3</t>
  </si>
  <si>
    <t>13Q4</t>
  </si>
  <si>
    <t>14Q1</t>
  </si>
  <si>
    <t>14Q2</t>
  </si>
  <si>
    <t>14Q3</t>
  </si>
  <si>
    <t>14Q4</t>
  </si>
  <si>
    <t>23.10.2018</t>
  </si>
  <si>
    <t>19.10.2018</t>
  </si>
  <si>
    <t>01.11.2018</t>
  </si>
  <si>
    <t>check platform</t>
  </si>
  <si>
    <t>check country</t>
  </si>
  <si>
    <t>Name</t>
  </si>
  <si>
    <t>Class</t>
  </si>
  <si>
    <t>rated power</t>
  </si>
  <si>
    <t>diameter</t>
  </si>
  <si>
    <t>year available</t>
  </si>
  <si>
    <t>nacelle weight</t>
  </si>
  <si>
    <t>tower weight</t>
  </si>
  <si>
    <t>rotor weight</t>
  </si>
  <si>
    <t>V100/1800</t>
  </si>
  <si>
    <t>V100/2000</t>
  </si>
  <si>
    <t>V100/2600</t>
  </si>
  <si>
    <t>V100/2750</t>
  </si>
  <si>
    <t>V105/3300</t>
  </si>
  <si>
    <t>V105/3450</t>
  </si>
  <si>
    <t>V105/3600</t>
  </si>
  <si>
    <t>V110/2000</t>
  </si>
  <si>
    <t>V112/3000</t>
  </si>
  <si>
    <t>V112/3075</t>
  </si>
  <si>
    <t>V112/3300</t>
  </si>
  <si>
    <t>V112/3450</t>
  </si>
  <si>
    <t>V112/3600</t>
  </si>
  <si>
    <t>V116/2000</t>
  </si>
  <si>
    <t>V117/3300</t>
  </si>
  <si>
    <t>V117/3450</t>
  </si>
  <si>
    <t>V117/4000-4200</t>
  </si>
  <si>
    <t>V120/2000</t>
  </si>
  <si>
    <t>V126/3000</t>
  </si>
  <si>
    <t>V126/3300</t>
  </si>
  <si>
    <t>V126/3450</t>
  </si>
  <si>
    <t>V136/3450</t>
  </si>
  <si>
    <t>V136/3600</t>
  </si>
  <si>
    <t>V136/4000-4200</t>
  </si>
  <si>
    <t>V150/4000-4200</t>
  </si>
  <si>
    <t>V164/7000</t>
  </si>
  <si>
    <t>V164/8000</t>
  </si>
  <si>
    <t>V20/100</t>
  </si>
  <si>
    <t>V23/150</t>
  </si>
  <si>
    <t>V23/200</t>
  </si>
  <si>
    <t>V25/200</t>
  </si>
  <si>
    <t>V27/225</t>
  </si>
  <si>
    <t>V27/270</t>
  </si>
  <si>
    <t>V29/225</t>
  </si>
  <si>
    <t>V34/400</t>
  </si>
  <si>
    <t>V39/500</t>
  </si>
  <si>
    <t>V39/600</t>
  </si>
  <si>
    <t>V42/500</t>
  </si>
  <si>
    <t>V42/600</t>
  </si>
  <si>
    <t>V44/600</t>
  </si>
  <si>
    <t>V47/660</t>
  </si>
  <si>
    <t>V52/850</t>
  </si>
  <si>
    <t>V60/850</t>
  </si>
  <si>
    <t>V63/1500</t>
  </si>
  <si>
    <t>V66/1650</t>
  </si>
  <si>
    <t>V66/1750</t>
  </si>
  <si>
    <t>V66/2000</t>
  </si>
  <si>
    <t>V70/1650</t>
  </si>
  <si>
    <t>V80/1800</t>
  </si>
  <si>
    <t>V80/2000</t>
  </si>
  <si>
    <t>V82/1500</t>
  </si>
  <si>
    <t>V82/1650</t>
  </si>
  <si>
    <t>V90/1800</t>
  </si>
  <si>
    <t>V90/2000</t>
  </si>
  <si>
    <t>V90/3000</t>
  </si>
  <si>
    <t>V90/3000 Offshore</t>
  </si>
  <si>
    <t>IEC IIIa/S</t>
  </si>
  <si>
    <t>IEC IIb</t>
  </si>
  <si>
    <t>IEC I/II</t>
  </si>
  <si>
    <t>IEC Ia</t>
  </si>
  <si>
    <t>#ND</t>
  </si>
  <si>
    <t>IEC IIIa</t>
  </si>
  <si>
    <t>IEC II/III</t>
  </si>
  <si>
    <t>IEC IIa</t>
  </si>
  <si>
    <t>IEC Ib/IIa</t>
  </si>
  <si>
    <t>IEC S</t>
  </si>
  <si>
    <t>IEC IIA</t>
  </si>
  <si>
    <t>IEC IIIb</t>
  </si>
  <si>
    <t>IEC IIa/IIIa</t>
  </si>
  <si>
    <t>IEC Ia/IIa</t>
  </si>
  <si>
    <t>34.8</t>
  </si>
  <si>
    <t>63.6</t>
  </si>
  <si>
    <t>77 - 111</t>
  </si>
  <si>
    <t>115 - 195</t>
  </si>
  <si>
    <t>122 - 198</t>
  </si>
  <si>
    <t>72 - 127</t>
  </si>
  <si>
    <t>148 - 245</t>
  </si>
  <si>
    <t>206 - 335</t>
  </si>
  <si>
    <t>155 - 235</t>
  </si>
  <si>
    <t>14.11.2018</t>
  </si>
  <si>
    <t>Tilt Renewable</t>
  </si>
  <si>
    <t>114 m hub height</t>
  </si>
  <si>
    <t>15.11.2018</t>
  </si>
  <si>
    <t>135 m hub height</t>
  </si>
  <si>
    <t>Type Name</t>
  </si>
  <si>
    <t>Type name 1</t>
  </si>
  <si>
    <t>V100-2.6MW</t>
  </si>
  <si>
    <t>V100-2.75MW</t>
  </si>
  <si>
    <t>V105-3.3MW</t>
  </si>
  <si>
    <t>V105-3.6MW</t>
  </si>
  <si>
    <t>V112-3.6MW</t>
  </si>
  <si>
    <t>V20-0.1MW</t>
  </si>
  <si>
    <t>V23-0.15MW</t>
  </si>
  <si>
    <t>V23-0.2MW</t>
  </si>
  <si>
    <t>V25-0.2MW</t>
  </si>
  <si>
    <t>V27-0.225MW</t>
  </si>
  <si>
    <t>V27-0.27MW</t>
  </si>
  <si>
    <t>V29-0.225MW</t>
  </si>
  <si>
    <t>V34-0.4MW</t>
  </si>
  <si>
    <t>V39-0.5MW</t>
  </si>
  <si>
    <t>V39-0.6MW</t>
  </si>
  <si>
    <t>V42-0.5MW</t>
  </si>
  <si>
    <t>V42-0.6MW</t>
  </si>
  <si>
    <t>V44-0.6MW</t>
  </si>
  <si>
    <t>V47-0.66MW</t>
  </si>
  <si>
    <t>V60-0.85MW</t>
  </si>
  <si>
    <t>V63-1.5MW</t>
  </si>
  <si>
    <t>V66-1.65MW</t>
  </si>
  <si>
    <t>V66-1.75MW</t>
  </si>
  <si>
    <t>V66-2MW</t>
  </si>
  <si>
    <t>V70-1.65MW</t>
  </si>
  <si>
    <t>V80-1.8MW</t>
  </si>
  <si>
    <t>V82-1.5MW</t>
  </si>
  <si>
    <t>V82-1.65MW</t>
  </si>
  <si>
    <t>V90-1.8MW</t>
  </si>
  <si>
    <t>V90-3MW</t>
  </si>
  <si>
    <t>V117-4.0MW</t>
  </si>
  <si>
    <t>V126-3.0MW</t>
  </si>
  <si>
    <t>V164-7.0MW</t>
  </si>
  <si>
    <t>V164-8.0MW</t>
  </si>
  <si>
    <t>21.12.2012</t>
  </si>
  <si>
    <t>21.02.2012</t>
  </si>
  <si>
    <t>27.02.2012</t>
  </si>
  <si>
    <t>07.03.2012</t>
  </si>
  <si>
    <t>Iberdrola</t>
  </si>
  <si>
    <t>12.03.2012</t>
  </si>
  <si>
    <t>Marena Renovables</t>
  </si>
  <si>
    <t>19.04.2012</t>
  </si>
  <si>
    <t>DTEK Group</t>
  </si>
  <si>
    <t>27.06.2012</t>
  </si>
  <si>
    <t>O2 Vind AB</t>
  </si>
  <si>
    <t>28.06.2012</t>
  </si>
  <si>
    <t>Northwind NV</t>
  </si>
  <si>
    <t>04.10.2012</t>
  </si>
  <si>
    <t>Peru</t>
  </si>
  <si>
    <t>15.11.2012</t>
  </si>
  <si>
    <t>Umoya Energy</t>
  </si>
  <si>
    <t>24.01.2012</t>
  </si>
  <si>
    <t>31.01.2012</t>
  </si>
  <si>
    <t>20.02.2012</t>
  </si>
  <si>
    <t>19.03.2012</t>
  </si>
  <si>
    <t>10.04.2012</t>
  </si>
  <si>
    <t>22.05.2012</t>
  </si>
  <si>
    <t>Nicaragua</t>
  </si>
  <si>
    <t>07.06.2012</t>
  </si>
  <si>
    <t>11.06.2012</t>
  </si>
  <si>
    <t>20.06.2012</t>
  </si>
  <si>
    <t>26.06.2012</t>
  </si>
  <si>
    <t>04.07.2012</t>
  </si>
  <si>
    <t>07.08.2012</t>
  </si>
  <si>
    <t>14.09.2012</t>
  </si>
  <si>
    <t>27.09.2012</t>
  </si>
  <si>
    <t>02.10.2012</t>
  </si>
  <si>
    <t>16.10.2012</t>
  </si>
  <si>
    <t>06.11.2012</t>
  </si>
  <si>
    <t>16.11.2012</t>
  </si>
  <si>
    <t>28.12.2012</t>
  </si>
  <si>
    <t>07.01.2011</t>
  </si>
  <si>
    <t>10.01.2011</t>
  </si>
  <si>
    <t>11.02.2011</t>
  </si>
  <si>
    <t>Portugal</t>
  </si>
  <si>
    <t>09.03.2011</t>
  </si>
  <si>
    <t>29.03.2011</t>
  </si>
  <si>
    <t>31.03.2011</t>
  </si>
  <si>
    <t>Material comsumption</t>
  </si>
  <si>
    <t>Metals</t>
  </si>
  <si>
    <t>Other raw materials</t>
  </si>
  <si>
    <t>27.11.2018</t>
  </si>
  <si>
    <t>Daehan Wind Power</t>
  </si>
  <si>
    <t>active products</t>
  </si>
  <si>
    <t>Vengano SA</t>
  </si>
  <si>
    <t>Juwi Wind</t>
  </si>
  <si>
    <t>Turbine type</t>
  </si>
  <si>
    <t>Holmen Energy</t>
  </si>
  <si>
    <t>Ostazewo</t>
  </si>
  <si>
    <t>all in MW</t>
  </si>
  <si>
    <t>V60-850kW</t>
  </si>
  <si>
    <t>Hanas New Energy</t>
  </si>
  <si>
    <t>Eole-RES</t>
  </si>
  <si>
    <t>Erciyas</t>
  </si>
  <si>
    <t>Eko Energija</t>
  </si>
  <si>
    <t>Whysol</t>
  </si>
  <si>
    <t>Grupo Dragin</t>
  </si>
  <si>
    <t>Orta Nova</t>
  </si>
  <si>
    <t>TRE&amp;Parthers</t>
  </si>
  <si>
    <t>Northwind</t>
  </si>
  <si>
    <t>12.12.2011</t>
  </si>
  <si>
    <t>Stena</t>
  </si>
  <si>
    <t>E.on</t>
  </si>
  <si>
    <t>offshore</t>
  </si>
  <si>
    <t>01.12.2011</t>
  </si>
  <si>
    <t>Hydro Tasmania</t>
  </si>
  <si>
    <t>01.04.2011</t>
  </si>
  <si>
    <t>14.04.2011</t>
  </si>
  <si>
    <t>20.04.2011</t>
  </si>
  <si>
    <t>03.05.2011</t>
  </si>
  <si>
    <t>04.05.2011</t>
  </si>
  <si>
    <t>06.05.2011</t>
  </si>
  <si>
    <t>11.05.2011</t>
  </si>
  <si>
    <t>13.05.2011</t>
  </si>
  <si>
    <t>17.05.2011</t>
  </si>
  <si>
    <t>18.05.2011</t>
  </si>
  <si>
    <t>27.05.2011</t>
  </si>
  <si>
    <t>30.05.2011</t>
  </si>
  <si>
    <t>07.06.2011</t>
  </si>
  <si>
    <t>08.06.2011</t>
  </si>
  <si>
    <t>17.06.2011</t>
  </si>
  <si>
    <t>20.06.2011</t>
  </si>
  <si>
    <t>30.06.2011</t>
  </si>
  <si>
    <t>Puerto Rico</t>
  </si>
  <si>
    <t>01.07.2011</t>
  </si>
  <si>
    <t>08.07.2011</t>
  </si>
  <si>
    <t>15.07.2011</t>
  </si>
  <si>
    <t>26.07.2011</t>
  </si>
  <si>
    <t>04.08.2011</t>
  </si>
  <si>
    <t>09.08.2011</t>
  </si>
  <si>
    <t>15.08.2011</t>
  </si>
  <si>
    <t>05.09.2011</t>
  </si>
  <si>
    <t>15.09.2011</t>
  </si>
  <si>
    <t>30.09.2011</t>
  </si>
  <si>
    <t>06.10.2011</t>
  </si>
  <si>
    <t>13.10.2011</t>
  </si>
  <si>
    <t>14.10.2011</t>
  </si>
  <si>
    <t>18.10.2011</t>
  </si>
  <si>
    <t>Pakistan</t>
  </si>
  <si>
    <t>19.10.2011</t>
  </si>
  <si>
    <t>28.10.2011</t>
  </si>
  <si>
    <t>15.11.2011</t>
  </si>
  <si>
    <t>16.11.2011</t>
  </si>
  <si>
    <t>22.11.2011</t>
  </si>
  <si>
    <t>28.11.2011</t>
  </si>
  <si>
    <t>05.12.2011</t>
  </si>
  <si>
    <t>22.12.2011</t>
  </si>
  <si>
    <t>19.12.2011</t>
  </si>
  <si>
    <t>30.12.2011</t>
  </si>
  <si>
    <t>Exelon Wind</t>
  </si>
  <si>
    <t>Vapat</t>
  </si>
  <si>
    <t>Green Mountain Power</t>
  </si>
  <si>
    <t>Brennand Energia</t>
  </si>
  <si>
    <t>Datang Rewa</t>
  </si>
  <si>
    <t>Greengate Power</t>
  </si>
  <si>
    <t>Orient Green Power</t>
  </si>
  <si>
    <t>Terra-Gen Power</t>
  </si>
  <si>
    <t>Enel</t>
  </si>
  <si>
    <t>Galvao Energia</t>
  </si>
  <si>
    <t>IMAR</t>
  </si>
  <si>
    <t>Longyuan</t>
  </si>
  <si>
    <t>Iberwind</t>
  </si>
  <si>
    <t>28.11.2018</t>
  </si>
  <si>
    <t>PacifiCorp</t>
  </si>
  <si>
    <t>29.11.2018</t>
  </si>
  <si>
    <t>07.12.2018</t>
  </si>
  <si>
    <t>05.12.2018</t>
  </si>
  <si>
    <t>Andali Energia</t>
  </si>
  <si>
    <t>V52</t>
  </si>
  <si>
    <t>V80</t>
  </si>
  <si>
    <t>V90</t>
  </si>
  <si>
    <t>V100</t>
  </si>
  <si>
    <t>V105</t>
  </si>
  <si>
    <t>V110</t>
  </si>
  <si>
    <t>V112</t>
  </si>
  <si>
    <t>V116</t>
  </si>
  <si>
    <t>V117</t>
  </si>
  <si>
    <t>V120</t>
  </si>
  <si>
    <t>V126</t>
  </si>
  <si>
    <t>V136</t>
  </si>
  <si>
    <t>V150</t>
  </si>
  <si>
    <t>Bulgaria</t>
  </si>
  <si>
    <t>TransAlta Cor</t>
  </si>
  <si>
    <t>C$100 mio construction</t>
  </si>
  <si>
    <t>C$200 mio</t>
  </si>
  <si>
    <t>06.01.2010</t>
  </si>
  <si>
    <t>11.01.2010</t>
  </si>
  <si>
    <t>10.02.2010 </t>
  </si>
  <si>
    <t>25.02.2010</t>
  </si>
  <si>
    <t>08.03.2010 </t>
  </si>
  <si>
    <t>16.03.2010</t>
  </si>
  <si>
    <t>25.03.2010</t>
  </si>
  <si>
    <t>30.03.2010</t>
  </si>
  <si>
    <t>31.03.2010</t>
  </si>
  <si>
    <t>Shanghai Huitong Energy</t>
  </si>
  <si>
    <t>06.04.2010 </t>
  </si>
  <si>
    <t>07.04.2010 </t>
  </si>
  <si>
    <t>15.04.2010 </t>
  </si>
  <si>
    <t>20.04.2010 </t>
  </si>
  <si>
    <t>22.04.2010 </t>
  </si>
  <si>
    <t>23.04.2010 </t>
  </si>
  <si>
    <t>26.04.2010 </t>
  </si>
  <si>
    <t>27.04.2010 </t>
  </si>
  <si>
    <t>18.05.2010 </t>
  </si>
  <si>
    <t>17.06.2010  </t>
  </si>
  <si>
    <t>21.06.2010 </t>
  </si>
  <si>
    <t>23.06.2010 </t>
  </si>
  <si>
    <t>24.06.2010</t>
  </si>
  <si>
    <t>30.06.2010</t>
  </si>
  <si>
    <t>02.07.2010</t>
  </si>
  <si>
    <t>06.07.2010</t>
  </si>
  <si>
    <t>08.07.2010</t>
  </si>
  <si>
    <t>14.07.2010</t>
  </si>
  <si>
    <t>19.07.2010</t>
  </si>
  <si>
    <t>21.07.2010</t>
  </si>
  <si>
    <t>23.07.2010</t>
  </si>
  <si>
    <t>02.08.2010</t>
  </si>
  <si>
    <t>03.08.2010</t>
  </si>
  <si>
    <t>12.08.2010</t>
  </si>
  <si>
    <t>13.08.2010</t>
  </si>
  <si>
    <t>18.08.2010</t>
  </si>
  <si>
    <t>25.08.2010</t>
  </si>
  <si>
    <t>09.09.2010</t>
  </si>
  <si>
    <t>14.09.2010</t>
  </si>
  <si>
    <t>21.09.2010</t>
  </si>
  <si>
    <t>22.09.2010</t>
  </si>
  <si>
    <t>21.10.2010 </t>
  </si>
  <si>
    <t>01.11.2010</t>
  </si>
  <si>
    <t>03.11.2010</t>
  </si>
  <si>
    <t>08.11.2010</t>
  </si>
  <si>
    <t>10.11.2010</t>
  </si>
  <si>
    <t>16.11.2010</t>
  </si>
  <si>
    <t>22.11.2010</t>
  </si>
  <si>
    <t>24.11.2010</t>
  </si>
  <si>
    <t>09.12.2010</t>
  </si>
  <si>
    <t>14.12.2010</t>
  </si>
  <si>
    <t>15.12.2010</t>
  </si>
  <si>
    <t>16.12.2010</t>
  </si>
  <si>
    <t>20.12.2010</t>
  </si>
  <si>
    <t>21.12.2010</t>
  </si>
  <si>
    <t>22.12.2010</t>
  </si>
  <si>
    <t>29.12.2010</t>
  </si>
  <si>
    <t>30.12.2010</t>
  </si>
  <si>
    <t>31.12.2010</t>
  </si>
  <si>
    <t>Cape Verde</t>
  </si>
  <si>
    <t>C$100 mio</t>
  </si>
  <si>
    <t>Noble Environmental Power</t>
  </si>
  <si>
    <t>Camas Energy</t>
  </si>
  <si>
    <t>We Energies</t>
  </si>
  <si>
    <t>Investec Bank</t>
  </si>
  <si>
    <t>EDPR</t>
  </si>
  <si>
    <t>We energies</t>
  </si>
  <si>
    <t>Altan</t>
  </si>
  <si>
    <t>RES Americas</t>
  </si>
  <si>
    <t>500$mio</t>
  </si>
  <si>
    <t>Enhol</t>
  </si>
  <si>
    <t>UKA Group</t>
  </si>
  <si>
    <t>Nasudden Vast Invest</t>
  </si>
  <si>
    <t>BKW FMB Energy</t>
  </si>
  <si>
    <t>$1.2bn</t>
  </si>
  <si>
    <t>Enertrag</t>
  </si>
  <si>
    <t>Master Investment comp.</t>
  </si>
  <si>
    <t>ESB</t>
  </si>
  <si>
    <t>AGL Energy</t>
  </si>
  <si>
    <t>Ave.wind.spped at hub h = 6.7m/s</t>
  </si>
  <si>
    <t>CLP</t>
  </si>
  <si>
    <t>Edison</t>
  </si>
  <si>
    <t>Polish Energy Partners</t>
  </si>
  <si>
    <t>Prokon</t>
  </si>
  <si>
    <t>Sacramento Municipal</t>
  </si>
  <si>
    <t>Utah Municipal Power</t>
  </si>
  <si>
    <t>Brazil's National ele</t>
  </si>
  <si>
    <t>John Deere Energy</t>
  </si>
  <si>
    <t>Emgasud</t>
  </si>
  <si>
    <t>Acciona</t>
  </si>
  <si>
    <t>Minnesota Municipal Power</t>
  </si>
  <si>
    <t>Cabeolica SA</t>
  </si>
  <si>
    <t>Ridgeline Energy</t>
  </si>
  <si>
    <t>Element Power</t>
  </si>
  <si>
    <t>Nordisk Vindkraft</t>
  </si>
  <si>
    <t>Bisaccia</t>
  </si>
  <si>
    <t>Chongli Con</t>
  </si>
  <si>
    <t>Erneuerbare Energien</t>
  </si>
  <si>
    <t>Windpark Gross</t>
  </si>
  <si>
    <t>Troms Kraft</t>
  </si>
  <si>
    <t>Jadraas</t>
  </si>
  <si>
    <t>VSB Energies</t>
  </si>
  <si>
    <t># of turbines!</t>
  </si>
  <si>
    <t>Vivid</t>
  </si>
  <si>
    <t>12.12.2018</t>
  </si>
  <si>
    <t>11.12.2018</t>
  </si>
  <si>
    <t>Abour</t>
  </si>
  <si>
    <t>16.01.09</t>
  </si>
  <si>
    <t>28.01.09 </t>
  </si>
  <si>
    <t>02.02.09</t>
  </si>
  <si>
    <t>27.03.09</t>
  </si>
  <si>
    <t>31.03.09</t>
  </si>
  <si>
    <t>01.04.09</t>
  </si>
  <si>
    <t>24.04.09</t>
  </si>
  <si>
    <t>29.04.09 </t>
  </si>
  <si>
    <t>09.06.09 </t>
  </si>
  <si>
    <t>11.06.09</t>
  </si>
  <si>
    <t>06.07.09</t>
  </si>
  <si>
    <t>10.07.09</t>
  </si>
  <si>
    <t>30.07.09</t>
  </si>
  <si>
    <t>31.07.09</t>
  </si>
  <si>
    <t>07.08.09</t>
  </si>
  <si>
    <t>26.08.09</t>
  </si>
  <si>
    <t>19.09.09</t>
  </si>
  <si>
    <t>02.10.09</t>
  </si>
  <si>
    <t>28.10.09 </t>
  </si>
  <si>
    <t>17.12.09</t>
  </si>
  <si>
    <t>23.12.09</t>
  </si>
  <si>
    <t>28.12.09   </t>
  </si>
  <si>
    <t>29.12.09 </t>
  </si>
  <si>
    <t>30.12.09</t>
  </si>
  <si>
    <t>Hungary</t>
  </si>
  <si>
    <t>Cyprus</t>
  </si>
  <si>
    <t>Agaoglu Group</t>
  </si>
  <si>
    <t>EDF Energies</t>
  </si>
  <si>
    <t>EDP Renovaveis</t>
  </si>
  <si>
    <t>17.12.2018</t>
  </si>
  <si>
    <t>Enercity Ernuerbare</t>
  </si>
  <si>
    <t>19.12.2018</t>
  </si>
  <si>
    <t>Casa dos Ventos</t>
  </si>
  <si>
    <t>lifetime</t>
  </si>
  <si>
    <t xml:space="preserve">MW </t>
  </si>
  <si>
    <t>Roaring</t>
  </si>
  <si>
    <t>DK wind supply</t>
  </si>
  <si>
    <t>02.01.2008</t>
  </si>
  <si>
    <t>04.01.2008</t>
  </si>
  <si>
    <t>18.02.2008</t>
  </si>
  <si>
    <t>27.02.2008</t>
  </si>
  <si>
    <t>29.02.2008</t>
  </si>
  <si>
    <t>03.03.2008</t>
  </si>
  <si>
    <t>01.04.2008</t>
  </si>
  <si>
    <t>04.04.2008</t>
  </si>
  <si>
    <t>10.04.2008</t>
  </si>
  <si>
    <t>11.04.2008</t>
  </si>
  <si>
    <t>30.05.2008</t>
  </si>
  <si>
    <t>02.06.2008</t>
  </si>
  <si>
    <t>06.06.2008</t>
  </si>
  <si>
    <t>18.06.2008</t>
  </si>
  <si>
    <t>20.06.2008</t>
  </si>
  <si>
    <t>27.06.2008</t>
  </si>
  <si>
    <t>08.07.2008</t>
  </si>
  <si>
    <t>15.07.2008</t>
  </si>
  <si>
    <t>28.08.2008</t>
  </si>
  <si>
    <t>01.10.2008</t>
  </si>
  <si>
    <t>15.10.2008</t>
  </si>
  <si>
    <t>19.11.2008</t>
  </si>
  <si>
    <t>31.12.2008</t>
  </si>
  <si>
    <t>29.12.2008</t>
  </si>
  <si>
    <t>01.12.2008</t>
  </si>
  <si>
    <t>China Guangdong</t>
  </si>
  <si>
    <t>20.12.2018</t>
  </si>
  <si>
    <t>CherryTree Wind farm</t>
  </si>
  <si>
    <t>112m hub height</t>
  </si>
  <si>
    <t>27.12.2018</t>
  </si>
  <si>
    <t>28.12.2018</t>
  </si>
  <si>
    <t>31.12.2018</t>
  </si>
  <si>
    <t>Sri Lanka</t>
  </si>
  <si>
    <t>Taiwan</t>
  </si>
  <si>
    <t>01.01.2019</t>
  </si>
  <si>
    <t>21.12.2018</t>
  </si>
  <si>
    <t>WEDF</t>
  </si>
  <si>
    <t>Phoenix Wind Power</t>
  </si>
  <si>
    <t>DTEK Renewables</t>
  </si>
  <si>
    <t>Fred Olsen</t>
  </si>
  <si>
    <t>NRGi Renewables</t>
  </si>
  <si>
    <t>Sardeolica</t>
  </si>
  <si>
    <t>6x91.5m hubh.+3x116.5m hubh</t>
  </si>
  <si>
    <t>84 m hubh</t>
  </si>
  <si>
    <t>Bright Energy</t>
  </si>
  <si>
    <t>Ceylon Electricity</t>
  </si>
  <si>
    <t>sum #WTG</t>
  </si>
  <si>
    <t>sum MW</t>
  </si>
  <si>
    <t>opt 3.6</t>
  </si>
  <si>
    <t>V117-4.2MW</t>
  </si>
  <si>
    <t>TrønderEnergi</t>
  </si>
  <si>
    <t>https://tronderenergi.no/vind</t>
  </si>
  <si>
    <t>07.01.2019</t>
  </si>
  <si>
    <t>Trinethra Wind&amp;Hydro</t>
  </si>
  <si>
    <t>Star Energy Corp</t>
  </si>
  <si>
    <t>11.01.2019</t>
  </si>
  <si>
    <t>Total</t>
  </si>
  <si>
    <t>1 qtr</t>
  </si>
  <si>
    <t>2 qtr</t>
  </si>
  <si>
    <t>3 qtr</t>
  </si>
  <si>
    <t>4 qtr</t>
  </si>
  <si>
    <t>sales pr quater</t>
  </si>
  <si>
    <t>q1</t>
  </si>
  <si>
    <t>q2</t>
  </si>
  <si>
    <t>q3</t>
  </si>
  <si>
    <t>q4</t>
  </si>
  <si>
    <t>AOM2000</t>
  </si>
  <si>
    <t>28.02.2019</t>
  </si>
  <si>
    <t>05.03.2019</t>
  </si>
  <si>
    <t>25.01.2019</t>
  </si>
  <si>
    <t>Rusnano and Fortum</t>
  </si>
  <si>
    <t>105 m hubheight</t>
  </si>
  <si>
    <t>Alinta</t>
  </si>
  <si>
    <t>21.03.2019</t>
  </si>
  <si>
    <t>28.03.2019</t>
  </si>
  <si>
    <t>29.03.2019</t>
  </si>
  <si>
    <t>30.03.2019</t>
  </si>
  <si>
    <t>Hirthals Havnefond</t>
  </si>
  <si>
    <t>Zero subsidy</t>
  </si>
  <si>
    <t>New Zealand</t>
  </si>
  <si>
    <t>Mercury</t>
  </si>
  <si>
    <t>Foxwell Energy</t>
  </si>
  <si>
    <t>Greencoat UK Wind</t>
  </si>
  <si>
    <t>Quadran int</t>
  </si>
  <si>
    <t>2MW-platform</t>
  </si>
  <si>
    <t>3MW-platform</t>
  </si>
  <si>
    <t>4MW-platform</t>
  </si>
  <si>
    <t>23.04.2019</t>
  </si>
  <si>
    <t>opt 3.3 MW</t>
  </si>
  <si>
    <t>Stadtwerke Munchen</t>
  </si>
  <si>
    <t>18Q4</t>
  </si>
  <si>
    <t>19Q1</t>
  </si>
  <si>
    <t>03.05.2019</t>
  </si>
  <si>
    <t>Valorem</t>
  </si>
  <si>
    <t>09.05.2019</t>
  </si>
  <si>
    <t>10.05.2019</t>
  </si>
  <si>
    <t>opt 4.3 MW</t>
  </si>
  <si>
    <t>16.05.2019</t>
  </si>
  <si>
    <t>20.05.2019</t>
  </si>
  <si>
    <t>21.05.2019</t>
  </si>
  <si>
    <t>22.05.2019</t>
  </si>
  <si>
    <t>28.05.2019</t>
  </si>
  <si>
    <t xml:space="preserve">EDF </t>
  </si>
  <si>
    <t>29.05.2019</t>
  </si>
  <si>
    <t>Ratch</t>
  </si>
  <si>
    <t>31.05.2019</t>
  </si>
  <si>
    <t>12.06.2019</t>
  </si>
  <si>
    <t>Vindkraft</t>
  </si>
  <si>
    <t>18.06.2019</t>
  </si>
  <si>
    <t>24.06.2019</t>
  </si>
  <si>
    <t>27.06.2019</t>
  </si>
  <si>
    <t>28.06.2019</t>
  </si>
  <si>
    <t>29.06.2019</t>
  </si>
  <si>
    <t>V162-5.6MW</t>
  </si>
  <si>
    <t>30.06.2019</t>
  </si>
  <si>
    <t>El Salvador</t>
  </si>
  <si>
    <t>Ventus S.A</t>
  </si>
  <si>
    <t>Opt 3.6MW</t>
  </si>
  <si>
    <t>08.07.2019</t>
  </si>
  <si>
    <t>Burgerwindpark Reusenkoge</t>
  </si>
  <si>
    <t>16.07.2019</t>
  </si>
  <si>
    <t>Saudi Arabia</t>
  </si>
  <si>
    <t>26.08.2019</t>
  </si>
  <si>
    <t>Avacon</t>
  </si>
  <si>
    <t>02.09.2019</t>
  </si>
  <si>
    <t>04.09.2019</t>
  </si>
  <si>
    <t>NOTUS</t>
  </si>
  <si>
    <t>V150-5.6MW</t>
  </si>
  <si>
    <t>LDST tower</t>
  </si>
  <si>
    <t>05.09.2019</t>
  </si>
  <si>
    <t>Opt 4.3 MW</t>
  </si>
  <si>
    <t>17.09.2019</t>
  </si>
  <si>
    <t>Taaleri Energia</t>
  </si>
  <si>
    <t>23.09.2019</t>
  </si>
  <si>
    <t>Pavlidis</t>
  </si>
  <si>
    <t>26.09.2019</t>
  </si>
  <si>
    <t>Volterra</t>
  </si>
  <si>
    <t>30.09.2019</t>
  </si>
  <si>
    <t>E2i Energie Speciali</t>
  </si>
  <si>
    <t>Glennmont</t>
  </si>
  <si>
    <t>United states</t>
  </si>
  <si>
    <t>Produced and shipped wind turbine (MW)</t>
  </si>
  <si>
    <t>21.10.2019</t>
  </si>
  <si>
    <t>01.11.2019</t>
  </si>
  <si>
    <t>14.11.2019</t>
  </si>
  <si>
    <t>20.11.2019</t>
  </si>
  <si>
    <t>22.11.2019</t>
  </si>
  <si>
    <t>25.11.2019</t>
  </si>
  <si>
    <t>27.11.2019</t>
  </si>
  <si>
    <t>29.11.2019</t>
  </si>
  <si>
    <t>02.12.2019</t>
  </si>
  <si>
    <t>04.12.2019</t>
  </si>
  <si>
    <t>06.12.2019</t>
  </si>
  <si>
    <t>10.12.2019</t>
  </si>
  <si>
    <t>12.12.2019</t>
  </si>
  <si>
    <t>13.12.2019</t>
  </si>
  <si>
    <t>17.12.2019</t>
  </si>
  <si>
    <t>18.12.2019</t>
  </si>
  <si>
    <t>20.12.2019</t>
  </si>
  <si>
    <t>23.12.2019</t>
  </si>
  <si>
    <t>27.12.2019</t>
  </si>
  <si>
    <t>30.12.2019</t>
  </si>
  <si>
    <t>31.12.2019</t>
  </si>
  <si>
    <t>Chuangwei</t>
  </si>
  <si>
    <t>Enlight Renewable Energy</t>
  </si>
  <si>
    <t>TSATEK</t>
  </si>
  <si>
    <t>Fu-Gen</t>
  </si>
  <si>
    <t>EPV Energia</t>
  </si>
  <si>
    <t>Puhuri Oy</t>
  </si>
  <si>
    <t>Produced and shipped wind turbine (#)</t>
  </si>
  <si>
    <t>23.01.2020</t>
  </si>
  <si>
    <t>28.01.2020</t>
  </si>
  <si>
    <t>29.01.2020</t>
  </si>
  <si>
    <t>04.02.2020</t>
  </si>
  <si>
    <t>17.02.2020</t>
  </si>
  <si>
    <t>20.02.2020</t>
  </si>
  <si>
    <t>04.03.2020</t>
  </si>
  <si>
    <t>06.03.2020</t>
  </si>
  <si>
    <t>19.03.2020</t>
  </si>
  <si>
    <t>23.03.2020</t>
  </si>
  <si>
    <t>24.03.2020</t>
  </si>
  <si>
    <t>26.03.2020</t>
  </si>
  <si>
    <t>27.03.2020</t>
  </si>
  <si>
    <t>30.03.2020</t>
  </si>
  <si>
    <t>31.03.2020</t>
  </si>
  <si>
    <t>06.04.2020</t>
  </si>
  <si>
    <t>24.04.2020</t>
  </si>
  <si>
    <t>01.05.2020</t>
  </si>
  <si>
    <t>04.05.2020</t>
  </si>
  <si>
    <t>13.05.2020</t>
  </si>
  <si>
    <t>28.05.2020</t>
  </si>
  <si>
    <t>29.05.2020</t>
  </si>
  <si>
    <t>03.06.2020</t>
  </si>
  <si>
    <t>04.06.2020</t>
  </si>
  <si>
    <t>09.06.2020</t>
  </si>
  <si>
    <t>16.06.2020</t>
  </si>
  <si>
    <t>17.06.2020</t>
  </si>
  <si>
    <t>18.06.2020</t>
  </si>
  <si>
    <t>23.06.2020</t>
  </si>
  <si>
    <t>25.06.2020</t>
  </si>
  <si>
    <t>26.06.2020</t>
  </si>
  <si>
    <t>29.06.2020</t>
  </si>
  <si>
    <t>30.06.2020</t>
  </si>
  <si>
    <t>08.07.2020</t>
  </si>
  <si>
    <t>17.07.2020</t>
  </si>
  <si>
    <t>21.07.2020</t>
  </si>
  <si>
    <t>23.07.2020</t>
  </si>
  <si>
    <t>11.08.2020</t>
  </si>
  <si>
    <t>12.08.2020</t>
  </si>
  <si>
    <t>13.08.2020</t>
  </si>
  <si>
    <t>18.08.2020</t>
  </si>
  <si>
    <t>19.08.2020</t>
  </si>
  <si>
    <t>25.08.2020</t>
  </si>
  <si>
    <t>26.08.2020</t>
  </si>
  <si>
    <t>28.08.2020</t>
  </si>
  <si>
    <t>18.09.2020</t>
  </si>
  <si>
    <t>23.09.2020</t>
  </si>
  <si>
    <t>25.09.2020</t>
  </si>
  <si>
    <t>28.09.2020</t>
  </si>
  <si>
    <t>29.09.2020</t>
  </si>
  <si>
    <t>30.09.2020</t>
  </si>
  <si>
    <t>Colombia</t>
  </si>
  <si>
    <t>Egypt</t>
  </si>
  <si>
    <t>09.10.2020</t>
  </si>
  <si>
    <t>12.10.2020</t>
  </si>
  <si>
    <t>19.10.2020</t>
  </si>
  <si>
    <t>28.10.2020</t>
  </si>
  <si>
    <t>06.11.2020</t>
  </si>
  <si>
    <t>13.11.2020</t>
  </si>
  <si>
    <t>26.11.2020</t>
  </si>
  <si>
    <t>27.11.2020</t>
  </si>
  <si>
    <t>01.12.2020</t>
  </si>
  <si>
    <t>04.12.2020</t>
  </si>
  <si>
    <t>07.12.2020</t>
  </si>
  <si>
    <t>08.12.2020</t>
  </si>
  <si>
    <t>11.12.2020</t>
  </si>
  <si>
    <t>14.12.2020</t>
  </si>
  <si>
    <t>17.12.2020</t>
  </si>
  <si>
    <t>21.12.2020</t>
  </si>
  <si>
    <t>23.12.2020</t>
  </si>
  <si>
    <t>28.12.2020</t>
  </si>
  <si>
    <t>29.12.2020</t>
  </si>
  <si>
    <t>30.12.2020</t>
  </si>
  <si>
    <t>31.12.2020</t>
  </si>
  <si>
    <t>Eurowind Energy A/S</t>
  </si>
  <si>
    <t>opt 2.4MW</t>
  </si>
  <si>
    <t>Stena Renewables AB</t>
  </si>
  <si>
    <t>Luxcara</t>
  </si>
  <si>
    <t>Energía Sierra Juárez</t>
  </si>
  <si>
    <t>opt 4.0MW</t>
  </si>
  <si>
    <t>V155-3.3MW</t>
  </si>
  <si>
    <t>Wind Estate A/S</t>
  </si>
  <si>
    <t>ERG</t>
  </si>
  <si>
    <t>TBEA</t>
  </si>
  <si>
    <t>Sigma Engineering Joint Stock Company</t>
  </si>
  <si>
    <t>Green Investment Group Limited</t>
  </si>
  <si>
    <t>Power Construction Company No.1</t>
  </si>
  <si>
    <t>V126-4.2MW</t>
  </si>
  <si>
    <t>CTG Renewables</t>
  </si>
  <si>
    <t>ENERTRAG</t>
  </si>
  <si>
    <t xml:space="preserve"> KGAL</t>
  </si>
  <si>
    <t>Taaleri SolarWind</t>
  </si>
  <si>
    <t>REE Corporation</t>
  </si>
  <si>
    <t>Inergia SpA</t>
  </si>
  <si>
    <t>Rabobank and Windpark Zeewolde</t>
  </si>
  <si>
    <t>unsure # turbines</t>
  </si>
  <si>
    <t>ecoJoule construct GmbH</t>
  </si>
  <si>
    <t>Tokyu Land Corporation a</t>
  </si>
  <si>
    <t>Elicio</t>
  </si>
  <si>
    <t>Capital power</t>
  </si>
  <si>
    <t>Polenergia Farma Wiatrowa</t>
  </si>
  <si>
    <t>Bac Phuong JSC</t>
  </si>
  <si>
    <t>JWD</t>
  </si>
  <si>
    <t>Anh Group</t>
  </si>
  <si>
    <t>ABO</t>
  </si>
  <si>
    <t>Lincoln</t>
  </si>
  <si>
    <t>SSE</t>
  </si>
  <si>
    <t>ELAWAN</t>
  </si>
  <si>
    <t>CPC</t>
  </si>
  <si>
    <t>Votorantim Energia</t>
  </si>
  <si>
    <t>TERNA ENERGY</t>
  </si>
  <si>
    <t>TINC</t>
  </si>
  <si>
    <t>PNE AG</t>
  </si>
  <si>
    <t>TBW</t>
  </si>
  <si>
    <t>AM Energie Rinnovabili</t>
  </si>
  <si>
    <t>NREA</t>
  </si>
  <si>
    <t>Mainstream Renewable Power</t>
  </si>
  <si>
    <t>Soc Tranf Energy</t>
  </si>
  <si>
    <t>Ia Bang Wind Power</t>
  </si>
  <si>
    <t>Windpark Hopsten</t>
  </si>
  <si>
    <t>Mytilineos S.A</t>
  </si>
  <si>
    <t>SPV Sevivon</t>
  </si>
  <si>
    <t>Casa dos Ventos Energias Renovaveis S/A</t>
  </si>
  <si>
    <t>V150-4.5MW</t>
  </si>
  <si>
    <t>V150-4.3MW</t>
  </si>
  <si>
    <t>Vind AX</t>
  </si>
  <si>
    <t>Ilmatar Energy</t>
  </si>
  <si>
    <t>V162-6.0MW</t>
  </si>
  <si>
    <t>opt 4.3MW</t>
  </si>
  <si>
    <t>opt 3.5MW</t>
  </si>
  <si>
    <t>Phu Dien JSC</t>
  </si>
  <si>
    <t>m Rabbalshede Kraft AB</t>
  </si>
  <si>
    <t>Eneco Verda B.V</t>
  </si>
  <si>
    <t>opt 4.5MW</t>
  </si>
  <si>
    <t>replaces 73 V80-1.8MW</t>
  </si>
  <si>
    <t>Statkraft</t>
  </si>
  <si>
    <t>SwifterwinT op Land B.V</t>
  </si>
  <si>
    <t>Gruppo FERA</t>
  </si>
  <si>
    <t>opt multi MW</t>
  </si>
  <si>
    <t>Ålandsbanken</t>
  </si>
  <si>
    <t>MSPL</t>
  </si>
  <si>
    <t>Finerge</t>
  </si>
  <si>
    <t>NA</t>
  </si>
  <si>
    <t>Number unknow</t>
  </si>
  <si>
    <t>Hoa Binh 1 Company</t>
  </si>
  <si>
    <t>PLT</t>
  </si>
  <si>
    <t>Norlys</t>
  </si>
  <si>
    <t>Kumho Industrial Co</t>
  </si>
  <si>
    <t>ave WS 9.0+ m/s</t>
  </si>
  <si>
    <t>Tra Vinh Wind Power Co. Ltd</t>
  </si>
  <si>
    <t>Pacifico Group and Green Bear Cooperation Poland sp.z.o.o</t>
  </si>
  <si>
    <t>Numbers unknown</t>
  </si>
  <si>
    <t>Akuo Energy</t>
  </si>
  <si>
    <t>Mainstream Renewable Pow</t>
  </si>
  <si>
    <t>MW sold</t>
  </si>
  <si>
    <t>03.02.2021</t>
  </si>
  <si>
    <t>04.02.2021</t>
  </si>
  <si>
    <t>08.02.2021</t>
  </si>
  <si>
    <t>01.03.2021</t>
  </si>
  <si>
    <t>17.03.2021</t>
  </si>
  <si>
    <t>24.03.2021</t>
  </si>
  <si>
    <t>25.03.2021</t>
  </si>
  <si>
    <t>31.03.2021</t>
  </si>
  <si>
    <t>Scotland</t>
  </si>
  <si>
    <t>Bord na Mona</t>
  </si>
  <si>
    <t>InfraRed Capital Partners</t>
  </si>
  <si>
    <t>Energix</t>
  </si>
  <si>
    <t>Shimizu Corporation</t>
  </si>
  <si>
    <t>Reon and CapCerta</t>
  </si>
  <si>
    <t>Toko Electrical Construction Co., Ltd</t>
  </si>
  <si>
    <t>Iberdrola Renewable</t>
  </si>
  <si>
    <t>14.04.2021</t>
  </si>
  <si>
    <t>03.05.2021</t>
  </si>
  <si>
    <t>04.05.2021</t>
  </si>
  <si>
    <t>06.05.2021</t>
  </si>
  <si>
    <t>21.05.2021</t>
  </si>
  <si>
    <t>04.06.2021</t>
  </si>
  <si>
    <t>11.06.2021</t>
  </si>
  <si>
    <t>14.06.2021</t>
  </si>
  <si>
    <t>16.06.2021</t>
  </si>
  <si>
    <t>18.06.2021</t>
  </si>
  <si>
    <t>22.06.2021</t>
  </si>
  <si>
    <t>23.06.2021</t>
  </si>
  <si>
    <t>24.06.2021</t>
  </si>
  <si>
    <t>25.06.2021</t>
  </si>
  <si>
    <t>29.06.2021</t>
  </si>
  <si>
    <t>30.06.2021</t>
  </si>
  <si>
    <t>Faroe Islands</t>
  </si>
  <si>
    <t>Latvia</t>
  </si>
  <si>
    <t>Vindrøkt</t>
  </si>
  <si>
    <t>SIMIC</t>
  </si>
  <si>
    <t>Utilitas</t>
  </si>
  <si>
    <t>Neoen</t>
  </si>
  <si>
    <t>Omega Energia</t>
  </si>
  <si>
    <t>Toda Corp</t>
  </si>
  <si>
    <t>ReNew</t>
  </si>
  <si>
    <t>DIF Capital part</t>
  </si>
  <si>
    <t>EPV Energy</t>
  </si>
  <si>
    <t>DTEK renewables</t>
  </si>
  <si>
    <t>Yeongwal</t>
  </si>
  <si>
    <t>TTR Energy</t>
  </si>
  <si>
    <t>Leeward Renewables</t>
  </si>
  <si>
    <t># of turbine are assumptions as only the platform is mentioned</t>
  </si>
  <si>
    <t>Offshore</t>
  </si>
  <si>
    <t>V174-9.5MW</t>
  </si>
  <si>
    <t>Biocantaber</t>
  </si>
  <si>
    <t>offshore 75km from shore</t>
  </si>
  <si>
    <t>Green Power Sumita</t>
  </si>
  <si>
    <t>23x114m + 4x94m</t>
  </si>
  <si>
    <t>V162-6.2MW</t>
  </si>
  <si>
    <t>Storm</t>
  </si>
  <si>
    <t>"lifetime service agreement???"</t>
  </si>
  <si>
    <t>weighted average</t>
  </si>
  <si>
    <t>Weighted average service contract lenght</t>
  </si>
  <si>
    <t>Average rotor dia</t>
  </si>
  <si>
    <t>Average service contract</t>
  </si>
  <si>
    <t>w. average rotor dia / MW</t>
  </si>
  <si>
    <t>w. average rotor dia /#</t>
  </si>
  <si>
    <t>service:</t>
  </si>
  <si>
    <t>rotor:</t>
  </si>
  <si>
    <t>MW:</t>
  </si>
  <si>
    <t>Average MW</t>
  </si>
  <si>
    <t>w. average service contract</t>
  </si>
  <si>
    <t>w. average rotor dia / #</t>
  </si>
  <si>
    <t>02.07.2021</t>
  </si>
  <si>
    <t>03.08.2021</t>
  </si>
  <si>
    <t>06.08.2021</t>
  </si>
  <si>
    <t>25.08.2021</t>
  </si>
  <si>
    <t>31.08.2021</t>
  </si>
  <si>
    <t>01.09.2021</t>
  </si>
  <si>
    <t>02.09.2021</t>
  </si>
  <si>
    <t>13.09.2021</t>
  </si>
  <si>
    <t>16.09.2021</t>
  </si>
  <si>
    <t>27.09.2021</t>
  </si>
  <si>
    <t>28.09.2021</t>
  </si>
  <si>
    <t>30.09.2021</t>
  </si>
  <si>
    <t>Kuwait</t>
  </si>
  <si>
    <t>United States</t>
  </si>
  <si>
    <t>08.12.2021</t>
  </si>
  <si>
    <t>23.12.2021</t>
  </si>
  <si>
    <t>29.12.2021</t>
  </si>
  <si>
    <t>30.12.2021</t>
  </si>
  <si>
    <t>31.12.2021</t>
  </si>
  <si>
    <t>opt4.3MW</t>
  </si>
  <si>
    <t>Elera Renováveis</t>
  </si>
  <si>
    <t>Windkoepel Groen</t>
  </si>
  <si>
    <t>opt3.8MW</t>
  </si>
  <si>
    <t>opt2.2MW</t>
  </si>
  <si>
    <t>opt3.6MW</t>
  </si>
  <si>
    <t>Repowering Wöhrden Poolgesellschaft GmbH &amp; Co KG</t>
  </si>
  <si>
    <t># of each turbine is uncertain</t>
  </si>
  <si>
    <t>Pampa Energía</t>
  </si>
  <si>
    <t>ABO Wind AG</t>
  </si>
  <si>
    <t>RWE Renewables Italia S.r.l</t>
  </si>
  <si>
    <t>TransAlta</t>
  </si>
  <si>
    <t>Pattern Energy Group LP</t>
  </si>
  <si>
    <t>Boralex</t>
  </si>
  <si>
    <t>Eurus Energy</t>
  </si>
  <si>
    <t>Order backlog - windturbines (MW)</t>
  </si>
  <si>
    <t>multi turbine</t>
  </si>
  <si>
    <t>multi tower</t>
  </si>
  <si>
    <t># orders total</t>
  </si>
  <si>
    <t>Power optimization</t>
  </si>
  <si>
    <t>03.03.2022</t>
  </si>
  <si>
    <t>Estonia</t>
  </si>
  <si>
    <t>08.03.2022</t>
  </si>
  <si>
    <t>11.03.2022</t>
  </si>
  <si>
    <t>31.03.2022</t>
  </si>
  <si>
    <t>V164-10.0MW</t>
  </si>
  <si>
    <t>PCR</t>
  </si>
  <si>
    <t>Enefit Green</t>
  </si>
  <si>
    <t>Cordelio Power</t>
  </si>
  <si>
    <t>Octopus Renewables</t>
  </si>
  <si>
    <t>long-term</t>
  </si>
  <si>
    <t>A2A</t>
  </si>
  <si>
    <t>H2Air</t>
  </si>
  <si>
    <t>Inergia Spa</t>
  </si>
  <si>
    <t>Foxwell Energy Corp</t>
  </si>
  <si>
    <t>15.03.2022</t>
  </si>
  <si>
    <t>25.03.2022</t>
  </si>
  <si>
    <t>O2</t>
  </si>
  <si>
    <t>nan</t>
  </si>
  <si>
    <t>V136-4.5MW</t>
  </si>
  <si>
    <t>Muirhall Energy</t>
  </si>
  <si>
    <t>29.03.2022</t>
  </si>
  <si>
    <t>Tenaris</t>
  </si>
  <si>
    <t>multi-year</t>
  </si>
  <si>
    <t>18.03.2022</t>
  </si>
  <si>
    <t>V155-3.6MW</t>
  </si>
  <si>
    <t>opt 6.0MW</t>
  </si>
  <si>
    <t>Site specific solutions</t>
  </si>
  <si>
    <t>MW - service</t>
  </si>
  <si>
    <t>4-5.99MW</t>
  </si>
  <si>
    <t>Annual report</t>
  </si>
  <si>
    <t>Ar16</t>
  </si>
  <si>
    <t>Ridium Power Group and KGAL</t>
  </si>
  <si>
    <t>Unannounced</t>
  </si>
  <si>
    <t>Q1</t>
  </si>
  <si>
    <t>Q2</t>
  </si>
  <si>
    <t>Q3</t>
  </si>
  <si>
    <t>Q4</t>
  </si>
  <si>
    <t>opt 2.2MW(part)</t>
  </si>
  <si>
    <t>21.09.2021</t>
  </si>
  <si>
    <t>07.12.2021</t>
  </si>
  <si>
    <t>05.05.2022</t>
  </si>
  <si>
    <t>Pan American Energy Energias Renováveis</t>
  </si>
  <si>
    <t>Aluar Aluminio Argentino S.A.I.C</t>
  </si>
  <si>
    <t>total # turbines incl undisclosed</t>
  </si>
  <si>
    <t># ½ spear pr blade</t>
  </si>
  <si>
    <t>Total # blades</t>
  </si>
  <si>
    <t>Spears needed</t>
  </si>
  <si>
    <t>if all turbines had the technology</t>
  </si>
  <si>
    <t>potential turbines</t>
  </si>
  <si>
    <t>supplier 1</t>
  </si>
  <si>
    <t>supplier 2</t>
  </si>
  <si>
    <t>This is maximum</t>
  </si>
  <si>
    <t>reccomendation</t>
  </si>
  <si>
    <t>08.06.2022</t>
  </si>
  <si>
    <t>27.06.2022</t>
  </si>
  <si>
    <t>28.06.2022</t>
  </si>
  <si>
    <t>29.06.2022</t>
  </si>
  <si>
    <t>30.06.2022</t>
  </si>
  <si>
    <t>Qair, TotalEnergies, BW Ideol</t>
  </si>
  <si>
    <t>18 km offshore</t>
  </si>
  <si>
    <t>PAK-Polska Czysta Energia</t>
  </si>
  <si>
    <t>Sacramento Municipal Unitility District</t>
  </si>
  <si>
    <t>Ilmatar Energy Oy</t>
  </si>
  <si>
    <t># of turbines are assumed</t>
  </si>
  <si>
    <t>PEC Energia</t>
  </si>
  <si>
    <t>Red Rock Power limited</t>
  </si>
  <si>
    <t>Eurowind Energy</t>
  </si>
  <si>
    <t>PLT engineering</t>
  </si>
  <si>
    <t>IVPC</t>
  </si>
  <si>
    <t>14.09.2022</t>
  </si>
  <si>
    <t>19.09.2022</t>
  </si>
  <si>
    <t>21.09.2022</t>
  </si>
  <si>
    <t>26.09.2022</t>
  </si>
  <si>
    <t>29.09.2022</t>
  </si>
  <si>
    <t>30.09.2022</t>
  </si>
  <si>
    <t>Lithuania</t>
  </si>
  <si>
    <t>Estudios y Proyectos Pradamap</t>
  </si>
  <si>
    <t>Polimix Energia</t>
  </si>
  <si>
    <t>Gaarz IV Windkraft</t>
  </si>
  <si>
    <t>ENGIE</t>
  </si>
  <si>
    <t>Toda Corporation</t>
  </si>
  <si>
    <t>9x 114 + 3x84</t>
  </si>
  <si>
    <t>Vestas</t>
  </si>
  <si>
    <t>vestas EPC</t>
  </si>
  <si>
    <t>Unannounced total</t>
  </si>
  <si>
    <t>V155</t>
  </si>
  <si>
    <t>V162</t>
  </si>
  <si>
    <t>V164</t>
  </si>
  <si>
    <t>V174</t>
  </si>
  <si>
    <t>delivery q</t>
  </si>
  <si>
    <t>delivery y</t>
  </si>
  <si>
    <t>platform check</t>
  </si>
  <si>
    <t>country check</t>
  </si>
  <si>
    <t>project complete</t>
  </si>
  <si>
    <t>The majority of the Mutkalampi electricity output is allocated to five 10-year corporate Power Purchase Agreements: a 125 MW agreement with Google from 2019 and four other agreements signed with a Dutch consortium (Heineken, Nobian, Philips and Signify) in 2020, amounting to an additional 126 MW</t>
  </si>
  <si>
    <t>un disclosed</t>
  </si>
  <si>
    <t>sum</t>
  </si>
  <si>
    <t>AS</t>
  </si>
  <si>
    <t>EU</t>
  </si>
  <si>
    <t>SA</t>
  </si>
  <si>
    <t>AU</t>
  </si>
  <si>
    <t>AF</t>
  </si>
  <si>
    <t>Region</t>
  </si>
  <si>
    <t># wind farms</t>
  </si>
  <si>
    <t># turbine</t>
  </si>
  <si>
    <t>delivery</t>
  </si>
  <si>
    <t>09.11.2022</t>
  </si>
  <si>
    <t>Apex Clean Energy</t>
  </si>
  <si>
    <t>region</t>
  </si>
  <si>
    <t>coutry</t>
  </si>
  <si>
    <t>Size MW</t>
  </si>
  <si>
    <t>turbines</t>
  </si>
  <si>
    <t>blades</t>
  </si>
  <si>
    <t>18.11.2022</t>
  </si>
  <si>
    <t>wpd</t>
  </si>
  <si>
    <t>29.11.2022</t>
  </si>
  <si>
    <t>TagEnergy</t>
  </si>
  <si>
    <t>08.12.2022</t>
  </si>
  <si>
    <t>14.12.2022</t>
  </si>
  <si>
    <t>15.12.2022</t>
  </si>
  <si>
    <t>20.12.2022</t>
  </si>
  <si>
    <t>21.12.2022</t>
  </si>
  <si>
    <t>Derrinlough</t>
  </si>
  <si>
    <t>V150-6.0MW</t>
  </si>
  <si>
    <t>Infinergy UK</t>
  </si>
  <si>
    <t>23.12.2022</t>
  </si>
  <si>
    <t>De Vizia and Deca</t>
  </si>
  <si>
    <t>27.12.2022</t>
  </si>
  <si>
    <t>SR Energy AB</t>
  </si>
  <si>
    <t>Engie Brasil Energia SA</t>
  </si>
  <si>
    <t>28.12.2022</t>
  </si>
  <si>
    <t>AES corporation</t>
  </si>
  <si>
    <t>30.12.2022</t>
  </si>
  <si>
    <t>incl EPC</t>
  </si>
  <si>
    <t>Campo Eolico Ariano</t>
  </si>
  <si>
    <t>30.12.2023</t>
  </si>
  <si>
    <t>opt 5.6MW</t>
  </si>
  <si>
    <t>Dirkshof Estonia OU</t>
  </si>
  <si>
    <t>19q2</t>
  </si>
  <si>
    <t>19q3</t>
  </si>
  <si>
    <t>19q4</t>
  </si>
  <si>
    <t>20q1</t>
  </si>
  <si>
    <t>20q2</t>
  </si>
  <si>
    <t>20q3</t>
  </si>
  <si>
    <t>20q4</t>
  </si>
  <si>
    <t>21q1</t>
  </si>
  <si>
    <t>21q2</t>
  </si>
  <si>
    <t>21q3</t>
  </si>
  <si>
    <t>21q4</t>
  </si>
  <si>
    <t>22q1</t>
  </si>
  <si>
    <t>22q2</t>
  </si>
  <si>
    <t>22q3</t>
  </si>
  <si>
    <t>22q4</t>
  </si>
  <si>
    <t>€/MW</t>
  </si>
  <si>
    <t>product lifetime</t>
  </si>
  <si>
    <t>13+</t>
  </si>
  <si>
    <t>10+</t>
  </si>
  <si>
    <t>7+</t>
  </si>
  <si>
    <t>14+</t>
  </si>
  <si>
    <t>introduction year</t>
  </si>
  <si>
    <t>obsolete -  to be removed</t>
  </si>
  <si>
    <t>EBIT</t>
  </si>
  <si>
    <t>Technology and Service (R&amp;D)</t>
  </si>
  <si>
    <t>08.03.2023</t>
  </si>
  <si>
    <t>14.03.2023</t>
  </si>
  <si>
    <t>17.03.2023</t>
  </si>
  <si>
    <t>30.03.2023</t>
  </si>
  <si>
    <t>Pampa Energia</t>
  </si>
  <si>
    <t>V163-4.5MW</t>
  </si>
  <si>
    <t>Red Rocket</t>
  </si>
  <si>
    <t>Prime Capital</t>
  </si>
  <si>
    <t>Energieparl Bad Lauchstädt</t>
  </si>
  <si>
    <t>Casa dos Ventos Energias Renovavies</t>
  </si>
  <si>
    <t>Gebbeia</t>
  </si>
  <si>
    <t>V163</t>
  </si>
  <si>
    <t>6MW</t>
  </si>
  <si>
    <t>6MW PL</t>
  </si>
  <si>
    <t>6-7MW</t>
  </si>
  <si>
    <t>31.03.2023</t>
  </si>
  <si>
    <t>JUWI GmbH</t>
  </si>
  <si>
    <t>Estudio y Proyectos</t>
  </si>
  <si>
    <t>Vibrant Energy</t>
  </si>
  <si>
    <t>25.04.2023</t>
  </si>
  <si>
    <t>24.05.2023</t>
  </si>
  <si>
    <t>08.06.2023</t>
  </si>
  <si>
    <t>09.06.2023</t>
  </si>
  <si>
    <t>16.06.2023</t>
  </si>
  <si>
    <t>28.06.2023</t>
  </si>
  <si>
    <t>30.06.2023</t>
  </si>
  <si>
    <t>Hibiki Wind Energy</t>
  </si>
  <si>
    <t>North Kyle Wind Farm</t>
  </si>
  <si>
    <t>Vitol</t>
  </si>
  <si>
    <t>Ox2</t>
  </si>
  <si>
    <t>03.08.2023</t>
  </si>
  <si>
    <t>08.08.2023</t>
  </si>
  <si>
    <t>15.08.2023</t>
  </si>
  <si>
    <t>22.08.2023</t>
  </si>
  <si>
    <t>23.08.2023</t>
  </si>
  <si>
    <t>01.09.2023</t>
  </si>
  <si>
    <t>13.09.2023</t>
  </si>
  <si>
    <t>19.09.2023</t>
  </si>
  <si>
    <t>20.09.2023</t>
  </si>
  <si>
    <t>26.09.2023</t>
  </si>
  <si>
    <t>28.09.2023</t>
  </si>
  <si>
    <t>29.09.2023</t>
  </si>
  <si>
    <t>30.09.2023</t>
  </si>
  <si>
    <t>05.10.2023</t>
  </si>
  <si>
    <t>13.10.2023</t>
  </si>
  <si>
    <t>31.10.2023</t>
  </si>
  <si>
    <t>03.11.2023</t>
  </si>
  <si>
    <t>14.11.2023</t>
  </si>
  <si>
    <t>21.11.2023</t>
  </si>
  <si>
    <t>23.11.2023</t>
  </si>
  <si>
    <t>27.11.2023</t>
  </si>
  <si>
    <t>30.11.2023</t>
  </si>
  <si>
    <t>01.12.2023</t>
  </si>
  <si>
    <t>14.12.2023</t>
  </si>
  <si>
    <t>20.12.2023</t>
  </si>
  <si>
    <t>21.12.2023</t>
  </si>
  <si>
    <t>22.12.2023</t>
  </si>
  <si>
    <t>23.12.2023</t>
  </si>
  <si>
    <t>26.12.2023</t>
  </si>
  <si>
    <t>27.12.2023</t>
  </si>
  <si>
    <t>29.12.2023</t>
  </si>
  <si>
    <t>Renova</t>
  </si>
  <si>
    <t>Opt 4.0</t>
  </si>
  <si>
    <t>Greenbacker</t>
  </si>
  <si>
    <t>Sinia Renovables</t>
  </si>
  <si>
    <t>opt 6.0</t>
  </si>
  <si>
    <t>Energiequelle</t>
  </si>
  <si>
    <t>RWE</t>
  </si>
  <si>
    <t>HOFOR</t>
  </si>
  <si>
    <t>Apex clean Energy</t>
  </si>
  <si>
    <t>SR Energy</t>
  </si>
  <si>
    <t>ORLEN</t>
  </si>
  <si>
    <t>V236-15.0MW</t>
  </si>
  <si>
    <t>Burgerwind</t>
  </si>
  <si>
    <t>Sanko Holding</t>
  </si>
  <si>
    <t>EnBW</t>
  </si>
  <si>
    <t>V162-7.2MW</t>
  </si>
  <si>
    <t>Eviva Drzezewo</t>
  </si>
  <si>
    <t>opt 2.2</t>
  </si>
  <si>
    <t>opt 6.4</t>
  </si>
  <si>
    <t>V172-7.2MW</t>
  </si>
  <si>
    <t>v172-7.2MW</t>
  </si>
  <si>
    <t>Strom 2020</t>
  </si>
  <si>
    <t>SAB WindTeam</t>
  </si>
  <si>
    <t>Ilmatar</t>
  </si>
  <si>
    <t>UAB</t>
  </si>
  <si>
    <t>Ecowende</t>
  </si>
  <si>
    <t>WindStrom</t>
  </si>
  <si>
    <t>V236</t>
  </si>
  <si>
    <t>V172</t>
  </si>
  <si>
    <t>Delivery days</t>
  </si>
  <si>
    <t>delivery days</t>
  </si>
  <si>
    <t>days</t>
  </si>
  <si>
    <t>Rotor_1</t>
  </si>
  <si>
    <t>MW_1</t>
  </si>
  <si>
    <t>special mode_1</t>
  </si>
  <si>
    <t>Tower height_1</t>
  </si>
  <si>
    <t>No_WTG_2</t>
  </si>
  <si>
    <t>No_WTG_1</t>
  </si>
  <si>
    <t>Rotor_2</t>
  </si>
  <si>
    <t>MW_2</t>
  </si>
  <si>
    <t>special mode_2</t>
  </si>
  <si>
    <t>Tower height_2</t>
  </si>
  <si>
    <t>No_WTG_3</t>
  </si>
  <si>
    <t>No_WTG_4</t>
  </si>
  <si>
    <t>V150-4,5MW</t>
  </si>
  <si>
    <t>deliveries [MW]</t>
  </si>
  <si>
    <t>Waste of on operation [kt]</t>
  </si>
  <si>
    <t>of which recycled [kt]</t>
  </si>
  <si>
    <t>Material effeciency - t waste pr MW shipped</t>
  </si>
  <si>
    <t>10.03.2023</t>
  </si>
  <si>
    <t>23q1</t>
  </si>
  <si>
    <t>23q2</t>
  </si>
  <si>
    <t>23q3</t>
  </si>
  <si>
    <t>23q4</t>
  </si>
  <si>
    <t>average MW</t>
  </si>
  <si>
    <t>Quantity</t>
  </si>
  <si>
    <t>Aruba</t>
  </si>
  <si>
    <t>Azerbaijan</t>
  </si>
  <si>
    <t>Bahrain</t>
  </si>
  <si>
    <t>Belarus</t>
  </si>
  <si>
    <t>Cuba</t>
  </si>
  <si>
    <t>Curaçao</t>
  </si>
  <si>
    <t>Georgia</t>
  </si>
  <si>
    <t>Iran</t>
  </si>
  <si>
    <t>Israel</t>
  </si>
  <si>
    <t>Total [MW]</t>
  </si>
  <si>
    <t>Latest installation</t>
  </si>
  <si>
    <t>Czech Republic</t>
  </si>
  <si>
    <t>Luxemburg</t>
  </si>
  <si>
    <t>Malaysia</t>
  </si>
  <si>
    <t>Mauritius</t>
  </si>
  <si>
    <t>Montserrat</t>
  </si>
  <si>
    <t>New Caledonia</t>
  </si>
  <si>
    <t>North Korea</t>
  </si>
  <si>
    <t>Slovakia</t>
  </si>
  <si>
    <t>Switzerland</t>
  </si>
  <si>
    <t>Türkiye</t>
  </si>
  <si>
    <t>UAE</t>
  </si>
  <si>
    <t>Other</t>
  </si>
  <si>
    <t>V164-10</t>
  </si>
  <si>
    <t>Total MW</t>
  </si>
  <si>
    <t>V80-1_8/2_0</t>
  </si>
  <si>
    <t>V90-1_8/2_0</t>
  </si>
  <si>
    <t>V90-3_0</t>
  </si>
  <si>
    <t>V100-1_8/2_0</t>
  </si>
  <si>
    <t>V105-3_45</t>
  </si>
  <si>
    <t>V110-2_0</t>
  </si>
  <si>
    <t>V112-3_0/V112-3_3/V112-3_45</t>
  </si>
  <si>
    <t>V116-2_1</t>
  </si>
  <si>
    <t>V117-3_3/V117-3_45/V117-4_2</t>
  </si>
  <si>
    <t>V120-2_2</t>
  </si>
  <si>
    <t>V126-3_3/V126-3_45/V126-4_2</t>
  </si>
  <si>
    <t>V136-3_45/V136-4_2/V136-4_5</t>
  </si>
  <si>
    <t>V150-4_2</t>
  </si>
  <si>
    <t>V150-4_5</t>
  </si>
  <si>
    <t>V150-5_6/V150-6_0</t>
  </si>
  <si>
    <t>V155-3_3/V155-3_6</t>
  </si>
  <si>
    <t>V162-5_6/V162-6_0/V162-6_2</t>
  </si>
  <si>
    <t>V164-8_0</t>
  </si>
  <si>
    <t>V164-9_5</t>
  </si>
  <si>
    <t>V174-9_45</t>
  </si>
  <si>
    <t>10.02.2024</t>
  </si>
  <si>
    <t>26.02.2024</t>
  </si>
  <si>
    <t>05.03.2024</t>
  </si>
  <si>
    <t>08.03.2024</t>
  </si>
  <si>
    <t>Enova Power</t>
  </si>
  <si>
    <t>Thyborøn-Harboøre</t>
  </si>
  <si>
    <t>2800 local share holders</t>
  </si>
  <si>
    <t>14.03.2024</t>
  </si>
  <si>
    <t>19.03.2024</t>
  </si>
  <si>
    <t>ENHOL</t>
  </si>
  <si>
    <t>27.03.2024</t>
  </si>
  <si>
    <t>29.03.2024</t>
  </si>
  <si>
    <t>21.05.2024</t>
  </si>
  <si>
    <t>03.06.2024</t>
  </si>
  <si>
    <t>06.06.2024</t>
  </si>
  <si>
    <t>10.06.2024</t>
  </si>
  <si>
    <t>13.06.2024</t>
  </si>
  <si>
    <t>14.06.2024</t>
  </si>
  <si>
    <t>17.06.2024</t>
  </si>
  <si>
    <t>18.06.2024</t>
  </si>
  <si>
    <t>25.06.2024</t>
  </si>
  <si>
    <t>28.06.2024</t>
  </si>
  <si>
    <t>03.07.2024</t>
  </si>
  <si>
    <t>18.07.2024</t>
  </si>
  <si>
    <t>22.07.2024</t>
  </si>
  <si>
    <t>29.07.2024</t>
  </si>
  <si>
    <t>30.07.2024</t>
  </si>
  <si>
    <t>07.08.2024</t>
  </si>
  <si>
    <t>08.08.2024</t>
  </si>
  <si>
    <t>09.08.2024</t>
  </si>
  <si>
    <t>13.08.2024</t>
  </si>
  <si>
    <t>15.08.2024</t>
  </si>
  <si>
    <t>21.08.2024</t>
  </si>
  <si>
    <t>03.08.2024</t>
  </si>
  <si>
    <t>09.09.2024</t>
  </si>
  <si>
    <t>Energa Green Development</t>
  </si>
  <si>
    <t>GS E&amp;R</t>
  </si>
  <si>
    <t>opt 4.3</t>
  </si>
  <si>
    <t>Edison Rinnovabili</t>
  </si>
  <si>
    <t>BE Energy</t>
  </si>
  <si>
    <t>Telsiai</t>
  </si>
  <si>
    <t>Erneuerbare Energie</t>
  </si>
  <si>
    <t>Denker &amp; Wulf AG</t>
  </si>
  <si>
    <t>Rezolz Energy</t>
  </si>
  <si>
    <t>Elawan Energy</t>
  </si>
  <si>
    <t>opt 6.4 (3)</t>
  </si>
  <si>
    <t>Mercury Energy</t>
  </si>
  <si>
    <t>Invenergy</t>
  </si>
  <si>
    <t>LEAG</t>
  </si>
  <si>
    <t>African Clean Energy Development</t>
  </si>
  <si>
    <t>Aquila Clean Energy</t>
  </si>
  <si>
    <t>Kangal Energy</t>
  </si>
  <si>
    <t>Hollandse Kust West VII</t>
  </si>
  <si>
    <t>RWE &amp; TotalEnergies</t>
  </si>
  <si>
    <t>WindBauer</t>
  </si>
  <si>
    <t>Green Mind Ventures</t>
  </si>
  <si>
    <t>VGE</t>
  </si>
  <si>
    <t>Dominican republic</t>
  </si>
  <si>
    <t>CS Energy</t>
  </si>
  <si>
    <t>Competitive Power Ventures</t>
  </si>
  <si>
    <t>BWP</t>
  </si>
  <si>
    <t>Equinor</t>
  </si>
  <si>
    <t>24.09.2024</t>
  </si>
  <si>
    <t>30.09.2024</t>
  </si>
  <si>
    <t>Tohoku Electric</t>
  </si>
  <si>
    <t>Libeccio</t>
  </si>
  <si>
    <t>Altano Energy</t>
  </si>
  <si>
    <t>16.10.2024</t>
  </si>
  <si>
    <t>18.10.2024</t>
  </si>
  <si>
    <t>29.10.2024</t>
  </si>
  <si>
    <t>05.11.2024</t>
  </si>
  <si>
    <t>13.11.2024</t>
  </si>
  <si>
    <t>18.11.2024</t>
  </si>
  <si>
    <t>28.11.2024</t>
  </si>
  <si>
    <t>02.12.2024</t>
  </si>
  <si>
    <t>13.12.2024</t>
  </si>
  <si>
    <t>17.12.2024</t>
  </si>
  <si>
    <t>18.12.2024</t>
  </si>
  <si>
    <t>19.12.2024</t>
  </si>
  <si>
    <t>20.12.2024</t>
  </si>
  <si>
    <t>23.12.2024</t>
  </si>
  <si>
    <t>24.12.2024</t>
  </si>
  <si>
    <t>26.12.2024</t>
  </si>
  <si>
    <t>27.12.2024</t>
  </si>
  <si>
    <t>30.12.2024</t>
  </si>
  <si>
    <t>Exus Manament partners</t>
  </si>
  <si>
    <t>Terrawatt</t>
  </si>
  <si>
    <t>Eolenerg</t>
  </si>
  <si>
    <t>V150-4.0MW</t>
  </si>
  <si>
    <t>Mibrag</t>
  </si>
  <si>
    <t>Windpark Reinhardswald</t>
  </si>
  <si>
    <t>phase b of the 14.06.2024 order</t>
  </si>
  <si>
    <t>SSE Generation</t>
  </si>
  <si>
    <t>Meridian windpark</t>
  </si>
  <si>
    <t>V162-6.4MW</t>
  </si>
  <si>
    <t>Brookfield renewable</t>
  </si>
  <si>
    <t>Vinliden Vindkraft</t>
  </si>
  <si>
    <t>GK JRE</t>
  </si>
  <si>
    <t>Eurowind energy</t>
  </si>
  <si>
    <t>Hallendrup gruppen</t>
  </si>
  <si>
    <t>GR value</t>
  </si>
  <si>
    <t>King Rocks wind farm</t>
  </si>
  <si>
    <t>Oberhessische</t>
  </si>
  <si>
    <t>Windpark Ohrenbach</t>
  </si>
  <si>
    <t>Ventspils wind</t>
  </si>
  <si>
    <t>Oga Katagami</t>
  </si>
  <si>
    <t>Clearway energy group</t>
  </si>
  <si>
    <t>K/S energipark</t>
  </si>
  <si>
    <t>Alerion San Marco</t>
  </si>
  <si>
    <t>Consumption of energy (GWh)</t>
  </si>
  <si>
    <t>22.01.2025</t>
  </si>
  <si>
    <t>13.03.2025</t>
  </si>
  <si>
    <t>26.03.2025</t>
  </si>
  <si>
    <t>28.03.2025</t>
  </si>
  <si>
    <t>31.03.22025</t>
  </si>
  <si>
    <t>opt 6,0</t>
  </si>
  <si>
    <t>opt 5,6</t>
  </si>
  <si>
    <t>MIBRAG GmbH</t>
  </si>
  <si>
    <t>Edison Spa</t>
  </si>
  <si>
    <t>Ørsted Wind Power A/S</t>
  </si>
  <si>
    <t>Clearway Energy Grou</t>
  </si>
  <si>
    <t>opt 4,3</t>
  </si>
  <si>
    <t>05.05.2025</t>
  </si>
  <si>
    <t>13.05.2025</t>
  </si>
  <si>
    <t>30.05.2025</t>
  </si>
  <si>
    <t>03.06.2025</t>
  </si>
  <si>
    <t>09.06.2025</t>
  </si>
  <si>
    <t>17.06.2025</t>
  </si>
  <si>
    <t>30.06.2025</t>
  </si>
  <si>
    <t>Lindenhof GmbH</t>
  </si>
  <si>
    <t>WWS Projektbau GmbH &amp; Co. KG</t>
  </si>
  <si>
    <t>Berliner Stadtwerke GmbH</t>
  </si>
  <si>
    <t>ABO Energy</t>
  </si>
  <si>
    <t>Dolomiti Energia Group and IVPC Group</t>
  </si>
  <si>
    <t>Naturgy</t>
  </si>
  <si>
    <t>Boreas Energie GmbH</t>
  </si>
  <si>
    <t>Chubu Electric Power Co., Ltd.</t>
  </si>
  <si>
    <t>15.07.2025</t>
  </si>
  <si>
    <t>17.07.2025</t>
  </si>
  <si>
    <t>21.07.2025</t>
  </si>
  <si>
    <t>01.08.2025</t>
  </si>
  <si>
    <t>07.08.2025</t>
  </si>
  <si>
    <t>08.08.2025</t>
  </si>
  <si>
    <t>11.08.2025</t>
  </si>
  <si>
    <t>02.09.2025</t>
  </si>
  <si>
    <t>08.09.2025</t>
  </si>
  <si>
    <t>12.09.2025</t>
  </si>
  <si>
    <t>19.09.2025</t>
  </si>
  <si>
    <t>23.09.2025</t>
  </si>
  <si>
    <t>29.09.2025</t>
  </si>
  <si>
    <t>30.09.2025</t>
  </si>
  <si>
    <t>TOWII Renewables A/S</t>
  </si>
  <si>
    <t>First Look Solutions S.R.L</t>
  </si>
  <si>
    <t>Prezeller Wind GmbH &amp; Co. KG</t>
  </si>
  <si>
    <t>OX2 Construction AB</t>
  </si>
  <si>
    <t>opt 4,0</t>
  </si>
  <si>
    <t>Energiekontor AG</t>
  </si>
  <si>
    <t>WestfalenWIND</t>
  </si>
  <si>
    <t>Alterric Deutschland GmbH</t>
  </si>
  <si>
    <t>CNI S. A</t>
  </si>
  <si>
    <t>Youngduk Wind Power</t>
  </si>
  <si>
    <t>V135-4.5MW</t>
  </si>
  <si>
    <t>V117-4.3MW</t>
  </si>
  <si>
    <t>Campana Energie Rinnovabili s.r.l.</t>
  </si>
  <si>
    <t>Vatteltall</t>
  </si>
  <si>
    <t>Windstrom</t>
  </si>
  <si>
    <t>Raiffeisen Windpark Saterland GmbH</t>
  </si>
  <si>
    <t>BBWind</t>
  </si>
  <si>
    <t>04.11.2025</t>
  </si>
  <si>
    <t>07.11.2025</t>
  </si>
  <si>
    <t>01.12.2025</t>
  </si>
  <si>
    <t>05.12.2025</t>
  </si>
  <si>
    <t>11.12.2025</t>
  </si>
  <si>
    <t>15.12.2025</t>
  </si>
  <si>
    <t>17.12.2025</t>
  </si>
  <si>
    <t>19.12.2025</t>
  </si>
  <si>
    <t>22.12.2025</t>
  </si>
  <si>
    <t>23.12.2025</t>
  </si>
  <si>
    <t>29.12.2025</t>
  </si>
  <si>
    <t>30.12.2025</t>
  </si>
  <si>
    <t>31.12.2025</t>
  </si>
  <si>
    <t>Enertrag SE</t>
  </si>
  <si>
    <t>Windpark Niederlungwitz Struktur GmbH</t>
  </si>
  <si>
    <t>Energiekontor AG &amp; Loscon</t>
  </si>
  <si>
    <t>United states and Canada</t>
  </si>
  <si>
    <t>Cementeria Costantinopoli Srl</t>
  </si>
  <si>
    <t>wpd GmbH</t>
  </si>
  <si>
    <t>FW LUBIEŃ 1 SP. Z o.o. /Greenvolt Power Group Sp. z o.o.</t>
  </si>
  <si>
    <t>OX2 AB</t>
  </si>
  <si>
    <t>Windkraft Presen-Burgstaaken GmbH &amp; Co. KG</t>
  </si>
  <si>
    <t>Projekt Projektierungsgesellschaft für regenerative Energiesysteme mbH</t>
  </si>
  <si>
    <t>iterra energy GmbH</t>
  </si>
  <si>
    <t>V150-6.0 MW</t>
  </si>
  <si>
    <t>V162-7.2 MW</t>
  </si>
  <si>
    <t>V162-6.2 MW</t>
  </si>
  <si>
    <t> Shinan-Ui</t>
  </si>
  <si>
    <t>Invis Energy</t>
  </si>
  <si>
    <t>Capital Energy</t>
  </si>
  <si>
    <t>Saeta</t>
  </si>
  <si>
    <t>Hyperion</t>
  </si>
  <si>
    <t>DaeMyoung  Energy Co., Ltd</t>
  </si>
  <si>
    <t>V162-6.5MW</t>
  </si>
  <si>
    <t>for public orders</t>
  </si>
  <si>
    <t/>
  </si>
  <si>
    <t>United states and canada</t>
  </si>
  <si>
    <t>Vestas Sales Data — Data Ownership &amp; Use Notice</t>
  </si>
  <si>
    <t>Copyright (c) Thomas Buhl. All rights reserved.</t>
  </si>
  <si>
    <t>I, Thomas Buhl, generated the dataset contained in this repository (“Data”) and I own the Data.</t>
  </si>
  <si>
    <t>Permission is granted to use the Data for personal, academic, and internal evaluation purposes, provided that you give appropriate credit to Thomas Buhl.</t>
  </si>
  <si>
    <t>Commercial use is not permitted without prior written permission. If you would like to use the Data for commercial purposes, please contact:</t>
  </si>
  <si>
    <t>thomasbuhldk@gmail.com</t>
  </si>
  <si>
    <t>DISCLAIMER</t>
  </si>
  <si>
    <t>THE DATA IS PROVIDED “AS IS”, WITHOUT WARRANTY OF ANY KIND, EXPRESS OR IMPLIED, INCLUDING BUT NOT LIMITED TO THE WARRANTIES OF ACCURACY, COMPLETENESS, NON-INFRINGEMENT, MERCHANTABILITY, OR FITNESS FOR A PARTICULAR PURPOSE.</t>
  </si>
  <si>
    <t>LIMITATION OF LIABILITY</t>
  </si>
  <si>
    <t>IN NO EVENT SHALL THOMAS BUHL BE LIABLE FOR ANY CLAIM, DAMAGES, OR OTHER LIABILITY, WHETHER IN AN ACTION OF CONTRACT, TORT, OR OTHERWISE, ARISING FROM, OUT OF, OR IN CONNECTION WITH THE DATA OR THE USE OR OTHER DEALINGS IN THE DATA. USE THE DATA AT YOUR OWN RISK.</t>
  </si>
  <si>
    <t>Unofficial dashboard — not affiliated with or endorsed by Vestas. Data compiled manually from public Vestas reports/announcements; verify against original sources. Provided “as is” without warranty.</t>
  </si>
  <si>
    <t>## Sources and attribution</t>
  </si>
  <si>
    <t>All figures are compiled manually from Vestas public investor communications (press releases/announcements) and annual reports.</t>
  </si>
  <si>
    <t>Each datapoint should be verified against the original source documents.</t>
  </si>
  <si>
    <t>## No affiliation / no endorsement</t>
  </si>
  <si>
    <t>This is an unofficial, independent dashboard and is not affiliated with, endorsed by, or sponsored by Vestas.</t>
  </si>
  <si>
    <t>## IP and rights</t>
  </si>
  <si>
    <t>The dataset in this repository is my own compilation (selection/structure) based on publicly available sources.</t>
  </si>
  <si>
    <t>Underlying source documents remain the property of their respective owners.</t>
  </si>
  <si>
    <t>## Disclaimer</t>
  </si>
  <si>
    <t>The data and dashboard are provided “as is” without warranties of any kind. I make no guarantees of accuracy, completeness, or fitness for a particular purpose. Use at your own risk. I am not responsible or liable for any losses or damages arising from use of the data or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</si>
</sst>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
    <numFmt numFmtId="167" formatCode="dd\.mm\.yyyy;@"/>
  </numFmts>
  <fonts count="23" x14ac:knownFonts="1">
    <font>
      <sz val="11"/>
      <color theme="1"/>
      <name val="Calibri"/>
      <family val="2"/>
      <scheme val="minor"/>
    </font>
    <font>
      <b/>
      <sz val="11"/>
      <color theme="1"/>
      <name val="Calibri"/>
      <family val="2"/>
      <scheme val="minor"/>
    </font>
    <font>
      <u/>
      <sz val="11"/>
      <color theme="10"/>
      <name val="Calibri"/>
      <family val="2"/>
      <scheme val="minor"/>
    </font>
    <font>
      <sz val="9"/>
      <color indexed="81"/>
      <name val="Tahoma"/>
      <family val="2"/>
    </font>
    <font>
      <b/>
      <sz val="9"/>
      <color indexed="81"/>
      <name val="Tahoma"/>
      <family val="2"/>
    </font>
    <font>
      <sz val="11"/>
      <color indexed="8"/>
      <name val="Calibri"/>
      <family val="2"/>
      <charset val="1"/>
    </font>
    <font>
      <sz val="8"/>
      <name val="Calibri"/>
      <family val="2"/>
      <scheme val="minor"/>
    </font>
    <font>
      <sz val="11"/>
      <color theme="4" tint="-0.249977111117893"/>
      <name val="Calibri"/>
      <family val="2"/>
      <scheme val="minor"/>
    </font>
    <font>
      <sz val="10"/>
      <name val="Arial"/>
      <family val="2"/>
    </font>
    <font>
      <sz val="10"/>
      <name val="Arial"/>
      <family val="2"/>
    </font>
    <font>
      <sz val="10"/>
      <color theme="4"/>
      <name val="Arial"/>
      <family val="2"/>
    </font>
    <font>
      <b/>
      <sz val="14"/>
      <color theme="1"/>
      <name val="Calibri"/>
      <family val="2"/>
      <scheme val="minor"/>
    </font>
    <font>
      <b/>
      <sz val="16"/>
      <color theme="1"/>
      <name val="Calibri"/>
      <family val="2"/>
      <scheme val="minor"/>
    </font>
    <font>
      <b/>
      <sz val="10"/>
      <name val="Arial"/>
      <family val="2"/>
    </font>
    <font>
      <sz val="11"/>
      <color rgb="FFFF0000"/>
      <name val="Calibri"/>
      <family val="2"/>
      <scheme val="minor"/>
    </font>
    <font>
      <sz val="11"/>
      <color theme="7"/>
      <name val="Calibri"/>
      <family val="2"/>
      <charset val="1"/>
    </font>
    <font>
      <b/>
      <sz val="11"/>
      <color indexed="8"/>
      <name val="Calibri"/>
      <family val="2"/>
    </font>
    <font>
      <sz val="11"/>
      <name val="Calibri"/>
      <family val="2"/>
      <scheme val="minor"/>
    </font>
    <font>
      <sz val="11"/>
      <color rgb="FF9C0006"/>
      <name val="Calibri"/>
      <family val="2"/>
      <scheme val="minor"/>
    </font>
    <font>
      <sz val="10"/>
      <color theme="1"/>
      <name val="Arial"/>
      <family val="2"/>
    </font>
    <font>
      <sz val="11"/>
      <color theme="4"/>
      <name val="Calibri"/>
      <family val="2"/>
      <scheme val="minor"/>
    </font>
    <font>
      <sz val="10"/>
      <color theme="4" tint="-0.249977111117893"/>
      <name val="Arial"/>
      <family val="2"/>
    </font>
    <font>
      <sz val="11"/>
      <color indexed="8"/>
      <name val="Calibri"/>
      <family val="2"/>
    </font>
  </fonts>
  <fills count="5">
    <fill>
      <patternFill patternType="none"/>
    </fill>
    <fill>
      <patternFill patternType="gray125"/>
    </fill>
    <fill>
      <patternFill patternType="solid">
        <fgColor theme="9" tint="0.39997558519241921"/>
        <bgColor indexed="64"/>
      </patternFill>
    </fill>
    <fill>
      <patternFill patternType="solid">
        <fgColor theme="4" tint="0.79998168889431442"/>
        <bgColor indexed="64"/>
      </patternFill>
    </fill>
    <fill>
      <patternFill patternType="solid">
        <fgColor rgb="FFFFC7CE"/>
      </patternFill>
    </fill>
  </fills>
  <borders count="3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4">
    <xf numFmtId="0" fontId="0" fillId="0" borderId="0"/>
    <xf numFmtId="0" fontId="2" fillId="0" borderId="0" applyNumberFormat="0" applyFill="0" applyBorder="0" applyAlignment="0" applyProtection="0"/>
    <xf numFmtId="0" fontId="5" fillId="0" borderId="0"/>
    <xf numFmtId="0" fontId="18" fillId="4" borderId="0" applyNumberFormat="0" applyBorder="0" applyAlignment="0" applyProtection="0"/>
  </cellStyleXfs>
  <cellXfs count="170">
    <xf numFmtId="0" fontId="0" fillId="0" borderId="0" xfId="0"/>
    <xf numFmtId="1" fontId="0" fillId="0" borderId="0" xfId="0" applyNumberFormat="1"/>
    <xf numFmtId="16" fontId="0" fillId="0" borderId="0" xfId="0" applyNumberFormat="1"/>
    <xf numFmtId="0" fontId="1" fillId="0" borderId="0" xfId="0" applyFont="1"/>
    <xf numFmtId="0" fontId="2" fillId="0" borderId="0" xfId="1"/>
    <xf numFmtId="0" fontId="1" fillId="0" borderId="1" xfId="0" applyFont="1" applyBorder="1"/>
    <xf numFmtId="0" fontId="1" fillId="0" borderId="2" xfId="0" applyFont="1" applyBorder="1"/>
    <xf numFmtId="0" fontId="1"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 xfId="0" applyBorder="1"/>
    <xf numFmtId="0" fontId="0" fillId="0" borderId="2" xfId="0" applyBorder="1"/>
    <xf numFmtId="0" fontId="0" fillId="0" borderId="3" xfId="0" applyBorder="1"/>
    <xf numFmtId="0" fontId="0" fillId="0" borderId="6" xfId="0" quotePrefix="1" applyBorder="1"/>
    <xf numFmtId="3" fontId="0" fillId="0" borderId="0" xfId="0" applyNumberFormat="1"/>
    <xf numFmtId="2" fontId="0" fillId="0" borderId="0" xfId="0" applyNumberFormat="1"/>
    <xf numFmtId="1" fontId="0" fillId="0" borderId="5" xfId="0" applyNumberFormat="1" applyBorder="1"/>
    <xf numFmtId="1" fontId="0" fillId="0" borderId="8" xfId="0" applyNumberFormat="1" applyBorder="1"/>
    <xf numFmtId="164" fontId="0" fillId="0" borderId="5" xfId="0" applyNumberFormat="1" applyBorder="1"/>
    <xf numFmtId="2" fontId="0" fillId="0" borderId="7" xfId="0" applyNumberFormat="1" applyBorder="1"/>
    <xf numFmtId="2" fontId="0" fillId="0" borderId="5" xfId="0" applyNumberFormat="1" applyBorder="1"/>
    <xf numFmtId="164" fontId="0" fillId="0" borderId="0" xfId="0" applyNumberFormat="1"/>
    <xf numFmtId="0" fontId="0" fillId="0" borderId="0" xfId="0" quotePrefix="1"/>
    <xf numFmtId="0" fontId="2" fillId="0" borderId="0" xfId="1" applyBorder="1"/>
    <xf numFmtId="17" fontId="0" fillId="0" borderId="0" xfId="0" applyNumberFormat="1"/>
    <xf numFmtId="1" fontId="0" fillId="0" borderId="7" xfId="0" applyNumberFormat="1" applyBorder="1"/>
    <xf numFmtId="0" fontId="0" fillId="0" borderId="4" xfId="0" quotePrefix="1" applyBorder="1"/>
    <xf numFmtId="16" fontId="0" fillId="0" borderId="7" xfId="0" applyNumberFormat="1" applyBorder="1"/>
    <xf numFmtId="164" fontId="0" fillId="0" borderId="7" xfId="0" applyNumberFormat="1" applyBorder="1"/>
    <xf numFmtId="0" fontId="0" fillId="0" borderId="9" xfId="0" applyBorder="1"/>
    <xf numFmtId="165" fontId="0" fillId="0" borderId="0" xfId="0" applyNumberFormat="1"/>
    <xf numFmtId="10" fontId="0" fillId="0" borderId="0" xfId="0" applyNumberFormat="1"/>
    <xf numFmtId="1" fontId="0" fillId="2" borderId="0" xfId="0" applyNumberFormat="1" applyFill="1"/>
    <xf numFmtId="0" fontId="1" fillId="0" borderId="9" xfId="0" applyFont="1" applyBorder="1"/>
    <xf numFmtId="0" fontId="1" fillId="0" borderId="11" xfId="0" applyFont="1" applyBorder="1"/>
    <xf numFmtId="0" fontId="1" fillId="0" borderId="10" xfId="0" applyFont="1" applyBorder="1"/>
    <xf numFmtId="0" fontId="1" fillId="0" borderId="12" xfId="0" applyFont="1" applyBorder="1"/>
    <xf numFmtId="0" fontId="5" fillId="0" borderId="0" xfId="2"/>
    <xf numFmtId="0" fontId="5" fillId="0" borderId="7" xfId="2" applyBorder="1"/>
    <xf numFmtId="1" fontId="0" fillId="0" borderId="3" xfId="0" applyNumberFormat="1" applyBorder="1"/>
    <xf numFmtId="0" fontId="7" fillId="0" borderId="0" xfId="0" applyFont="1"/>
    <xf numFmtId="0" fontId="8" fillId="0" borderId="0" xfId="0" applyFont="1"/>
    <xf numFmtId="3" fontId="1" fillId="0" borderId="0" xfId="0" applyNumberFormat="1" applyFont="1"/>
    <xf numFmtId="0" fontId="9" fillId="0" borderId="0" xfId="0" applyFont="1"/>
    <xf numFmtId="0" fontId="10" fillId="0" borderId="0" xfId="0" applyFont="1"/>
    <xf numFmtId="0" fontId="9" fillId="0" borderId="7" xfId="0" applyFont="1" applyBorder="1"/>
    <xf numFmtId="0" fontId="10" fillId="3" borderId="7" xfId="0" applyFont="1" applyFill="1" applyBorder="1"/>
    <xf numFmtId="166" fontId="0" fillId="0" borderId="0" xfId="0" applyNumberFormat="1"/>
    <xf numFmtId="166" fontId="0" fillId="0" borderId="5" xfId="0" applyNumberFormat="1" applyBorder="1"/>
    <xf numFmtId="166" fontId="0" fillId="0" borderId="7" xfId="0" applyNumberFormat="1" applyBorder="1"/>
    <xf numFmtId="166" fontId="0" fillId="0" borderId="8" xfId="0" applyNumberFormat="1" applyBorder="1"/>
    <xf numFmtId="1" fontId="0" fillId="0" borderId="2" xfId="0" applyNumberFormat="1" applyBorder="1"/>
    <xf numFmtId="0" fontId="1" fillId="0" borderId="4" xfId="0" applyFont="1" applyBorder="1"/>
    <xf numFmtId="0" fontId="1" fillId="0" borderId="6" xfId="0" applyFont="1" applyBorder="1"/>
    <xf numFmtId="0" fontId="11" fillId="0" borderId="2" xfId="0" applyFont="1" applyBorder="1"/>
    <xf numFmtId="0" fontId="1" fillId="0" borderId="4" xfId="0" quotePrefix="1" applyFont="1" applyBorder="1"/>
    <xf numFmtId="0" fontId="12" fillId="0" borderId="0" xfId="0" applyFont="1"/>
    <xf numFmtId="0" fontId="0" fillId="0" borderId="13" xfId="0" applyBorder="1"/>
    <xf numFmtId="16" fontId="0" fillId="0" borderId="13" xfId="0" applyNumberFormat="1" applyBorder="1"/>
    <xf numFmtId="1" fontId="0" fillId="0" borderId="13" xfId="0" applyNumberFormat="1" applyBorder="1"/>
    <xf numFmtId="164" fontId="0" fillId="0" borderId="8" xfId="0" applyNumberFormat="1" applyBorder="1"/>
    <xf numFmtId="164" fontId="0" fillId="0" borderId="1" xfId="0" applyNumberFormat="1" applyBorder="1"/>
    <xf numFmtId="164" fontId="0" fillId="0" borderId="2" xfId="0" applyNumberFormat="1" applyBorder="1"/>
    <xf numFmtId="164" fontId="0" fillId="0" borderId="3" xfId="0" applyNumberFormat="1" applyBorder="1"/>
    <xf numFmtId="164" fontId="0" fillId="0" borderId="6" xfId="0" applyNumberFormat="1" applyBorder="1"/>
    <xf numFmtId="0" fontId="10" fillId="3" borderId="0" xfId="0" applyFont="1" applyFill="1"/>
    <xf numFmtId="164" fontId="9" fillId="0" borderId="0" xfId="0" applyNumberFormat="1" applyFont="1"/>
    <xf numFmtId="164" fontId="9" fillId="0" borderId="7" xfId="0" applyNumberFormat="1" applyFont="1" applyBorder="1"/>
    <xf numFmtId="0" fontId="8" fillId="0" borderId="7" xfId="0" applyFont="1" applyBorder="1"/>
    <xf numFmtId="0" fontId="13" fillId="0" borderId="14" xfId="0" applyFont="1" applyBorder="1"/>
    <xf numFmtId="0" fontId="0" fillId="0" borderId="15" xfId="0" applyBorder="1"/>
    <xf numFmtId="0" fontId="0" fillId="0" borderId="16" xfId="0" applyBorder="1"/>
    <xf numFmtId="0" fontId="9" fillId="0" borderId="17" xfId="0" applyFont="1" applyBorder="1"/>
    <xf numFmtId="0" fontId="0" fillId="0" borderId="18" xfId="0" applyBorder="1"/>
    <xf numFmtId="0" fontId="0" fillId="0" borderId="17" xfId="0" applyBorder="1"/>
    <xf numFmtId="0" fontId="1" fillId="0" borderId="17" xfId="0" applyFont="1" applyBorder="1"/>
    <xf numFmtId="10" fontId="0" fillId="0" borderId="20" xfId="0" applyNumberFormat="1" applyBorder="1"/>
    <xf numFmtId="3" fontId="9" fillId="0" borderId="18" xfId="0" applyNumberFormat="1" applyFont="1" applyBorder="1"/>
    <xf numFmtId="3" fontId="0" fillId="0" borderId="18" xfId="0" applyNumberFormat="1" applyBorder="1"/>
    <xf numFmtId="0" fontId="1" fillId="0" borderId="19" xfId="0" applyFont="1" applyBorder="1"/>
    <xf numFmtId="3" fontId="1" fillId="0" borderId="20" xfId="0" applyNumberFormat="1" applyFont="1" applyBorder="1"/>
    <xf numFmtId="0" fontId="13" fillId="0" borderId="21" xfId="0" applyFont="1" applyBorder="1"/>
    <xf numFmtId="0" fontId="0" fillId="0" borderId="22" xfId="0" applyBorder="1"/>
    <xf numFmtId="3" fontId="0" fillId="0" borderId="22" xfId="0" applyNumberFormat="1" applyBorder="1"/>
    <xf numFmtId="10" fontId="0" fillId="0" borderId="23" xfId="0" applyNumberFormat="1" applyBorder="1"/>
    <xf numFmtId="16" fontId="0" fillId="0" borderId="19" xfId="0" applyNumberFormat="1" applyBorder="1"/>
    <xf numFmtId="0" fontId="13" fillId="0" borderId="17" xfId="0" applyFont="1" applyBorder="1"/>
    <xf numFmtId="0" fontId="9" fillId="0" borderId="19" xfId="0" applyFont="1" applyBorder="1"/>
    <xf numFmtId="0" fontId="1" fillId="0" borderId="20" xfId="0" applyFont="1" applyBorder="1"/>
    <xf numFmtId="1" fontId="1" fillId="0" borderId="0" xfId="0" applyNumberFormat="1" applyFont="1"/>
    <xf numFmtId="0" fontId="14" fillId="0" borderId="0" xfId="0" applyFont="1"/>
    <xf numFmtId="0" fontId="15" fillId="0" borderId="0" xfId="2" applyFont="1"/>
    <xf numFmtId="0" fontId="0" fillId="0" borderId="11" xfId="0" applyBorder="1"/>
    <xf numFmtId="1" fontId="0" fillId="0" borderId="10" xfId="0" applyNumberFormat="1" applyBorder="1"/>
    <xf numFmtId="0" fontId="16" fillId="0" borderId="11" xfId="2" applyFont="1" applyBorder="1"/>
    <xf numFmtId="0" fontId="0" fillId="0" borderId="10" xfId="0" applyBorder="1"/>
    <xf numFmtId="14" fontId="0" fillId="0" borderId="0" xfId="0" applyNumberFormat="1"/>
    <xf numFmtId="0" fontId="17" fillId="0" borderId="0" xfId="0" applyFont="1"/>
    <xf numFmtId="164" fontId="8" fillId="0" borderId="0" xfId="0" applyNumberFormat="1" applyFont="1"/>
    <xf numFmtId="0" fontId="10" fillId="0" borderId="7" xfId="0" applyFont="1" applyBorder="1"/>
    <xf numFmtId="0" fontId="9" fillId="0" borderId="2" xfId="0" applyFont="1" applyBorder="1"/>
    <xf numFmtId="0" fontId="8" fillId="0" borderId="1" xfId="0" applyFont="1" applyBorder="1"/>
    <xf numFmtId="0" fontId="9" fillId="0" borderId="3" xfId="0" applyFont="1" applyBorder="1"/>
    <xf numFmtId="0" fontId="8" fillId="0" borderId="6" xfId="0" applyFont="1" applyBorder="1"/>
    <xf numFmtId="0" fontId="9" fillId="0" borderId="8" xfId="0" applyFont="1" applyBorder="1"/>
    <xf numFmtId="0" fontId="8" fillId="0" borderId="4" xfId="0" applyFont="1" applyBorder="1"/>
    <xf numFmtId="0" fontId="9" fillId="0" borderId="5" xfId="0" applyFont="1" applyBorder="1"/>
    <xf numFmtId="0" fontId="8" fillId="0" borderId="9" xfId="0" applyFont="1" applyBorder="1"/>
    <xf numFmtId="0" fontId="9" fillId="0" borderId="11" xfId="0" applyFont="1" applyBorder="1"/>
    <xf numFmtId="0" fontId="9" fillId="0" borderId="10" xfId="0" applyFont="1" applyBorder="1"/>
    <xf numFmtId="1" fontId="0" fillId="2" borderId="2" xfId="0" applyNumberFormat="1" applyFill="1" applyBorder="1"/>
    <xf numFmtId="1" fontId="0" fillId="2" borderId="7" xfId="0" applyNumberFormat="1" applyFill="1" applyBorder="1"/>
    <xf numFmtId="1" fontId="0" fillId="0" borderId="11" xfId="0" applyNumberFormat="1" applyBorder="1"/>
    <xf numFmtId="0" fontId="1" fillId="0" borderId="14" xfId="0" applyFont="1" applyBorder="1"/>
    <xf numFmtId="0" fontId="1" fillId="0" borderId="16" xfId="0" applyFont="1" applyBorder="1"/>
    <xf numFmtId="0" fontId="0" fillId="0" borderId="19" xfId="0" applyBorder="1"/>
    <xf numFmtId="0" fontId="1" fillId="0" borderId="15" xfId="0" applyFont="1" applyBorder="1"/>
    <xf numFmtId="1" fontId="0" fillId="0" borderId="18" xfId="0" applyNumberFormat="1" applyBorder="1"/>
    <xf numFmtId="0" fontId="8" fillId="0" borderId="17" xfId="0" applyFont="1" applyBorder="1"/>
    <xf numFmtId="1" fontId="0" fillId="0" borderId="20" xfId="0" applyNumberFormat="1" applyBorder="1"/>
    <xf numFmtId="0" fontId="0" fillId="0" borderId="21" xfId="0" applyBorder="1"/>
    <xf numFmtId="1" fontId="0" fillId="0" borderId="23" xfId="0" applyNumberFormat="1" applyBorder="1"/>
    <xf numFmtId="1" fontId="0" fillId="0" borderId="21" xfId="0" applyNumberFormat="1" applyBorder="1"/>
    <xf numFmtId="1" fontId="0" fillId="0" borderId="22" xfId="0" applyNumberFormat="1" applyBorder="1"/>
    <xf numFmtId="1" fontId="0" fillId="0" borderId="14" xfId="0" applyNumberFormat="1" applyBorder="1"/>
    <xf numFmtId="1" fontId="0" fillId="0" borderId="15" xfId="0" applyNumberFormat="1" applyBorder="1"/>
    <xf numFmtId="1" fontId="0" fillId="0" borderId="16" xfId="0" applyNumberFormat="1" applyBorder="1"/>
    <xf numFmtId="1" fontId="0" fillId="0" borderId="24" xfId="0" applyNumberFormat="1" applyBorder="1"/>
    <xf numFmtId="0" fontId="1" fillId="0" borderId="25" xfId="0" applyFont="1" applyBorder="1"/>
    <xf numFmtId="1" fontId="1" fillId="0" borderId="26" xfId="0" applyNumberFormat="1" applyFont="1" applyBorder="1"/>
    <xf numFmtId="1" fontId="1" fillId="0" borderId="27" xfId="0" applyNumberFormat="1" applyFont="1" applyBorder="1"/>
    <xf numFmtId="0" fontId="18" fillId="4" borderId="0" xfId="3"/>
    <xf numFmtId="3" fontId="0" fillId="0" borderId="20" xfId="0" applyNumberFormat="1" applyBorder="1"/>
    <xf numFmtId="0" fontId="0" fillId="0" borderId="28" xfId="0" applyBorder="1"/>
    <xf numFmtId="1" fontId="0" fillId="0" borderId="29" xfId="0" applyNumberFormat="1" applyBorder="1"/>
    <xf numFmtId="3" fontId="0" fillId="0" borderId="5" xfId="0" applyNumberFormat="1" applyBorder="1"/>
    <xf numFmtId="3" fontId="0" fillId="0" borderId="8" xfId="0" applyNumberFormat="1" applyBorder="1"/>
    <xf numFmtId="1" fontId="0" fillId="0" borderId="1" xfId="0" applyNumberFormat="1" applyBorder="1"/>
    <xf numFmtId="1" fontId="0" fillId="0" borderId="4" xfId="0" applyNumberFormat="1" applyBorder="1"/>
    <xf numFmtId="1" fontId="0" fillId="0" borderId="6" xfId="0" applyNumberFormat="1" applyBorder="1"/>
    <xf numFmtId="0" fontId="1" fillId="0" borderId="7" xfId="0" applyFont="1" applyBorder="1"/>
    <xf numFmtId="0" fontId="1" fillId="0" borderId="8" xfId="0" applyFont="1" applyBorder="1"/>
    <xf numFmtId="0" fontId="19" fillId="0" borderId="0" xfId="0" applyFont="1"/>
    <xf numFmtId="0" fontId="20" fillId="0" borderId="0" xfId="0" applyFont="1"/>
    <xf numFmtId="0" fontId="0" fillId="0" borderId="20" xfId="0" applyBorder="1"/>
    <xf numFmtId="1" fontId="0" fillId="0" borderId="17" xfId="0" applyNumberFormat="1" applyBorder="1"/>
    <xf numFmtId="14" fontId="8" fillId="0" borderId="0" xfId="0" applyNumberFormat="1" applyFont="1"/>
    <xf numFmtId="0" fontId="21" fillId="0" borderId="0" xfId="0" applyFont="1"/>
    <xf numFmtId="167" fontId="0" fillId="0" borderId="0" xfId="0" applyNumberFormat="1"/>
    <xf numFmtId="167" fontId="0" fillId="0" borderId="7" xfId="0" applyNumberFormat="1" applyBorder="1"/>
    <xf numFmtId="0" fontId="0" fillId="0" borderId="0" xfId="0" applyFill="1" applyBorder="1"/>
    <xf numFmtId="0" fontId="0" fillId="0" borderId="0" xfId="0" applyBorder="1"/>
    <xf numFmtId="0" fontId="8" fillId="0" borderId="0" xfId="0" applyFont="1" applyBorder="1"/>
    <xf numFmtId="0" fontId="5" fillId="0" borderId="0" xfId="2" applyBorder="1"/>
    <xf numFmtId="0" fontId="0" fillId="0" borderId="4" xfId="0" applyFill="1" applyBorder="1"/>
    <xf numFmtId="0" fontId="0" fillId="0" borderId="5" xfId="0" applyFill="1" applyBorder="1"/>
    <xf numFmtId="0" fontId="0" fillId="0" borderId="7" xfId="0" applyFill="1" applyBorder="1"/>
    <xf numFmtId="0" fontId="1" fillId="0" borderId="0" xfId="0" applyFont="1" applyBorder="1"/>
    <xf numFmtId="1" fontId="0" fillId="0" borderId="0" xfId="0" applyNumberFormat="1" applyBorder="1"/>
    <xf numFmtId="0" fontId="0" fillId="0" borderId="1" xfId="0" applyFont="1" applyBorder="1"/>
    <xf numFmtId="0" fontId="22" fillId="0" borderId="2" xfId="2" applyFont="1" applyBorder="1"/>
    <xf numFmtId="0" fontId="0" fillId="0" borderId="0" xfId="0" applyAlignment="1">
      <alignment wrapText="1"/>
    </xf>
    <xf numFmtId="0" fontId="1" fillId="0" borderId="0" xfId="0" applyFont="1" applyAlignment="1">
      <alignment wrapText="1"/>
    </xf>
    <xf numFmtId="0" fontId="1" fillId="0" borderId="25" xfId="0" applyFont="1" applyBorder="1" applyAlignment="1">
      <alignment wrapText="1"/>
    </xf>
    <xf numFmtId="0" fontId="0" fillId="0" borderId="26" xfId="0" applyBorder="1" applyAlignment="1">
      <alignment wrapText="1"/>
    </xf>
    <xf numFmtId="0" fontId="0" fillId="0" borderId="26" xfId="0" applyBorder="1"/>
    <xf numFmtId="0" fontId="0" fillId="0" borderId="27" xfId="0" applyBorder="1" applyAlignment="1">
      <alignment wrapText="1"/>
    </xf>
  </cellXfs>
  <cellStyles count="4">
    <cellStyle name="Excel Built-in Normal" xfId="2" xr:uid="{3BCFBB7E-3BE2-40BA-8168-FB12077866C5}"/>
    <cellStyle name="Link" xfId="1" builtinId="8"/>
    <cellStyle name="Normal" xfId="0" builtinId="0"/>
    <cellStyle name="Ugyldig" xfId="3" builtinId="27"/>
  </cellStyles>
  <dxfs count="11">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3.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4.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5.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6.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7.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8.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9.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50.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1.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2.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3.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4.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5.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6.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7.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8.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9.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60.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1.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62.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63.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4.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6.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7.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8.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9.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70.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71.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72.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73.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74.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5.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6.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7.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8.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9.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80.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81.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82.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83.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84.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5.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6.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7.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8.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9.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90.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91.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92.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93.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94.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5.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6.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7.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8.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9.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100.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101.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102.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103.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104.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5.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6.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7.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8.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9.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10.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11.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12.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13.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Vestas Service order backlog vs turbine order backlog</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1"/>
          <c:order val="1"/>
          <c:tx>
            <c:strRef>
              <c:f>'Vestas Economy'!$A$9</c:f>
              <c:strCache>
                <c:ptCount val="1"/>
                <c:pt idx="0">
                  <c:v>Order backlog – wind turbines (bnEUR)</c:v>
                </c:pt>
              </c:strCache>
            </c:strRef>
          </c:tx>
          <c:spPr>
            <a:ln w="28575" cap="rnd">
              <a:solidFill>
                <a:schemeClr val="accent2"/>
              </a:solidFill>
              <a:round/>
            </a:ln>
            <a:effectLst/>
          </c:spPr>
          <c:marker>
            <c:symbol val="none"/>
          </c:marker>
          <c:cat>
            <c:numRef>
              <c:f>'Vestas Economy'!$N$1:$AF$1</c:f>
              <c:numCache>
                <c:formatCode>General</c:formatCod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numCache>
            </c:numRef>
          </c:cat>
          <c:val>
            <c:numRef>
              <c:f>'Vestas Economy'!$N$9:$AF$9</c:f>
              <c:numCache>
                <c:formatCode>General</c:formatCode>
                <c:ptCount val="19"/>
                <c:pt idx="0">
                  <c:v>4.8</c:v>
                </c:pt>
                <c:pt idx="1">
                  <c:v>5.2</c:v>
                </c:pt>
                <c:pt idx="2">
                  <c:v>2.2000000000000002</c:v>
                </c:pt>
                <c:pt idx="3">
                  <c:v>7.7</c:v>
                </c:pt>
                <c:pt idx="4">
                  <c:v>9.6</c:v>
                </c:pt>
                <c:pt idx="5">
                  <c:v>7.1</c:v>
                </c:pt>
                <c:pt idx="6">
                  <c:v>6.8</c:v>
                </c:pt>
                <c:pt idx="7">
                  <c:v>6.7</c:v>
                </c:pt>
                <c:pt idx="8">
                  <c:v>7.9</c:v>
                </c:pt>
                <c:pt idx="9">
                  <c:v>8.5</c:v>
                </c:pt>
                <c:pt idx="10">
                  <c:v>8.8000000000000007</c:v>
                </c:pt>
                <c:pt idx="11">
                  <c:v>11.9</c:v>
                </c:pt>
                <c:pt idx="12">
                  <c:v>16</c:v>
                </c:pt>
                <c:pt idx="13">
                  <c:v>19</c:v>
                </c:pt>
                <c:pt idx="14">
                  <c:v>18.100000000000001</c:v>
                </c:pt>
                <c:pt idx="15">
                  <c:v>19.100000000000001</c:v>
                </c:pt>
                <c:pt idx="16">
                  <c:v>26</c:v>
                </c:pt>
                <c:pt idx="17">
                  <c:v>31.6</c:v>
                </c:pt>
                <c:pt idx="18">
                  <c:v>33.200000000000003</c:v>
                </c:pt>
              </c:numCache>
            </c:numRef>
          </c:val>
          <c:smooth val="0"/>
          <c:extLst>
            <c:ext xmlns:c16="http://schemas.microsoft.com/office/drawing/2014/chart" uri="{C3380CC4-5D6E-409C-BE32-E72D297353CC}">
              <c16:uniqueId val="{00000000-D29C-4D7B-AB03-A4D645C11DC0}"/>
            </c:ext>
          </c:extLst>
        </c:ser>
        <c:ser>
          <c:idx val="2"/>
          <c:order val="2"/>
          <c:tx>
            <c:strRef>
              <c:f>'Vestas Economy'!$A$10</c:f>
              <c:strCache>
                <c:ptCount val="1"/>
                <c:pt idx="0">
                  <c:v>Order backlog – service (bnEUR)</c:v>
                </c:pt>
              </c:strCache>
            </c:strRef>
          </c:tx>
          <c:spPr>
            <a:ln w="28575" cap="rnd">
              <a:solidFill>
                <a:schemeClr val="accent3"/>
              </a:solidFill>
              <a:round/>
            </a:ln>
            <a:effectLst/>
          </c:spPr>
          <c:marker>
            <c:symbol val="none"/>
          </c:marker>
          <c:cat>
            <c:numRef>
              <c:f>'Vestas Economy'!$N$1:$AF$1</c:f>
              <c:numCache>
                <c:formatCode>General</c:formatCod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numCache>
            </c:numRef>
          </c:cat>
          <c:val>
            <c:numRef>
              <c:f>'Vestas Economy'!$N$10:$AF$10</c:f>
              <c:numCache>
                <c:formatCode>General</c:formatCode>
                <c:ptCount val="19"/>
                <c:pt idx="2">
                  <c:v>1.9</c:v>
                </c:pt>
                <c:pt idx="3">
                  <c:v>2.8</c:v>
                </c:pt>
                <c:pt idx="4">
                  <c:v>3.9</c:v>
                </c:pt>
                <c:pt idx="5">
                  <c:v>5.3</c:v>
                </c:pt>
                <c:pt idx="6">
                  <c:v>6.7</c:v>
                </c:pt>
                <c:pt idx="7">
                  <c:v>7</c:v>
                </c:pt>
                <c:pt idx="8">
                  <c:v>8.9</c:v>
                </c:pt>
                <c:pt idx="9">
                  <c:v>10.7</c:v>
                </c:pt>
                <c:pt idx="10">
                  <c:v>12.1</c:v>
                </c:pt>
                <c:pt idx="11">
                  <c:v>14.3</c:v>
                </c:pt>
                <c:pt idx="12">
                  <c:v>17.8</c:v>
                </c:pt>
                <c:pt idx="13">
                  <c:v>23.9</c:v>
                </c:pt>
                <c:pt idx="14">
                  <c:v>27.8</c:v>
                </c:pt>
                <c:pt idx="15">
                  <c:v>30.4</c:v>
                </c:pt>
                <c:pt idx="16">
                  <c:v>34.1</c:v>
                </c:pt>
                <c:pt idx="17">
                  <c:v>36.799999999999997</c:v>
                </c:pt>
                <c:pt idx="18">
                  <c:v>38.700000000000003</c:v>
                </c:pt>
              </c:numCache>
            </c:numRef>
          </c:val>
          <c:smooth val="0"/>
          <c:extLst>
            <c:ext xmlns:c16="http://schemas.microsoft.com/office/drawing/2014/chart" uri="{C3380CC4-5D6E-409C-BE32-E72D297353CC}">
              <c16:uniqueId val="{00000001-D29C-4D7B-AB03-A4D645C11DC0}"/>
            </c:ext>
          </c:extLst>
        </c:ser>
        <c:dLbls>
          <c:showLegendKey val="0"/>
          <c:showVal val="0"/>
          <c:showCatName val="0"/>
          <c:showSerName val="0"/>
          <c:showPercent val="0"/>
          <c:showBubbleSize val="0"/>
        </c:dLbls>
        <c:smooth val="0"/>
        <c:axId val="187215248"/>
        <c:axId val="187215640"/>
        <c:extLst>
          <c:ext xmlns:c15="http://schemas.microsoft.com/office/drawing/2012/chart" uri="{02D57815-91ED-43cb-92C2-25804820EDAC}">
            <c15:filteredLineSeries>
              <c15:ser>
                <c:idx val="0"/>
                <c:order val="0"/>
                <c:tx>
                  <c:strRef>
                    <c:extLst>
                      <c:ext uri="{02D57815-91ED-43cb-92C2-25804820EDAC}">
                        <c15:formulaRef>
                          <c15:sqref>'Vestas Economy'!$Q$2</c15:sqref>
                        </c15:formulaRef>
                      </c:ext>
                    </c:extLst>
                    <c:strCache>
                      <c:ptCount val="1"/>
                      <c:pt idx="0">
                        <c:v>6920</c:v>
                      </c:pt>
                    </c:strCache>
                  </c:strRef>
                </c:tx>
                <c:spPr>
                  <a:ln w="28575" cap="rnd">
                    <a:solidFill>
                      <a:schemeClr val="accent1"/>
                    </a:solidFill>
                    <a:round/>
                  </a:ln>
                  <a:effectLst/>
                </c:spPr>
                <c:marker>
                  <c:symbol val="none"/>
                </c:marker>
                <c:cat>
                  <c:numRef>
                    <c:extLst>
                      <c:ext uri="{02D57815-91ED-43cb-92C2-25804820EDAC}">
                        <c15:formulaRef>
                          <c15:sqref>'Vestas Economy'!$N$1:$AF$1</c15:sqref>
                        </c15:formulaRef>
                      </c:ext>
                    </c:extLst>
                    <c:numCache>
                      <c:formatCode>General</c:formatCod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numCache>
                  </c:numRef>
                </c:cat>
                <c:val>
                  <c:numRef>
                    <c:extLst>
                      <c:ext uri="{02D57815-91ED-43cb-92C2-25804820EDAC}">
                        <c15:formulaRef>
                          <c15:sqref>'Vestas Economy'!$R$2:$V$2</c15:sqref>
                        </c15:formulaRef>
                      </c:ext>
                    </c:extLst>
                    <c:numCache>
                      <c:formatCode>General</c:formatCode>
                      <c:ptCount val="5"/>
                      <c:pt idx="0">
                        <c:v>5836</c:v>
                      </c:pt>
                      <c:pt idx="1">
                        <c:v>7216</c:v>
                      </c:pt>
                      <c:pt idx="2">
                        <c:v>6084</c:v>
                      </c:pt>
                      <c:pt idx="3">
                        <c:v>6910</c:v>
                      </c:pt>
                      <c:pt idx="4">
                        <c:v>8423</c:v>
                      </c:pt>
                    </c:numCache>
                  </c:numRef>
                </c:val>
                <c:smooth val="0"/>
                <c:extLst>
                  <c:ext xmlns:c16="http://schemas.microsoft.com/office/drawing/2014/chart" uri="{C3380CC4-5D6E-409C-BE32-E72D297353CC}">
                    <c16:uniqueId val="{00000002-D29C-4D7B-AB03-A4D645C11DC0}"/>
                  </c:ext>
                </c:extLst>
              </c15:ser>
            </c15:filteredLineSeries>
          </c:ext>
        </c:extLst>
      </c:lineChart>
      <c:catAx>
        <c:axId val="18721524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crossAx val="187215640"/>
        <c:crosses val="autoZero"/>
        <c:auto val="1"/>
        <c:lblAlgn val="ctr"/>
        <c:lblOffset val="100"/>
        <c:noMultiLvlLbl val="0"/>
      </c:catAx>
      <c:valAx>
        <c:axId val="187215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bn EUR</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crossAx val="187215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da-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Vestas Service revenue vs turbine revenue</a:t>
            </a:r>
          </a:p>
        </c:rich>
      </c:tx>
      <c:overlay val="0"/>
      <c:spPr>
        <a:noFill/>
        <a:ln>
          <a:noFill/>
        </a:ln>
        <a:effectLst/>
      </c:spPr>
    </c:title>
    <c:autoTitleDeleted val="0"/>
    <c:plotArea>
      <c:layout/>
      <c:lineChart>
        <c:grouping val="standard"/>
        <c:varyColors val="0"/>
        <c:ser>
          <c:idx val="0"/>
          <c:order val="0"/>
          <c:tx>
            <c:strRef>
              <c:f>'Vestas Economy'!$A$2</c:f>
              <c:strCache>
                <c:ptCount val="1"/>
                <c:pt idx="0">
                  <c:v>revenue (mEUR)</c:v>
                </c:pt>
              </c:strCache>
            </c:strRef>
          </c:tx>
          <c:spPr>
            <a:ln w="28575" cap="rnd">
              <a:solidFill>
                <a:schemeClr val="accent1"/>
              </a:solidFill>
              <a:round/>
            </a:ln>
            <a:effectLst/>
          </c:spPr>
          <c:marker>
            <c:symbol val="none"/>
          </c:marker>
          <c:cat>
            <c:numRef>
              <c:f>'Vestas Economy'!$C$1:$AF$1</c:f>
              <c:numCache>
                <c:formatCode>General</c:formatCode>
                <c:ptCount val="30"/>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pt idx="25">
                  <c:v>2021</c:v>
                </c:pt>
                <c:pt idx="26">
                  <c:v>2022</c:v>
                </c:pt>
                <c:pt idx="27">
                  <c:v>2023</c:v>
                </c:pt>
                <c:pt idx="28">
                  <c:v>2024</c:v>
                </c:pt>
                <c:pt idx="29">
                  <c:v>2025</c:v>
                </c:pt>
              </c:numCache>
            </c:numRef>
          </c:cat>
          <c:val>
            <c:numRef>
              <c:f>'Vestas Economy'!$C$2:$AF$2</c:f>
              <c:numCache>
                <c:formatCode>General</c:formatCode>
                <c:ptCount val="30"/>
                <c:pt idx="0">
                  <c:v>252</c:v>
                </c:pt>
                <c:pt idx="1">
                  <c:v>262</c:v>
                </c:pt>
                <c:pt idx="2">
                  <c:v>379</c:v>
                </c:pt>
                <c:pt idx="3">
                  <c:v>634</c:v>
                </c:pt>
                <c:pt idx="4">
                  <c:v>896</c:v>
                </c:pt>
                <c:pt idx="5">
                  <c:v>1282</c:v>
                </c:pt>
                <c:pt idx="6">
                  <c:v>1395</c:v>
                </c:pt>
                <c:pt idx="7">
                  <c:v>1653</c:v>
                </c:pt>
                <c:pt idx="8">
                  <c:v>2363</c:v>
                </c:pt>
                <c:pt idx="9">
                  <c:v>3583</c:v>
                </c:pt>
                <c:pt idx="10">
                  <c:v>3854</c:v>
                </c:pt>
                <c:pt idx="11">
                  <c:v>4861</c:v>
                </c:pt>
                <c:pt idx="12">
                  <c:v>6035</c:v>
                </c:pt>
                <c:pt idx="13">
                  <c:v>5079</c:v>
                </c:pt>
                <c:pt idx="14">
                  <c:v>6920</c:v>
                </c:pt>
                <c:pt idx="15">
                  <c:v>5836</c:v>
                </c:pt>
                <c:pt idx="16">
                  <c:v>7216</c:v>
                </c:pt>
                <c:pt idx="17">
                  <c:v>6084</c:v>
                </c:pt>
                <c:pt idx="18">
                  <c:v>6910</c:v>
                </c:pt>
                <c:pt idx="19">
                  <c:v>8423</c:v>
                </c:pt>
                <c:pt idx="20">
                  <c:v>10237</c:v>
                </c:pt>
                <c:pt idx="21">
                  <c:v>9953</c:v>
                </c:pt>
                <c:pt idx="22">
                  <c:v>10134</c:v>
                </c:pt>
                <c:pt idx="23">
                  <c:v>12147</c:v>
                </c:pt>
                <c:pt idx="24">
                  <c:v>14819</c:v>
                </c:pt>
                <c:pt idx="25">
                  <c:v>15587</c:v>
                </c:pt>
                <c:pt idx="26">
                  <c:v>14486</c:v>
                </c:pt>
                <c:pt idx="27">
                  <c:v>15382</c:v>
                </c:pt>
                <c:pt idx="28">
                  <c:v>17295</c:v>
                </c:pt>
                <c:pt idx="29">
                  <c:v>18822</c:v>
                </c:pt>
              </c:numCache>
            </c:numRef>
          </c:val>
          <c:smooth val="0"/>
          <c:extLst xmlns:c15="http://schemas.microsoft.com/office/drawing/2012/chart">
            <c:ext xmlns:c16="http://schemas.microsoft.com/office/drawing/2014/chart" uri="{C3380CC4-5D6E-409C-BE32-E72D297353CC}">
              <c16:uniqueId val="{0000000E-B98D-419A-9FA8-C26290D37386}"/>
            </c:ext>
          </c:extLst>
        </c:ser>
        <c:ser>
          <c:idx val="1"/>
          <c:order val="1"/>
          <c:tx>
            <c:strRef>
              <c:f>'Vestas Economy'!$A$5</c:f>
              <c:strCache>
                <c:ptCount val="1"/>
                <c:pt idx="0">
                  <c:v>sales of projects</c:v>
                </c:pt>
              </c:strCache>
            </c:strRef>
          </c:tx>
          <c:spPr>
            <a:ln w="28575" cap="rnd">
              <a:solidFill>
                <a:schemeClr val="accent2"/>
              </a:solidFill>
              <a:round/>
            </a:ln>
            <a:effectLst/>
          </c:spPr>
          <c:marker>
            <c:symbol val="none"/>
          </c:marker>
          <c:cat>
            <c:numRef>
              <c:f>'Vestas Economy'!$C$1:$AF$1</c:f>
              <c:numCache>
                <c:formatCode>General</c:formatCode>
                <c:ptCount val="30"/>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pt idx="25">
                  <c:v>2021</c:v>
                </c:pt>
                <c:pt idx="26">
                  <c:v>2022</c:v>
                </c:pt>
                <c:pt idx="27">
                  <c:v>2023</c:v>
                </c:pt>
                <c:pt idx="28">
                  <c:v>2024</c:v>
                </c:pt>
                <c:pt idx="29">
                  <c:v>2025</c:v>
                </c:pt>
              </c:numCache>
            </c:numRef>
          </c:cat>
          <c:val>
            <c:numRef>
              <c:f>'Vestas Economy'!$C$5:$AF$5</c:f>
              <c:numCache>
                <c:formatCode>General</c:formatCode>
                <c:ptCount val="30"/>
                <c:pt idx="8">
                  <c:v>2161</c:v>
                </c:pt>
                <c:pt idx="9">
                  <c:v>3340</c:v>
                </c:pt>
                <c:pt idx="10">
                  <c:v>3577</c:v>
                </c:pt>
                <c:pt idx="11">
                  <c:v>4497</c:v>
                </c:pt>
                <c:pt idx="12">
                  <c:v>5639</c:v>
                </c:pt>
                <c:pt idx="13">
                  <c:v>6132</c:v>
                </c:pt>
                <c:pt idx="14">
                  <c:v>6297</c:v>
                </c:pt>
                <c:pt idx="15">
                  <c:v>5131</c:v>
                </c:pt>
                <c:pt idx="16">
                  <c:v>6330</c:v>
                </c:pt>
                <c:pt idx="17">
                  <c:v>5130</c:v>
                </c:pt>
                <c:pt idx="18">
                  <c:v>5946</c:v>
                </c:pt>
                <c:pt idx="19">
                  <c:v>7285</c:v>
                </c:pt>
                <c:pt idx="20">
                  <c:v>8928</c:v>
                </c:pt>
                <c:pt idx="21">
                  <c:v>8431</c:v>
                </c:pt>
                <c:pt idx="22">
                  <c:v>8465</c:v>
                </c:pt>
                <c:pt idx="23">
                  <c:v>10276</c:v>
                </c:pt>
                <c:pt idx="24">
                  <c:v>12764</c:v>
                </c:pt>
                <c:pt idx="25">
                  <c:v>13103</c:v>
                </c:pt>
                <c:pt idx="26">
                  <c:v>11331</c:v>
                </c:pt>
                <c:pt idx="27">
                  <c:v>11814</c:v>
                </c:pt>
                <c:pt idx="28">
                  <c:v>13598</c:v>
                </c:pt>
                <c:pt idx="29">
                  <c:v>15052</c:v>
                </c:pt>
              </c:numCache>
            </c:numRef>
          </c:val>
          <c:smooth val="0"/>
          <c:extLst>
            <c:ext xmlns:c16="http://schemas.microsoft.com/office/drawing/2014/chart" uri="{C3380CC4-5D6E-409C-BE32-E72D297353CC}">
              <c16:uniqueId val="{0000000A-B98D-419A-9FA8-C26290D37386}"/>
            </c:ext>
          </c:extLst>
        </c:ser>
        <c:ser>
          <c:idx val="2"/>
          <c:order val="2"/>
          <c:tx>
            <c:strRef>
              <c:f>'Vestas Economy'!$A$6</c:f>
              <c:strCache>
                <c:ptCount val="1"/>
                <c:pt idx="0">
                  <c:v>sales of service</c:v>
                </c:pt>
              </c:strCache>
            </c:strRef>
          </c:tx>
          <c:spPr>
            <a:ln w="28575" cap="rnd">
              <a:solidFill>
                <a:schemeClr val="accent3"/>
              </a:solidFill>
              <a:round/>
            </a:ln>
            <a:effectLst/>
          </c:spPr>
          <c:marker>
            <c:symbol val="none"/>
          </c:marker>
          <c:cat>
            <c:numRef>
              <c:f>'Vestas Economy'!$C$1:$AF$1</c:f>
              <c:numCache>
                <c:formatCode>General</c:formatCode>
                <c:ptCount val="30"/>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pt idx="25">
                  <c:v>2021</c:v>
                </c:pt>
                <c:pt idx="26">
                  <c:v>2022</c:v>
                </c:pt>
                <c:pt idx="27">
                  <c:v>2023</c:v>
                </c:pt>
                <c:pt idx="28">
                  <c:v>2024</c:v>
                </c:pt>
                <c:pt idx="29">
                  <c:v>2025</c:v>
                </c:pt>
              </c:numCache>
            </c:numRef>
          </c:cat>
          <c:val>
            <c:numRef>
              <c:f>'Vestas Economy'!$C$6:$AF$6</c:f>
              <c:numCache>
                <c:formatCode>General</c:formatCode>
                <c:ptCount val="30"/>
                <c:pt idx="8">
                  <c:v>115</c:v>
                </c:pt>
                <c:pt idx="9">
                  <c:v>172</c:v>
                </c:pt>
                <c:pt idx="10">
                  <c:v>214</c:v>
                </c:pt>
                <c:pt idx="11">
                  <c:v>298</c:v>
                </c:pt>
                <c:pt idx="12">
                  <c:v>396</c:v>
                </c:pt>
                <c:pt idx="13">
                  <c:v>504</c:v>
                </c:pt>
                <c:pt idx="14">
                  <c:v>623</c:v>
                </c:pt>
                <c:pt idx="15">
                  <c:v>705</c:v>
                </c:pt>
                <c:pt idx="16">
                  <c:v>886</c:v>
                </c:pt>
                <c:pt idx="17">
                  <c:v>954</c:v>
                </c:pt>
                <c:pt idx="18">
                  <c:v>964</c:v>
                </c:pt>
                <c:pt idx="19">
                  <c:v>1138</c:v>
                </c:pt>
                <c:pt idx="20">
                  <c:v>1309</c:v>
                </c:pt>
                <c:pt idx="21">
                  <c:v>1522</c:v>
                </c:pt>
                <c:pt idx="22">
                  <c:v>1669</c:v>
                </c:pt>
                <c:pt idx="23">
                  <c:v>1871</c:v>
                </c:pt>
                <c:pt idx="24">
                  <c:v>2055</c:v>
                </c:pt>
                <c:pt idx="25">
                  <c:v>2484</c:v>
                </c:pt>
                <c:pt idx="26">
                  <c:v>3155</c:v>
                </c:pt>
                <c:pt idx="27">
                  <c:v>3568</c:v>
                </c:pt>
                <c:pt idx="28">
                  <c:v>3697</c:v>
                </c:pt>
                <c:pt idx="29">
                  <c:v>3770</c:v>
                </c:pt>
              </c:numCache>
            </c:numRef>
          </c:val>
          <c:smooth val="0"/>
          <c:extLst>
            <c:ext xmlns:c16="http://schemas.microsoft.com/office/drawing/2014/chart" uri="{C3380CC4-5D6E-409C-BE32-E72D297353CC}">
              <c16:uniqueId val="{0000000C-B98D-419A-9FA8-C26290D37386}"/>
            </c:ext>
          </c:extLst>
        </c:ser>
        <c:dLbls>
          <c:showLegendKey val="0"/>
          <c:showVal val="0"/>
          <c:showCatName val="0"/>
          <c:showSerName val="0"/>
          <c:showPercent val="0"/>
          <c:showBubbleSize val="0"/>
        </c:dLbls>
        <c:smooth val="0"/>
        <c:axId val="187216424"/>
        <c:axId val="187216816"/>
        <c:extLst/>
      </c:lineChart>
      <c:catAx>
        <c:axId val="18721642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crossAx val="187216816"/>
        <c:crosses val="autoZero"/>
        <c:auto val="1"/>
        <c:lblAlgn val="ctr"/>
        <c:lblOffset val="100"/>
        <c:noMultiLvlLbl val="0"/>
      </c:catAx>
      <c:valAx>
        <c:axId val="18721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MEUR</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crossAx val="187216424"/>
        <c:crosses val="autoZero"/>
        <c:crossBetween val="between"/>
      </c:valAx>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txPr>
    <a:bodyPr/>
    <a:lstStyle/>
    <a:p>
      <a:pPr>
        <a:defRPr sz="1100"/>
      </a:pPr>
      <a:endParaRPr lang="da-D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Vestas Service revenue vs turbine sales</a:t>
            </a:r>
          </a:p>
          <a:p>
            <a:pPr>
              <a:defRPr/>
            </a:pPr>
            <a:r>
              <a:rPr lang="en-US"/>
              <a:t>(2008= index 100)</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1"/>
          <c:order val="1"/>
          <c:tx>
            <c:strRef>
              <c:f>'Vestas Economy'!$A$36</c:f>
              <c:strCache>
                <c:ptCount val="1"/>
                <c:pt idx="0">
                  <c:v>Turbine sale index</c:v>
                </c:pt>
              </c:strCache>
            </c:strRef>
          </c:tx>
          <c:spPr>
            <a:ln w="28575" cap="rnd">
              <a:solidFill>
                <a:schemeClr val="accent2"/>
              </a:solidFill>
              <a:round/>
            </a:ln>
            <a:effectLst/>
          </c:spPr>
          <c:marker>
            <c:symbol val="none"/>
          </c:marker>
          <c:cat>
            <c:numRef>
              <c:f>'Vestas Economy'!$O$1:$AF$1</c:f>
              <c:numCache>
                <c:formatCode>General</c:formatCod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numCache>
            </c:numRef>
          </c:cat>
          <c:val>
            <c:numRef>
              <c:f>'Vestas Economy'!$O$36:$AF$36</c:f>
              <c:numCache>
                <c:formatCode>General</c:formatCode>
                <c:ptCount val="18"/>
                <c:pt idx="0">
                  <c:v>100</c:v>
                </c:pt>
                <c:pt idx="1">
                  <c:v>108.74268487320447</c:v>
                </c:pt>
                <c:pt idx="2">
                  <c:v>111.66873559141692</c:v>
                </c:pt>
                <c:pt idx="3">
                  <c:v>90.991310516048941</c:v>
                </c:pt>
                <c:pt idx="4">
                  <c:v>112.2539457350594</c:v>
                </c:pt>
                <c:pt idx="5">
                  <c:v>90.973576875332512</c:v>
                </c:pt>
                <c:pt idx="6">
                  <c:v>105.44422769994679</c:v>
                </c:pt>
                <c:pt idx="7">
                  <c:v>129.18957261925874</c:v>
                </c:pt>
                <c:pt idx="8">
                  <c:v>158.32594431636815</c:v>
                </c:pt>
                <c:pt idx="9">
                  <c:v>149.51232488029794</c:v>
                </c:pt>
                <c:pt idx="10">
                  <c:v>150.11526866465687</c:v>
                </c:pt>
                <c:pt idx="11">
                  <c:v>182.23089200212803</c:v>
                </c:pt>
                <c:pt idx="12">
                  <c:v>226.35219010462845</c:v>
                </c:pt>
                <c:pt idx="13">
                  <c:v>232.36389430750134</c:v>
                </c:pt>
                <c:pt idx="14">
                  <c:v>200.93988295797124</c:v>
                </c:pt>
                <c:pt idx="15">
                  <c:v>209.50523142401133</c:v>
                </c:pt>
                <c:pt idx="16">
                  <c:v>241.14204646213869</c:v>
                </c:pt>
                <c:pt idx="17">
                  <c:v>266.92676006384113</c:v>
                </c:pt>
              </c:numCache>
            </c:numRef>
          </c:val>
          <c:smooth val="0"/>
          <c:extLst>
            <c:ext xmlns:c16="http://schemas.microsoft.com/office/drawing/2014/chart" uri="{C3380CC4-5D6E-409C-BE32-E72D297353CC}">
              <c16:uniqueId val="{00000000-46CF-4CDD-95FB-E537ED57117C}"/>
            </c:ext>
          </c:extLst>
        </c:ser>
        <c:ser>
          <c:idx val="2"/>
          <c:order val="2"/>
          <c:tx>
            <c:strRef>
              <c:f>'Vestas Economy'!$A$37</c:f>
              <c:strCache>
                <c:ptCount val="1"/>
                <c:pt idx="0">
                  <c:v>Service sale index</c:v>
                </c:pt>
              </c:strCache>
            </c:strRef>
          </c:tx>
          <c:spPr>
            <a:ln w="28575" cap="rnd">
              <a:solidFill>
                <a:schemeClr val="accent3"/>
              </a:solidFill>
              <a:round/>
            </a:ln>
            <a:effectLst/>
          </c:spPr>
          <c:marker>
            <c:symbol val="none"/>
          </c:marker>
          <c:cat>
            <c:numRef>
              <c:f>'Vestas Economy'!$O$1:$AF$1</c:f>
              <c:numCache>
                <c:formatCode>General</c:formatCod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numCache>
            </c:numRef>
          </c:cat>
          <c:val>
            <c:numRef>
              <c:f>'Vestas Economy'!$O$37:$AF$37</c:f>
              <c:numCache>
                <c:formatCode>General</c:formatCode>
                <c:ptCount val="18"/>
                <c:pt idx="0">
                  <c:v>100</c:v>
                </c:pt>
                <c:pt idx="1">
                  <c:v>127.27272727272727</c:v>
                </c:pt>
                <c:pt idx="2">
                  <c:v>157.32323232323233</c:v>
                </c:pt>
                <c:pt idx="3">
                  <c:v>178.03030303030303</c:v>
                </c:pt>
                <c:pt idx="4">
                  <c:v>223.73737373737376</c:v>
                </c:pt>
                <c:pt idx="5">
                  <c:v>240.90909090909091</c:v>
                </c:pt>
                <c:pt idx="6">
                  <c:v>243.43434343434342</c:v>
                </c:pt>
                <c:pt idx="7">
                  <c:v>287.37373737373736</c:v>
                </c:pt>
                <c:pt idx="8">
                  <c:v>330.55555555555554</c:v>
                </c:pt>
                <c:pt idx="9">
                  <c:v>384.34343434343435</c:v>
                </c:pt>
                <c:pt idx="10">
                  <c:v>421.46464646464648</c:v>
                </c:pt>
                <c:pt idx="11">
                  <c:v>472.47474747474752</c:v>
                </c:pt>
                <c:pt idx="12">
                  <c:v>518.93939393939399</c:v>
                </c:pt>
                <c:pt idx="13">
                  <c:v>627.27272727272725</c:v>
                </c:pt>
                <c:pt idx="14">
                  <c:v>796.71717171717171</c:v>
                </c:pt>
                <c:pt idx="15">
                  <c:v>901.01010101010104</c:v>
                </c:pt>
                <c:pt idx="16">
                  <c:v>933.58585858585866</c:v>
                </c:pt>
                <c:pt idx="17">
                  <c:v>952.02020202020208</c:v>
                </c:pt>
              </c:numCache>
            </c:numRef>
          </c:val>
          <c:smooth val="0"/>
          <c:extLst>
            <c:ext xmlns:c16="http://schemas.microsoft.com/office/drawing/2014/chart" uri="{C3380CC4-5D6E-409C-BE32-E72D297353CC}">
              <c16:uniqueId val="{00000001-46CF-4CDD-95FB-E537ED57117C}"/>
            </c:ext>
          </c:extLst>
        </c:ser>
        <c:dLbls>
          <c:showLegendKey val="0"/>
          <c:showVal val="0"/>
          <c:showCatName val="0"/>
          <c:showSerName val="0"/>
          <c:showPercent val="0"/>
          <c:showBubbleSize val="0"/>
        </c:dLbls>
        <c:smooth val="0"/>
        <c:axId val="189321320"/>
        <c:axId val="189321712"/>
        <c:extLst>
          <c:ext xmlns:c15="http://schemas.microsoft.com/office/drawing/2012/chart" uri="{02D57815-91ED-43cb-92C2-25804820EDAC}">
            <c15:filteredLineSeries>
              <c15:ser>
                <c:idx val="0"/>
                <c:order val="0"/>
                <c:tx>
                  <c:strRef>
                    <c:extLst>
                      <c:ext uri="{02D57815-91ED-43cb-92C2-25804820EDAC}">
                        <c15:formulaRef>
                          <c15:sqref>'Vestas Economy'!$Q$2</c15:sqref>
                        </c15:formulaRef>
                      </c:ext>
                    </c:extLst>
                    <c:strCache>
                      <c:ptCount val="1"/>
                      <c:pt idx="0">
                        <c:v>6920</c:v>
                      </c:pt>
                    </c:strCache>
                  </c:strRef>
                </c:tx>
                <c:spPr>
                  <a:ln w="28575" cap="rnd">
                    <a:solidFill>
                      <a:schemeClr val="accent1"/>
                    </a:solidFill>
                    <a:round/>
                  </a:ln>
                  <a:effectLst/>
                </c:spPr>
                <c:marker>
                  <c:symbol val="none"/>
                </c:marker>
                <c:cat>
                  <c:numRef>
                    <c:extLst>
                      <c:ext uri="{02D57815-91ED-43cb-92C2-25804820EDAC}">
                        <c15:formulaRef>
                          <c15:sqref>'Vestas Economy'!$O$1:$AF$1</c15:sqref>
                        </c15:formulaRef>
                      </c:ext>
                    </c:extLst>
                    <c:numCache>
                      <c:formatCode>General</c:formatCod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numCache>
                  </c:numRef>
                </c:cat>
                <c:val>
                  <c:numRef>
                    <c:extLst>
                      <c:ext uri="{02D57815-91ED-43cb-92C2-25804820EDAC}">
                        <c15:formulaRef>
                          <c15:sqref>'Vestas Economy'!$R$2:$V$2</c15:sqref>
                        </c15:formulaRef>
                      </c:ext>
                    </c:extLst>
                    <c:numCache>
                      <c:formatCode>General</c:formatCode>
                      <c:ptCount val="5"/>
                      <c:pt idx="0">
                        <c:v>5836</c:v>
                      </c:pt>
                      <c:pt idx="1">
                        <c:v>7216</c:v>
                      </c:pt>
                      <c:pt idx="2">
                        <c:v>6084</c:v>
                      </c:pt>
                      <c:pt idx="3">
                        <c:v>6910</c:v>
                      </c:pt>
                      <c:pt idx="4">
                        <c:v>8423</c:v>
                      </c:pt>
                    </c:numCache>
                  </c:numRef>
                </c:val>
                <c:smooth val="0"/>
                <c:extLst>
                  <c:ext xmlns:c16="http://schemas.microsoft.com/office/drawing/2014/chart" uri="{C3380CC4-5D6E-409C-BE32-E72D297353CC}">
                    <c16:uniqueId val="{00000002-46CF-4CDD-95FB-E537ED57117C}"/>
                  </c:ext>
                </c:extLst>
              </c15:ser>
            </c15:filteredLineSeries>
          </c:ext>
        </c:extLst>
      </c:lineChart>
      <c:catAx>
        <c:axId val="189321320"/>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crossAx val="189321712"/>
        <c:crosses val="autoZero"/>
        <c:auto val="1"/>
        <c:lblAlgn val="ctr"/>
        <c:lblOffset val="100"/>
        <c:noMultiLvlLbl val="0"/>
      </c:catAx>
      <c:valAx>
        <c:axId val="18932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crossAx val="189321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da-D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Average MW price in mEUR</a:t>
            </a:r>
          </a:p>
        </c:rich>
      </c:tx>
      <c:layout>
        <c:manualLayout>
          <c:xMode val="edge"/>
          <c:yMode val="edge"/>
          <c:x val="0.13272858134398319"/>
          <c:y val="2.5990903183885639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9.4388263073292344E-2"/>
          <c:y val="0.17742716163274472"/>
          <c:w val="0.88367346810580871"/>
          <c:h val="0.61716120789849827"/>
        </c:manualLayout>
      </c:layout>
      <c:lineChart>
        <c:grouping val="standard"/>
        <c:varyColors val="0"/>
        <c:ser>
          <c:idx val="2"/>
          <c:order val="0"/>
          <c:tx>
            <c:strRef>
              <c:f>'Vestas Economy'!$A$39</c:f>
              <c:strCache>
                <c:ptCount val="1"/>
                <c:pt idx="0">
                  <c:v>average MW price [mEUR/MW]</c:v>
                </c:pt>
              </c:strCache>
            </c:strRef>
          </c:tx>
          <c:spPr>
            <a:ln w="28575" cap="rnd">
              <a:solidFill>
                <a:schemeClr val="accent3"/>
              </a:solidFill>
              <a:round/>
            </a:ln>
            <a:effectLst/>
          </c:spPr>
          <c:marker>
            <c:symbol val="none"/>
          </c:marker>
          <c:cat>
            <c:numRef>
              <c:f>'Vestas Economy'!$N$1:$AE$1</c:f>
              <c:numCache>
                <c:formatCode>General</c:formatCod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'Vestas Economy'!$N$39:$AE$39</c:f>
              <c:numCache>
                <c:formatCode>0.0000</c:formatCode>
                <c:ptCount val="18"/>
                <c:pt idx="0">
                  <c:v>0.97986816319258863</c:v>
                </c:pt>
                <c:pt idx="1">
                  <c:v>1.0632995514205017</c:v>
                </c:pt>
                <c:pt idx="2">
                  <c:v>1.0416666666666667</c:v>
                </c:pt>
                <c:pt idx="3">
                  <c:v>0.99158307390752909</c:v>
                </c:pt>
                <c:pt idx="4">
                  <c:v>0.98688657563877247</c:v>
                </c:pt>
                <c:pt idx="5">
                  <c:v>1.0165864098448367</c:v>
                </c:pt>
                <c:pt idx="6">
                  <c:v>0.97250167672702881</c:v>
                </c:pt>
                <c:pt idx="7">
                  <c:v>0.88630806845965771</c:v>
                </c:pt>
                <c:pt idx="8">
                  <c:v>0.91691826009169186</c:v>
                </c:pt>
                <c:pt idx="9">
                  <c:v>0.90527920716599963</c:v>
                </c:pt>
                <c:pt idx="10">
                  <c:v>0.79202634155023588</c:v>
                </c:pt>
                <c:pt idx="11">
                  <c:v>0.74574363303784996</c:v>
                </c:pt>
                <c:pt idx="12">
                  <c:v>0.77194160093975495</c:v>
                </c:pt>
                <c:pt idx="13">
                  <c:v>0.73627456664154445</c:v>
                </c:pt>
                <c:pt idx="14">
                  <c:v>0.83477259643062751</c:v>
                </c:pt>
                <c:pt idx="15">
                  <c:v>1.0635445526856735</c:v>
                </c:pt>
                <c:pt idx="16">
                  <c:v>1.0117029421415291</c:v>
                </c:pt>
                <c:pt idx="17">
                  <c:v>1.139871764426502</c:v>
                </c:pt>
              </c:numCache>
            </c:numRef>
          </c:val>
          <c:smooth val="0"/>
          <c:extLst>
            <c:ext xmlns:c16="http://schemas.microsoft.com/office/drawing/2014/chart" uri="{C3380CC4-5D6E-409C-BE32-E72D297353CC}">
              <c16:uniqueId val="{00000000-8D55-4EA8-BEC0-84E9B6644896}"/>
            </c:ext>
          </c:extLst>
        </c:ser>
        <c:dLbls>
          <c:showLegendKey val="0"/>
          <c:showVal val="0"/>
          <c:showCatName val="0"/>
          <c:showSerName val="0"/>
          <c:showPercent val="0"/>
          <c:showBubbleSize val="0"/>
        </c:dLbls>
        <c:smooth val="0"/>
        <c:axId val="189322496"/>
        <c:axId val="189322888"/>
        <c:extLst/>
      </c:lineChart>
      <c:catAx>
        <c:axId val="18932249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crossAx val="189322888"/>
        <c:crosses val="autoZero"/>
        <c:auto val="1"/>
        <c:lblAlgn val="ctr"/>
        <c:lblOffset val="100"/>
        <c:noMultiLvlLbl val="0"/>
      </c:catAx>
      <c:valAx>
        <c:axId val="189322888"/>
        <c:scaling>
          <c:orientation val="minMax"/>
          <c:min val="0.5"/>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crossAx val="189322496"/>
        <c:crosses val="autoZero"/>
        <c:crossBetween val="between"/>
      </c:valAx>
      <c:spPr>
        <a:noFill/>
        <a:ln>
          <a:noFill/>
        </a:ln>
        <a:effectLst/>
      </c:spPr>
    </c:plotArea>
    <c:legend>
      <c:legendPos val="b"/>
      <c:layout>
        <c:manualLayout>
          <c:xMode val="edge"/>
          <c:yMode val="edge"/>
          <c:x val="8.6572509777904982E-2"/>
          <c:y val="0.51266647224652484"/>
          <c:w val="0.40978522665653494"/>
          <c:h val="6.0114931792382253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da-D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'Vestas Economy'!$C$45</c:f>
              <c:strCache>
                <c:ptCount val="1"/>
                <c:pt idx="0">
                  <c:v>Servicemargin</c:v>
                </c:pt>
              </c:strCache>
            </c:strRef>
          </c:tx>
          <c:spPr>
            <a:solidFill>
              <a:schemeClr val="accent1"/>
            </a:solidFill>
            <a:ln>
              <a:noFill/>
            </a:ln>
            <a:effectLst/>
          </c:spPr>
          <c:invertIfNegative val="0"/>
          <c:cat>
            <c:strRef>
              <c:f>'Vestas Economy'!$A$46:$A$56</c:f>
              <c:strCache>
                <c:ptCount val="11"/>
                <c:pt idx="0">
                  <c:v>16Q1</c:v>
                </c:pt>
                <c:pt idx="1">
                  <c:v>16Q2</c:v>
                </c:pt>
                <c:pt idx="2">
                  <c:v>16Q3</c:v>
                </c:pt>
                <c:pt idx="3">
                  <c:v>16Q4</c:v>
                </c:pt>
                <c:pt idx="4">
                  <c:v>17Q1</c:v>
                </c:pt>
                <c:pt idx="5">
                  <c:v>17Q2</c:v>
                </c:pt>
                <c:pt idx="6">
                  <c:v>17Q3</c:v>
                </c:pt>
                <c:pt idx="7">
                  <c:v>17Q4</c:v>
                </c:pt>
                <c:pt idx="8">
                  <c:v>18Q1</c:v>
                </c:pt>
                <c:pt idx="9">
                  <c:v>18Q2</c:v>
                </c:pt>
                <c:pt idx="10">
                  <c:v>18Q3</c:v>
                </c:pt>
              </c:strCache>
            </c:strRef>
          </c:cat>
          <c:val>
            <c:numRef>
              <c:f>'Vestas Economy'!$C$46:$C$56</c:f>
              <c:numCache>
                <c:formatCode>General</c:formatCode>
                <c:ptCount val="11"/>
                <c:pt idx="0">
                  <c:v>17.399999999999999</c:v>
                </c:pt>
                <c:pt idx="1">
                  <c:v>17.8</c:v>
                </c:pt>
                <c:pt idx="2">
                  <c:v>14.1</c:v>
                </c:pt>
                <c:pt idx="3">
                  <c:v>19.100000000000001</c:v>
                </c:pt>
                <c:pt idx="4">
                  <c:v>19.2</c:v>
                </c:pt>
                <c:pt idx="5">
                  <c:v>19.399999999999999</c:v>
                </c:pt>
                <c:pt idx="6">
                  <c:v>17.899999999999999</c:v>
                </c:pt>
                <c:pt idx="7">
                  <c:v>23.4</c:v>
                </c:pt>
                <c:pt idx="8">
                  <c:v>26.8</c:v>
                </c:pt>
                <c:pt idx="9">
                  <c:v>25.2</c:v>
                </c:pt>
                <c:pt idx="10">
                  <c:v>24.4</c:v>
                </c:pt>
              </c:numCache>
            </c:numRef>
          </c:val>
          <c:extLst>
            <c:ext xmlns:c16="http://schemas.microsoft.com/office/drawing/2014/chart" uri="{C3380CC4-5D6E-409C-BE32-E72D297353CC}">
              <c16:uniqueId val="{00000000-58A1-40BB-8B5A-A91EC06071DE}"/>
            </c:ext>
          </c:extLst>
        </c:ser>
        <c:ser>
          <c:idx val="1"/>
          <c:order val="1"/>
          <c:tx>
            <c:strRef>
              <c:f>'Vestas Economy'!$D$45</c:f>
              <c:strCache>
                <c:ptCount val="1"/>
                <c:pt idx="0">
                  <c:v>Samlet margin</c:v>
                </c:pt>
              </c:strCache>
            </c:strRef>
          </c:tx>
          <c:spPr>
            <a:solidFill>
              <a:schemeClr val="accent2"/>
            </a:solidFill>
            <a:ln>
              <a:noFill/>
            </a:ln>
            <a:effectLst/>
          </c:spPr>
          <c:invertIfNegative val="0"/>
          <c:cat>
            <c:strRef>
              <c:f>'Vestas Economy'!$A$46:$A$56</c:f>
              <c:strCache>
                <c:ptCount val="11"/>
                <c:pt idx="0">
                  <c:v>16Q1</c:v>
                </c:pt>
                <c:pt idx="1">
                  <c:v>16Q2</c:v>
                </c:pt>
                <c:pt idx="2">
                  <c:v>16Q3</c:v>
                </c:pt>
                <c:pt idx="3">
                  <c:v>16Q4</c:v>
                </c:pt>
                <c:pt idx="4">
                  <c:v>17Q1</c:v>
                </c:pt>
                <c:pt idx="5">
                  <c:v>17Q2</c:v>
                </c:pt>
                <c:pt idx="6">
                  <c:v>17Q3</c:v>
                </c:pt>
                <c:pt idx="7">
                  <c:v>17Q4</c:v>
                </c:pt>
                <c:pt idx="8">
                  <c:v>18Q1</c:v>
                </c:pt>
                <c:pt idx="9">
                  <c:v>18Q2</c:v>
                </c:pt>
                <c:pt idx="10">
                  <c:v>18Q3</c:v>
                </c:pt>
              </c:strCache>
            </c:strRef>
          </c:cat>
          <c:val>
            <c:numRef>
              <c:f>'Vestas Economy'!$D$46:$D$56</c:f>
              <c:numCache>
                <c:formatCode>General</c:formatCode>
                <c:ptCount val="11"/>
                <c:pt idx="0">
                  <c:v>5.8</c:v>
                </c:pt>
                <c:pt idx="1">
                  <c:v>15.6</c:v>
                </c:pt>
                <c:pt idx="2">
                  <c:v>14.9</c:v>
                </c:pt>
                <c:pt idx="3">
                  <c:v>15.2</c:v>
                </c:pt>
                <c:pt idx="4">
                  <c:v>11.2</c:v>
                </c:pt>
                <c:pt idx="5">
                  <c:v>12.6</c:v>
                </c:pt>
                <c:pt idx="6">
                  <c:v>12.9</c:v>
                </c:pt>
                <c:pt idx="7">
                  <c:v>12.3</c:v>
                </c:pt>
                <c:pt idx="8">
                  <c:v>7.4</c:v>
                </c:pt>
                <c:pt idx="9">
                  <c:v>11.5</c:v>
                </c:pt>
                <c:pt idx="10">
                  <c:v>8.4</c:v>
                </c:pt>
              </c:numCache>
            </c:numRef>
          </c:val>
          <c:extLst>
            <c:ext xmlns:c16="http://schemas.microsoft.com/office/drawing/2014/chart" uri="{C3380CC4-5D6E-409C-BE32-E72D297353CC}">
              <c16:uniqueId val="{00000001-58A1-40BB-8B5A-A91EC06071DE}"/>
            </c:ext>
          </c:extLst>
        </c:ser>
        <c:ser>
          <c:idx val="2"/>
          <c:order val="2"/>
          <c:tx>
            <c:strRef>
              <c:f>'Vestas Economy'!$E$45</c:f>
              <c:strCache>
                <c:ptCount val="1"/>
                <c:pt idx="0">
                  <c:v>Margin eksl. service</c:v>
                </c:pt>
              </c:strCache>
            </c:strRef>
          </c:tx>
          <c:spPr>
            <a:solidFill>
              <a:schemeClr val="accent3"/>
            </a:solidFill>
            <a:ln>
              <a:noFill/>
            </a:ln>
            <a:effectLst/>
          </c:spPr>
          <c:invertIfNegative val="0"/>
          <c:cat>
            <c:strRef>
              <c:f>'Vestas Economy'!$A$46:$A$56</c:f>
              <c:strCache>
                <c:ptCount val="11"/>
                <c:pt idx="0">
                  <c:v>16Q1</c:v>
                </c:pt>
                <c:pt idx="1">
                  <c:v>16Q2</c:v>
                </c:pt>
                <c:pt idx="2">
                  <c:v>16Q3</c:v>
                </c:pt>
                <c:pt idx="3">
                  <c:v>16Q4</c:v>
                </c:pt>
                <c:pt idx="4">
                  <c:v>17Q1</c:v>
                </c:pt>
                <c:pt idx="5">
                  <c:v>17Q2</c:v>
                </c:pt>
                <c:pt idx="6">
                  <c:v>17Q3</c:v>
                </c:pt>
                <c:pt idx="7">
                  <c:v>17Q4</c:v>
                </c:pt>
                <c:pt idx="8">
                  <c:v>18Q1</c:v>
                </c:pt>
                <c:pt idx="9">
                  <c:v>18Q2</c:v>
                </c:pt>
                <c:pt idx="10">
                  <c:v>18Q3</c:v>
                </c:pt>
              </c:strCache>
            </c:strRef>
          </c:cat>
          <c:val>
            <c:numRef>
              <c:f>'Vestas Economy'!$E$46:$E$56</c:f>
              <c:numCache>
                <c:formatCode>General</c:formatCode>
                <c:ptCount val="11"/>
                <c:pt idx="0">
                  <c:v>2.83</c:v>
                </c:pt>
                <c:pt idx="1">
                  <c:v>15.28</c:v>
                </c:pt>
                <c:pt idx="2">
                  <c:v>15.01</c:v>
                </c:pt>
                <c:pt idx="3">
                  <c:v>14.72</c:v>
                </c:pt>
                <c:pt idx="4">
                  <c:v>10.58</c:v>
                </c:pt>
                <c:pt idx="5">
                  <c:v>11.28</c:v>
                </c:pt>
                <c:pt idx="6">
                  <c:v>12.17</c:v>
                </c:pt>
                <c:pt idx="7">
                  <c:v>10.65</c:v>
                </c:pt>
                <c:pt idx="8">
                  <c:v>2.1</c:v>
                </c:pt>
                <c:pt idx="9">
                  <c:v>8.39</c:v>
                </c:pt>
                <c:pt idx="10">
                  <c:v>5.67</c:v>
                </c:pt>
              </c:numCache>
            </c:numRef>
          </c:val>
          <c:extLst>
            <c:ext xmlns:c16="http://schemas.microsoft.com/office/drawing/2014/chart" uri="{C3380CC4-5D6E-409C-BE32-E72D297353CC}">
              <c16:uniqueId val="{00000002-58A1-40BB-8B5A-A91EC06071DE}"/>
            </c:ext>
          </c:extLst>
        </c:ser>
        <c:dLbls>
          <c:showLegendKey val="0"/>
          <c:showVal val="0"/>
          <c:showCatName val="0"/>
          <c:showSerName val="0"/>
          <c:showPercent val="0"/>
          <c:showBubbleSize val="0"/>
        </c:dLbls>
        <c:gapWidth val="219"/>
        <c:overlap val="-27"/>
        <c:axId val="189998640"/>
        <c:axId val="189999032"/>
      </c:barChart>
      <c:catAx>
        <c:axId val="18999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9999032"/>
        <c:crosses val="autoZero"/>
        <c:auto val="1"/>
        <c:lblAlgn val="ctr"/>
        <c:lblOffset val="100"/>
        <c:noMultiLvlLbl val="0"/>
      </c:catAx>
      <c:valAx>
        <c:axId val="189999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9998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0"/>
          <c:order val="0"/>
          <c:tx>
            <c:strRef>
              <c:f>'Vestas Economy'!$C$58</c:f>
              <c:strCache>
                <c:ptCount val="1"/>
                <c:pt idx="0">
                  <c:v>Order backlog – service (bnEUR)</c:v>
                </c:pt>
              </c:strCache>
            </c:strRef>
          </c:tx>
          <c:spPr>
            <a:ln w="28575" cap="rnd">
              <a:solidFill>
                <a:schemeClr val="accent1"/>
              </a:solidFill>
              <a:round/>
            </a:ln>
            <a:effectLst/>
          </c:spPr>
          <c:marker>
            <c:symbol val="none"/>
          </c:marker>
          <c:cat>
            <c:strRef>
              <c:f>'Vestas Economy'!$A$60:$A$80</c:f>
              <c:strCache>
                <c:ptCount val="21"/>
                <c:pt idx="0">
                  <c:v>2009</c:v>
                </c:pt>
                <c:pt idx="1">
                  <c:v>2010</c:v>
                </c:pt>
                <c:pt idx="2">
                  <c:v>2011</c:v>
                </c:pt>
                <c:pt idx="3">
                  <c:v>2012</c:v>
                </c:pt>
                <c:pt idx="4">
                  <c:v>2013</c:v>
                </c:pt>
                <c:pt idx="5">
                  <c:v>2014</c:v>
                </c:pt>
                <c:pt idx="6">
                  <c:v>15Q1</c:v>
                </c:pt>
                <c:pt idx="7">
                  <c:v>15Q2</c:v>
                </c:pt>
                <c:pt idx="8">
                  <c:v>15Q3</c:v>
                </c:pt>
                <c:pt idx="9">
                  <c:v>15Q4</c:v>
                </c:pt>
                <c:pt idx="10">
                  <c:v>16Q1</c:v>
                </c:pt>
                <c:pt idx="11">
                  <c:v>16Q2</c:v>
                </c:pt>
                <c:pt idx="12">
                  <c:v>16Q3</c:v>
                </c:pt>
                <c:pt idx="13">
                  <c:v>16Q4</c:v>
                </c:pt>
                <c:pt idx="14">
                  <c:v>17Q1</c:v>
                </c:pt>
                <c:pt idx="15">
                  <c:v>17Q2</c:v>
                </c:pt>
                <c:pt idx="16">
                  <c:v>17Q3</c:v>
                </c:pt>
                <c:pt idx="17">
                  <c:v>17Q4</c:v>
                </c:pt>
                <c:pt idx="18">
                  <c:v>18Q1</c:v>
                </c:pt>
                <c:pt idx="19">
                  <c:v>18Q2</c:v>
                </c:pt>
                <c:pt idx="20">
                  <c:v>18Q3</c:v>
                </c:pt>
              </c:strCache>
            </c:strRef>
          </c:cat>
          <c:val>
            <c:numRef>
              <c:f>'Vestas Economy'!$C$60:$C$80</c:f>
              <c:numCache>
                <c:formatCode>General</c:formatCode>
                <c:ptCount val="21"/>
                <c:pt idx="0">
                  <c:v>1.9</c:v>
                </c:pt>
                <c:pt idx="1">
                  <c:v>2.8</c:v>
                </c:pt>
                <c:pt idx="2">
                  <c:v>3.9</c:v>
                </c:pt>
                <c:pt idx="3">
                  <c:v>5.3</c:v>
                </c:pt>
                <c:pt idx="4">
                  <c:v>6.7</c:v>
                </c:pt>
                <c:pt idx="5">
                  <c:v>7</c:v>
                </c:pt>
                <c:pt idx="6">
                  <c:v>7.5</c:v>
                </c:pt>
                <c:pt idx="7">
                  <c:v>8.1</c:v>
                </c:pt>
                <c:pt idx="8">
                  <c:v>8.1999999999999993</c:v>
                </c:pt>
                <c:pt idx="9">
                  <c:v>8.9</c:v>
                </c:pt>
                <c:pt idx="10">
                  <c:v>9.4</c:v>
                </c:pt>
                <c:pt idx="11">
                  <c:v>9.9</c:v>
                </c:pt>
                <c:pt idx="12">
                  <c:v>9.9</c:v>
                </c:pt>
                <c:pt idx="13">
                  <c:v>10.7</c:v>
                </c:pt>
                <c:pt idx="14">
                  <c:v>11</c:v>
                </c:pt>
                <c:pt idx="15">
                  <c:v>11.1</c:v>
                </c:pt>
                <c:pt idx="16">
                  <c:v>11.4</c:v>
                </c:pt>
                <c:pt idx="17">
                  <c:v>12.1</c:v>
                </c:pt>
                <c:pt idx="18">
                  <c:v>12.3</c:v>
                </c:pt>
                <c:pt idx="19">
                  <c:v>12.8</c:v>
                </c:pt>
                <c:pt idx="20">
                  <c:v>13.2</c:v>
                </c:pt>
              </c:numCache>
            </c:numRef>
          </c:val>
          <c:smooth val="0"/>
          <c:extLst>
            <c:ext xmlns:c16="http://schemas.microsoft.com/office/drawing/2014/chart" uri="{C3380CC4-5D6E-409C-BE32-E72D297353CC}">
              <c16:uniqueId val="{00000000-6886-42A8-9433-CED1ED2569BF}"/>
            </c:ext>
          </c:extLst>
        </c:ser>
        <c:ser>
          <c:idx val="1"/>
          <c:order val="1"/>
          <c:tx>
            <c:strRef>
              <c:f>'Vestas Economy'!$D$58</c:f>
              <c:strCache>
                <c:ptCount val="1"/>
                <c:pt idx="0">
                  <c:v>Order backlog – wind turbines (bnEUR)</c:v>
                </c:pt>
              </c:strCache>
            </c:strRef>
          </c:tx>
          <c:spPr>
            <a:ln w="28575" cap="rnd">
              <a:solidFill>
                <a:schemeClr val="accent2"/>
              </a:solidFill>
              <a:round/>
            </a:ln>
            <a:effectLst/>
          </c:spPr>
          <c:marker>
            <c:symbol val="none"/>
          </c:marker>
          <c:cat>
            <c:strRef>
              <c:f>'Vestas Economy'!$A$60:$A$80</c:f>
              <c:strCache>
                <c:ptCount val="21"/>
                <c:pt idx="0">
                  <c:v>2009</c:v>
                </c:pt>
                <c:pt idx="1">
                  <c:v>2010</c:v>
                </c:pt>
                <c:pt idx="2">
                  <c:v>2011</c:v>
                </c:pt>
                <c:pt idx="3">
                  <c:v>2012</c:v>
                </c:pt>
                <c:pt idx="4">
                  <c:v>2013</c:v>
                </c:pt>
                <c:pt idx="5">
                  <c:v>2014</c:v>
                </c:pt>
                <c:pt idx="6">
                  <c:v>15Q1</c:v>
                </c:pt>
                <c:pt idx="7">
                  <c:v>15Q2</c:v>
                </c:pt>
                <c:pt idx="8">
                  <c:v>15Q3</c:v>
                </c:pt>
                <c:pt idx="9">
                  <c:v>15Q4</c:v>
                </c:pt>
                <c:pt idx="10">
                  <c:v>16Q1</c:v>
                </c:pt>
                <c:pt idx="11">
                  <c:v>16Q2</c:v>
                </c:pt>
                <c:pt idx="12">
                  <c:v>16Q3</c:v>
                </c:pt>
                <c:pt idx="13">
                  <c:v>16Q4</c:v>
                </c:pt>
                <c:pt idx="14">
                  <c:v>17Q1</c:v>
                </c:pt>
                <c:pt idx="15">
                  <c:v>17Q2</c:v>
                </c:pt>
                <c:pt idx="16">
                  <c:v>17Q3</c:v>
                </c:pt>
                <c:pt idx="17">
                  <c:v>17Q4</c:v>
                </c:pt>
                <c:pt idx="18">
                  <c:v>18Q1</c:v>
                </c:pt>
                <c:pt idx="19">
                  <c:v>18Q2</c:v>
                </c:pt>
                <c:pt idx="20">
                  <c:v>18Q3</c:v>
                </c:pt>
              </c:strCache>
            </c:strRef>
          </c:cat>
          <c:val>
            <c:numRef>
              <c:f>'Vestas Economy'!$D$60:$D$80</c:f>
              <c:numCache>
                <c:formatCode>General</c:formatCode>
                <c:ptCount val="21"/>
                <c:pt idx="0">
                  <c:v>2.2000000000000002</c:v>
                </c:pt>
                <c:pt idx="1">
                  <c:v>7.7</c:v>
                </c:pt>
                <c:pt idx="2">
                  <c:v>9.6</c:v>
                </c:pt>
                <c:pt idx="3">
                  <c:v>7.1</c:v>
                </c:pt>
                <c:pt idx="4">
                  <c:v>6.8</c:v>
                </c:pt>
                <c:pt idx="5">
                  <c:v>6.7</c:v>
                </c:pt>
                <c:pt idx="6">
                  <c:v>7.5</c:v>
                </c:pt>
                <c:pt idx="7">
                  <c:v>8.8000000000000007</c:v>
                </c:pt>
                <c:pt idx="8">
                  <c:v>8.1999999999999993</c:v>
                </c:pt>
                <c:pt idx="9">
                  <c:v>7.9</c:v>
                </c:pt>
                <c:pt idx="10">
                  <c:v>8.6</c:v>
                </c:pt>
                <c:pt idx="11">
                  <c:v>8.1999999999999993</c:v>
                </c:pt>
                <c:pt idx="12">
                  <c:v>7.2</c:v>
                </c:pt>
                <c:pt idx="13">
                  <c:v>8.5</c:v>
                </c:pt>
                <c:pt idx="14">
                  <c:v>9</c:v>
                </c:pt>
                <c:pt idx="15">
                  <c:v>9.1</c:v>
                </c:pt>
                <c:pt idx="16">
                  <c:v>8.8000000000000007</c:v>
                </c:pt>
                <c:pt idx="17">
                  <c:v>8.8000000000000007</c:v>
                </c:pt>
                <c:pt idx="18">
                  <c:v>9.3000000000000007</c:v>
                </c:pt>
                <c:pt idx="19">
                  <c:v>10.199999999999999</c:v>
                </c:pt>
                <c:pt idx="20">
                  <c:v>10.5</c:v>
                </c:pt>
              </c:numCache>
            </c:numRef>
          </c:val>
          <c:smooth val="0"/>
          <c:extLst>
            <c:ext xmlns:c16="http://schemas.microsoft.com/office/drawing/2014/chart" uri="{C3380CC4-5D6E-409C-BE32-E72D297353CC}">
              <c16:uniqueId val="{00000001-6886-42A8-9433-CED1ED2569BF}"/>
            </c:ext>
          </c:extLst>
        </c:ser>
        <c:dLbls>
          <c:showLegendKey val="0"/>
          <c:showVal val="0"/>
          <c:showCatName val="0"/>
          <c:showSerName val="0"/>
          <c:showPercent val="0"/>
          <c:showBubbleSize val="0"/>
        </c:dLbls>
        <c:smooth val="0"/>
        <c:axId val="189999816"/>
        <c:axId val="190000208"/>
      </c:lineChart>
      <c:catAx>
        <c:axId val="189999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90000208"/>
        <c:crosses val="autoZero"/>
        <c:auto val="1"/>
        <c:lblAlgn val="ctr"/>
        <c:lblOffset val="100"/>
        <c:noMultiLvlLbl val="0"/>
      </c:catAx>
      <c:valAx>
        <c:axId val="19000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9999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0"/>
          <c:order val="0"/>
          <c:tx>
            <c:strRef>
              <c:f>'Vestas Economy'!$D$83</c:f>
              <c:strCache>
                <c:ptCount val="1"/>
                <c:pt idx="0">
                  <c:v>€/MW</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'Vestas Economy'!$A$84:$A$133</c:f>
              <c:strCache>
                <c:ptCount val="50"/>
                <c:pt idx="0">
                  <c:v>2007</c:v>
                </c:pt>
                <c:pt idx="1">
                  <c:v>2008</c:v>
                </c:pt>
                <c:pt idx="2">
                  <c:v>2009</c:v>
                </c:pt>
                <c:pt idx="3">
                  <c:v>2010</c:v>
                </c:pt>
                <c:pt idx="4">
                  <c:v>2011</c:v>
                </c:pt>
                <c:pt idx="5">
                  <c:v>2012</c:v>
                </c:pt>
                <c:pt idx="6">
                  <c:v>13Q1</c:v>
                </c:pt>
                <c:pt idx="7">
                  <c:v>13Q2</c:v>
                </c:pt>
                <c:pt idx="8">
                  <c:v>13Q3</c:v>
                </c:pt>
                <c:pt idx="9">
                  <c:v>13Q4</c:v>
                </c:pt>
                <c:pt idx="10">
                  <c:v>14Q1</c:v>
                </c:pt>
                <c:pt idx="11">
                  <c:v>14Q2</c:v>
                </c:pt>
                <c:pt idx="12">
                  <c:v>14Q3</c:v>
                </c:pt>
                <c:pt idx="13">
                  <c:v>14Q4</c:v>
                </c:pt>
                <c:pt idx="14">
                  <c:v>15Q1</c:v>
                </c:pt>
                <c:pt idx="15">
                  <c:v>15Q2</c:v>
                </c:pt>
                <c:pt idx="16">
                  <c:v>15Q3</c:v>
                </c:pt>
                <c:pt idx="17">
                  <c:v>15Q4</c:v>
                </c:pt>
                <c:pt idx="18">
                  <c:v>16Q1</c:v>
                </c:pt>
                <c:pt idx="19">
                  <c:v>16Q2</c:v>
                </c:pt>
                <c:pt idx="20">
                  <c:v>16Q3</c:v>
                </c:pt>
                <c:pt idx="21">
                  <c:v>16Q4</c:v>
                </c:pt>
                <c:pt idx="22">
                  <c:v>17Q1</c:v>
                </c:pt>
                <c:pt idx="23">
                  <c:v>17Q2</c:v>
                </c:pt>
                <c:pt idx="24">
                  <c:v>17Q3</c:v>
                </c:pt>
                <c:pt idx="25">
                  <c:v>17Q4</c:v>
                </c:pt>
                <c:pt idx="26">
                  <c:v>18Q1</c:v>
                </c:pt>
                <c:pt idx="27">
                  <c:v>18Q2</c:v>
                </c:pt>
                <c:pt idx="28">
                  <c:v>18Q3</c:v>
                </c:pt>
                <c:pt idx="29">
                  <c:v>18Q4</c:v>
                </c:pt>
                <c:pt idx="30">
                  <c:v>19Q1</c:v>
                </c:pt>
                <c:pt idx="31">
                  <c:v>19q2</c:v>
                </c:pt>
                <c:pt idx="32">
                  <c:v>19q3</c:v>
                </c:pt>
                <c:pt idx="33">
                  <c:v>19q4</c:v>
                </c:pt>
                <c:pt idx="34">
                  <c:v>20q1</c:v>
                </c:pt>
                <c:pt idx="35">
                  <c:v>20q2</c:v>
                </c:pt>
                <c:pt idx="36">
                  <c:v>20q3</c:v>
                </c:pt>
                <c:pt idx="37">
                  <c:v>20q4</c:v>
                </c:pt>
                <c:pt idx="38">
                  <c:v>21q1</c:v>
                </c:pt>
                <c:pt idx="39">
                  <c:v>21q2</c:v>
                </c:pt>
                <c:pt idx="40">
                  <c:v>21q3</c:v>
                </c:pt>
                <c:pt idx="41">
                  <c:v>21q4</c:v>
                </c:pt>
                <c:pt idx="42">
                  <c:v>22q1</c:v>
                </c:pt>
                <c:pt idx="43">
                  <c:v>22q2</c:v>
                </c:pt>
                <c:pt idx="44">
                  <c:v>22q3</c:v>
                </c:pt>
                <c:pt idx="45">
                  <c:v>22q4</c:v>
                </c:pt>
                <c:pt idx="46">
                  <c:v>23q1</c:v>
                </c:pt>
                <c:pt idx="47">
                  <c:v>23q2</c:v>
                </c:pt>
                <c:pt idx="48">
                  <c:v>23q3</c:v>
                </c:pt>
                <c:pt idx="49">
                  <c:v>23q4</c:v>
                </c:pt>
              </c:strCache>
            </c:strRef>
          </c:cat>
          <c:val>
            <c:numRef>
              <c:f>'Vestas Economy'!$D$84:$D$132</c:f>
              <c:numCache>
                <c:formatCode>0.00</c:formatCode>
                <c:ptCount val="49"/>
                <c:pt idx="0">
                  <c:v>0.97986816319258863</c:v>
                </c:pt>
                <c:pt idx="1">
                  <c:v>1.0632995514205017</c:v>
                </c:pt>
                <c:pt idx="2">
                  <c:v>1.0416666666666667</c:v>
                </c:pt>
                <c:pt idx="3">
                  <c:v>0.99158307390752909</c:v>
                </c:pt>
                <c:pt idx="4">
                  <c:v>0.98688657563877247</c:v>
                </c:pt>
                <c:pt idx="5">
                  <c:v>1.0165864098448367</c:v>
                </c:pt>
                <c:pt idx="6">
                  <c:v>1.0196310361842105</c:v>
                </c:pt>
                <c:pt idx="7">
                  <c:v>1.0615746838926174</c:v>
                </c:pt>
                <c:pt idx="8">
                  <c:v>0.91635070483221481</c:v>
                </c:pt>
                <c:pt idx="9">
                  <c:v>0.91964032295302012</c:v>
                </c:pt>
                <c:pt idx="10">
                  <c:v>0.87561860053691276</c:v>
                </c:pt>
                <c:pt idx="11">
                  <c:v>0.86809219154362405</c:v>
                </c:pt>
                <c:pt idx="12">
                  <c:v>0.86946483248322148</c:v>
                </c:pt>
                <c:pt idx="13">
                  <c:v>0.91193958979865775</c:v>
                </c:pt>
                <c:pt idx="14">
                  <c:v>0.91273723637583892</c:v>
                </c:pt>
                <c:pt idx="15">
                  <c:v>0.89311652939597308</c:v>
                </c:pt>
                <c:pt idx="16">
                  <c:v>0.99301002671140937</c:v>
                </c:pt>
                <c:pt idx="17">
                  <c:v>0.89802619852348986</c:v>
                </c:pt>
                <c:pt idx="18">
                  <c:v>0.83088312912751672</c:v>
                </c:pt>
                <c:pt idx="19">
                  <c:v>0.89237129395973147</c:v>
                </c:pt>
                <c:pt idx="20">
                  <c:v>0.90293387100671141</c:v>
                </c:pt>
                <c:pt idx="21">
                  <c:v>0.94720075744966448</c:v>
                </c:pt>
                <c:pt idx="22">
                  <c:v>0.8769888953020134</c:v>
                </c:pt>
                <c:pt idx="23">
                  <c:v>0.82349965771812084</c:v>
                </c:pt>
                <c:pt idx="24">
                  <c:v>0.8010770469798657</c:v>
                </c:pt>
                <c:pt idx="25">
                  <c:v>0.74</c:v>
                </c:pt>
                <c:pt idx="26">
                  <c:v>0.73</c:v>
                </c:pt>
                <c:pt idx="27">
                  <c:v>0.71</c:v>
                </c:pt>
                <c:pt idx="28">
                  <c:v>0.78</c:v>
                </c:pt>
                <c:pt idx="29">
                  <c:v>0.76</c:v>
                </c:pt>
                <c:pt idx="30">
                  <c:v>0.81</c:v>
                </c:pt>
                <c:pt idx="31">
                  <c:v>0.75</c:v>
                </c:pt>
                <c:pt idx="32">
                  <c:v>0.75</c:v>
                </c:pt>
                <c:pt idx="33">
                  <c:v>0.79</c:v>
                </c:pt>
                <c:pt idx="34">
                  <c:v>0.72</c:v>
                </c:pt>
                <c:pt idx="35">
                  <c:v>0.78</c:v>
                </c:pt>
                <c:pt idx="36">
                  <c:v>0.73</c:v>
                </c:pt>
                <c:pt idx="37">
                  <c:v>0.71</c:v>
                </c:pt>
                <c:pt idx="38">
                  <c:v>0.8</c:v>
                </c:pt>
                <c:pt idx="39">
                  <c:v>0.79</c:v>
                </c:pt>
                <c:pt idx="40">
                  <c:v>0.81</c:v>
                </c:pt>
                <c:pt idx="41">
                  <c:v>0.86</c:v>
                </c:pt>
                <c:pt idx="42">
                  <c:v>1.01</c:v>
                </c:pt>
                <c:pt idx="43">
                  <c:v>0.97</c:v>
                </c:pt>
                <c:pt idx="44">
                  <c:v>1.07</c:v>
                </c:pt>
                <c:pt idx="45">
                  <c:v>1.1499999999999999</c:v>
                </c:pt>
                <c:pt idx="46">
                  <c:v>0.89</c:v>
                </c:pt>
                <c:pt idx="47">
                  <c:v>0.97</c:v>
                </c:pt>
                <c:pt idx="48">
                  <c:v>1.05</c:v>
                </c:pt>
              </c:numCache>
            </c:numRef>
          </c:val>
          <c:smooth val="0"/>
          <c:extLst>
            <c:ext xmlns:c16="http://schemas.microsoft.com/office/drawing/2014/chart" uri="{C3380CC4-5D6E-409C-BE32-E72D297353CC}">
              <c16:uniqueId val="{00000000-53CB-43E6-8E07-2EDFEC81DFE3}"/>
            </c:ext>
          </c:extLst>
        </c:ser>
        <c:dLbls>
          <c:showLegendKey val="0"/>
          <c:showVal val="0"/>
          <c:showCatName val="0"/>
          <c:showSerName val="0"/>
          <c:showPercent val="0"/>
          <c:showBubbleSize val="0"/>
        </c:dLbls>
        <c:marker val="1"/>
        <c:smooth val="0"/>
        <c:axId val="189998248"/>
        <c:axId val="190000992"/>
      </c:lineChart>
      <c:catAx>
        <c:axId val="189998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90000992"/>
        <c:crosses val="autoZero"/>
        <c:auto val="1"/>
        <c:lblAlgn val="ctr"/>
        <c:lblOffset val="100"/>
        <c:noMultiLvlLbl val="0"/>
      </c:catAx>
      <c:valAx>
        <c:axId val="190000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9998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Quaterly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'Vestas Economy'!$N$61</c:f>
              <c:strCache>
                <c:ptCount val="1"/>
                <c:pt idx="0">
                  <c:v>q1</c:v>
                </c:pt>
              </c:strCache>
            </c:strRef>
          </c:tx>
          <c:spPr>
            <a:solidFill>
              <a:schemeClr val="accent1"/>
            </a:solidFill>
            <a:ln>
              <a:noFill/>
            </a:ln>
            <a:effectLst/>
          </c:spPr>
          <c:invertIfNegative val="0"/>
          <c:cat>
            <c:numRef>
              <c:f>'Vestas Economy'!$M$62:$M$78</c:f>
              <c:numCache>
                <c:formatCode>General</c:formatCode>
                <c:ptCount val="17"/>
                <c:pt idx="0">
                  <c:v>2025</c:v>
                </c:pt>
                <c:pt idx="1">
                  <c:v>2024</c:v>
                </c:pt>
                <c:pt idx="2">
                  <c:v>2023</c:v>
                </c:pt>
                <c:pt idx="3">
                  <c:v>2022</c:v>
                </c:pt>
                <c:pt idx="4">
                  <c:v>2021</c:v>
                </c:pt>
                <c:pt idx="5">
                  <c:v>2020</c:v>
                </c:pt>
                <c:pt idx="6">
                  <c:v>2019</c:v>
                </c:pt>
                <c:pt idx="7">
                  <c:v>2018</c:v>
                </c:pt>
                <c:pt idx="8">
                  <c:v>2017</c:v>
                </c:pt>
                <c:pt idx="9">
                  <c:v>2016</c:v>
                </c:pt>
                <c:pt idx="10">
                  <c:v>2015</c:v>
                </c:pt>
                <c:pt idx="11">
                  <c:v>2014</c:v>
                </c:pt>
                <c:pt idx="12">
                  <c:v>2013</c:v>
                </c:pt>
                <c:pt idx="13">
                  <c:v>2013</c:v>
                </c:pt>
                <c:pt idx="14">
                  <c:v>2012</c:v>
                </c:pt>
                <c:pt idx="15">
                  <c:v>2011</c:v>
                </c:pt>
                <c:pt idx="16">
                  <c:v>2010</c:v>
                </c:pt>
              </c:numCache>
            </c:numRef>
          </c:cat>
          <c:val>
            <c:numRef>
              <c:f>'Vestas Economy'!$N$62:$N$78</c:f>
              <c:numCache>
                <c:formatCode>General</c:formatCode>
                <c:ptCount val="17"/>
                <c:pt idx="0">
                  <c:v>2398</c:v>
                </c:pt>
                <c:pt idx="1">
                  <c:v>1503</c:v>
                </c:pt>
                <c:pt idx="2">
                  <c:v>3022</c:v>
                </c:pt>
                <c:pt idx="3" formatCode="#,##0">
                  <c:v>2179</c:v>
                </c:pt>
                <c:pt idx="4" formatCode="#,##0">
                  <c:v>1060</c:v>
                </c:pt>
                <c:pt idx="5" formatCode="#,##0">
                  <c:v>2064</c:v>
                </c:pt>
                <c:pt idx="6" formatCode="#,##0">
                  <c:v>2233</c:v>
                </c:pt>
                <c:pt idx="7" formatCode="#,##0">
                  <c:v>1176</c:v>
                </c:pt>
                <c:pt idx="8" formatCode="#,##0">
                  <c:v>1353</c:v>
                </c:pt>
                <c:pt idx="9" formatCode="#,##0">
                  <c:v>1806</c:v>
                </c:pt>
                <c:pt idx="10" formatCode="#,##0">
                  <c:v>1332</c:v>
                </c:pt>
                <c:pt idx="11" formatCode="#,##0">
                  <c:v>390</c:v>
                </c:pt>
                <c:pt idx="12" formatCode="#,##0">
                  <c:v>271</c:v>
                </c:pt>
                <c:pt idx="13" formatCode="#,##0">
                  <c:v>271</c:v>
                </c:pt>
                <c:pt idx="14" formatCode="#,##0">
                  <c:v>915</c:v>
                </c:pt>
                <c:pt idx="15" formatCode="#,##0">
                  <c:v>338</c:v>
                </c:pt>
                <c:pt idx="16" formatCode="#,##0">
                  <c:v>783</c:v>
                </c:pt>
              </c:numCache>
            </c:numRef>
          </c:val>
          <c:extLst>
            <c:ext xmlns:c16="http://schemas.microsoft.com/office/drawing/2014/chart" uri="{C3380CC4-5D6E-409C-BE32-E72D297353CC}">
              <c16:uniqueId val="{00000000-D8DF-4909-8BE8-FDE2F98B21F1}"/>
            </c:ext>
          </c:extLst>
        </c:ser>
        <c:ser>
          <c:idx val="1"/>
          <c:order val="1"/>
          <c:tx>
            <c:strRef>
              <c:f>'Vestas Economy'!$O$61</c:f>
              <c:strCache>
                <c:ptCount val="1"/>
                <c:pt idx="0">
                  <c:v>q2</c:v>
                </c:pt>
              </c:strCache>
            </c:strRef>
          </c:tx>
          <c:spPr>
            <a:solidFill>
              <a:schemeClr val="accent2"/>
            </a:solidFill>
            <a:ln>
              <a:noFill/>
            </a:ln>
            <a:effectLst/>
          </c:spPr>
          <c:invertIfNegative val="0"/>
          <c:cat>
            <c:numRef>
              <c:f>'Vestas Economy'!$M$62:$M$78</c:f>
              <c:numCache>
                <c:formatCode>General</c:formatCode>
                <c:ptCount val="17"/>
                <c:pt idx="0">
                  <c:v>2025</c:v>
                </c:pt>
                <c:pt idx="1">
                  <c:v>2024</c:v>
                </c:pt>
                <c:pt idx="2">
                  <c:v>2023</c:v>
                </c:pt>
                <c:pt idx="3">
                  <c:v>2022</c:v>
                </c:pt>
                <c:pt idx="4">
                  <c:v>2021</c:v>
                </c:pt>
                <c:pt idx="5">
                  <c:v>2020</c:v>
                </c:pt>
                <c:pt idx="6">
                  <c:v>2019</c:v>
                </c:pt>
                <c:pt idx="7">
                  <c:v>2018</c:v>
                </c:pt>
                <c:pt idx="8">
                  <c:v>2017</c:v>
                </c:pt>
                <c:pt idx="9">
                  <c:v>2016</c:v>
                </c:pt>
                <c:pt idx="10">
                  <c:v>2015</c:v>
                </c:pt>
                <c:pt idx="11">
                  <c:v>2014</c:v>
                </c:pt>
                <c:pt idx="12">
                  <c:v>2013</c:v>
                </c:pt>
                <c:pt idx="13">
                  <c:v>2013</c:v>
                </c:pt>
                <c:pt idx="14">
                  <c:v>2012</c:v>
                </c:pt>
                <c:pt idx="15">
                  <c:v>2011</c:v>
                </c:pt>
                <c:pt idx="16">
                  <c:v>2010</c:v>
                </c:pt>
              </c:numCache>
            </c:numRef>
          </c:cat>
          <c:val>
            <c:numRef>
              <c:f>'Vestas Economy'!$O$62:$O$78</c:f>
              <c:numCache>
                <c:formatCode>General</c:formatCode>
                <c:ptCount val="17"/>
                <c:pt idx="0">
                  <c:v>1112</c:v>
                </c:pt>
                <c:pt idx="1">
                  <c:v>2902</c:v>
                </c:pt>
                <c:pt idx="2">
                  <c:v>1802</c:v>
                </c:pt>
                <c:pt idx="3" formatCode="#,##0">
                  <c:v>1783</c:v>
                </c:pt>
                <c:pt idx="4" formatCode="#,##0">
                  <c:v>4127</c:v>
                </c:pt>
                <c:pt idx="5" formatCode="#,##0">
                  <c:v>3076</c:v>
                </c:pt>
                <c:pt idx="6" formatCode="#,##0">
                  <c:v>4601</c:v>
                </c:pt>
                <c:pt idx="7" formatCode="#,##0">
                  <c:v>2695.2</c:v>
                </c:pt>
                <c:pt idx="8" formatCode="#,##0">
                  <c:v>1956</c:v>
                </c:pt>
                <c:pt idx="9" formatCode="#,##0">
                  <c:v>1124</c:v>
                </c:pt>
                <c:pt idx="10" formatCode="#,##0">
                  <c:v>2467</c:v>
                </c:pt>
                <c:pt idx="11" formatCode="#,##0">
                  <c:v>1544</c:v>
                </c:pt>
                <c:pt idx="12" formatCode="#,##0">
                  <c:v>1295</c:v>
                </c:pt>
                <c:pt idx="13" formatCode="#,##0">
                  <c:v>1295</c:v>
                </c:pt>
                <c:pt idx="14" formatCode="#,##0">
                  <c:v>704</c:v>
                </c:pt>
                <c:pt idx="15" formatCode="#,##0">
                  <c:v>1479</c:v>
                </c:pt>
                <c:pt idx="16" formatCode="#,##0">
                  <c:v>2603</c:v>
                </c:pt>
              </c:numCache>
            </c:numRef>
          </c:val>
          <c:extLst>
            <c:ext xmlns:c16="http://schemas.microsoft.com/office/drawing/2014/chart" uri="{C3380CC4-5D6E-409C-BE32-E72D297353CC}">
              <c16:uniqueId val="{00000001-D8DF-4909-8BE8-FDE2F98B21F1}"/>
            </c:ext>
          </c:extLst>
        </c:ser>
        <c:ser>
          <c:idx val="2"/>
          <c:order val="2"/>
          <c:tx>
            <c:strRef>
              <c:f>'Vestas Economy'!$P$61</c:f>
              <c:strCache>
                <c:ptCount val="1"/>
                <c:pt idx="0">
                  <c:v>q3</c:v>
                </c:pt>
              </c:strCache>
            </c:strRef>
          </c:tx>
          <c:spPr>
            <a:solidFill>
              <a:schemeClr val="accent3"/>
            </a:solidFill>
            <a:ln>
              <a:noFill/>
            </a:ln>
            <a:effectLst/>
          </c:spPr>
          <c:invertIfNegative val="0"/>
          <c:cat>
            <c:numRef>
              <c:f>'Vestas Economy'!$M$62:$M$78</c:f>
              <c:numCache>
                <c:formatCode>General</c:formatCode>
                <c:ptCount val="17"/>
                <c:pt idx="0">
                  <c:v>2025</c:v>
                </c:pt>
                <c:pt idx="1">
                  <c:v>2024</c:v>
                </c:pt>
                <c:pt idx="2">
                  <c:v>2023</c:v>
                </c:pt>
                <c:pt idx="3">
                  <c:v>2022</c:v>
                </c:pt>
                <c:pt idx="4">
                  <c:v>2021</c:v>
                </c:pt>
                <c:pt idx="5">
                  <c:v>2020</c:v>
                </c:pt>
                <c:pt idx="6">
                  <c:v>2019</c:v>
                </c:pt>
                <c:pt idx="7">
                  <c:v>2018</c:v>
                </c:pt>
                <c:pt idx="8">
                  <c:v>2017</c:v>
                </c:pt>
                <c:pt idx="9">
                  <c:v>2016</c:v>
                </c:pt>
                <c:pt idx="10">
                  <c:v>2015</c:v>
                </c:pt>
                <c:pt idx="11">
                  <c:v>2014</c:v>
                </c:pt>
                <c:pt idx="12">
                  <c:v>2013</c:v>
                </c:pt>
                <c:pt idx="13">
                  <c:v>2013</c:v>
                </c:pt>
                <c:pt idx="14">
                  <c:v>2012</c:v>
                </c:pt>
                <c:pt idx="15">
                  <c:v>2011</c:v>
                </c:pt>
                <c:pt idx="16">
                  <c:v>2010</c:v>
                </c:pt>
              </c:numCache>
            </c:numRef>
          </c:cat>
          <c:val>
            <c:numRef>
              <c:f>'Vestas Economy'!$P$62:$P$78</c:f>
              <c:numCache>
                <c:formatCode>General</c:formatCode>
                <c:ptCount val="17"/>
                <c:pt idx="0">
                  <c:v>4003</c:v>
                </c:pt>
                <c:pt idx="1">
                  <c:v>3742</c:v>
                </c:pt>
                <c:pt idx="2">
                  <c:v>4044</c:v>
                </c:pt>
                <c:pt idx="3" formatCode="#,##0">
                  <c:v>1240</c:v>
                </c:pt>
                <c:pt idx="4" formatCode="#,##0">
                  <c:v>3167</c:v>
                </c:pt>
                <c:pt idx="5" formatCode="#,##0">
                  <c:v>3535</c:v>
                </c:pt>
                <c:pt idx="6" formatCode="#,##0">
                  <c:v>3748</c:v>
                </c:pt>
                <c:pt idx="7" formatCode="#,##0">
                  <c:v>2672</c:v>
                </c:pt>
                <c:pt idx="8" formatCode="#,##0">
                  <c:v>1739</c:v>
                </c:pt>
                <c:pt idx="9" formatCode="#,##0">
                  <c:v>1350</c:v>
                </c:pt>
                <c:pt idx="10" formatCode="#,##0">
                  <c:v>1131</c:v>
                </c:pt>
                <c:pt idx="11" formatCode="#,##0">
                  <c:v>604</c:v>
                </c:pt>
                <c:pt idx="12" formatCode="#,##0">
                  <c:v>1250</c:v>
                </c:pt>
                <c:pt idx="13" formatCode="#,##0">
                  <c:v>1250</c:v>
                </c:pt>
                <c:pt idx="14" formatCode="#,##0">
                  <c:v>158</c:v>
                </c:pt>
                <c:pt idx="15" formatCode="#,##0">
                  <c:v>737</c:v>
                </c:pt>
                <c:pt idx="16" formatCode="#,##0">
                  <c:v>2089</c:v>
                </c:pt>
              </c:numCache>
            </c:numRef>
          </c:val>
          <c:extLst>
            <c:ext xmlns:c16="http://schemas.microsoft.com/office/drawing/2014/chart" uri="{C3380CC4-5D6E-409C-BE32-E72D297353CC}">
              <c16:uniqueId val="{00000002-D8DF-4909-8BE8-FDE2F98B21F1}"/>
            </c:ext>
          </c:extLst>
        </c:ser>
        <c:ser>
          <c:idx val="3"/>
          <c:order val="3"/>
          <c:tx>
            <c:strRef>
              <c:f>'Vestas Economy'!$Q$61</c:f>
              <c:strCache>
                <c:ptCount val="1"/>
                <c:pt idx="0">
                  <c:v>q4</c:v>
                </c:pt>
              </c:strCache>
            </c:strRef>
          </c:tx>
          <c:spPr>
            <a:solidFill>
              <a:schemeClr val="accent4"/>
            </a:solidFill>
            <a:ln>
              <a:noFill/>
            </a:ln>
            <a:effectLst/>
          </c:spPr>
          <c:invertIfNegative val="0"/>
          <c:cat>
            <c:numRef>
              <c:f>'Vestas Economy'!$M$62:$M$78</c:f>
              <c:numCache>
                <c:formatCode>General</c:formatCode>
                <c:ptCount val="17"/>
                <c:pt idx="0">
                  <c:v>2025</c:v>
                </c:pt>
                <c:pt idx="1">
                  <c:v>2024</c:v>
                </c:pt>
                <c:pt idx="2">
                  <c:v>2023</c:v>
                </c:pt>
                <c:pt idx="3">
                  <c:v>2022</c:v>
                </c:pt>
                <c:pt idx="4">
                  <c:v>2021</c:v>
                </c:pt>
                <c:pt idx="5">
                  <c:v>2020</c:v>
                </c:pt>
                <c:pt idx="6">
                  <c:v>2019</c:v>
                </c:pt>
                <c:pt idx="7">
                  <c:v>2018</c:v>
                </c:pt>
                <c:pt idx="8">
                  <c:v>2017</c:v>
                </c:pt>
                <c:pt idx="9">
                  <c:v>2016</c:v>
                </c:pt>
                <c:pt idx="10">
                  <c:v>2015</c:v>
                </c:pt>
                <c:pt idx="11">
                  <c:v>2014</c:v>
                </c:pt>
                <c:pt idx="12">
                  <c:v>2013</c:v>
                </c:pt>
                <c:pt idx="13">
                  <c:v>2013</c:v>
                </c:pt>
                <c:pt idx="14">
                  <c:v>2012</c:v>
                </c:pt>
                <c:pt idx="15">
                  <c:v>2011</c:v>
                </c:pt>
                <c:pt idx="16">
                  <c:v>2010</c:v>
                </c:pt>
              </c:numCache>
            </c:numRef>
          </c:cat>
          <c:val>
            <c:numRef>
              <c:f>'Vestas Economy'!$Q$62:$Q$78</c:f>
              <c:numCache>
                <c:formatCode>General</c:formatCode>
                <c:ptCount val="17"/>
                <c:pt idx="0">
                  <c:v>5476</c:v>
                </c:pt>
                <c:pt idx="1">
                  <c:v>6028</c:v>
                </c:pt>
                <c:pt idx="2">
                  <c:v>6945</c:v>
                </c:pt>
                <c:pt idx="3" formatCode="#,##0">
                  <c:v>3366</c:v>
                </c:pt>
                <c:pt idx="4" formatCode="#,##0">
                  <c:v>2011</c:v>
                </c:pt>
                <c:pt idx="5" formatCode="#,##0">
                  <c:v>3818</c:v>
                </c:pt>
                <c:pt idx="6" formatCode="#,##0">
                  <c:v>2996</c:v>
                </c:pt>
                <c:pt idx="7" formatCode="#,##0">
                  <c:v>4174</c:v>
                </c:pt>
                <c:pt idx="8" formatCode="#,##0">
                  <c:v>3361</c:v>
                </c:pt>
                <c:pt idx="9" formatCode="#,##0">
                  <c:v>3305</c:v>
                </c:pt>
                <c:pt idx="10" formatCode="#,##0">
                  <c:v>1823</c:v>
                </c:pt>
                <c:pt idx="11" formatCode="#,##0">
                  <c:v>1574</c:v>
                </c:pt>
                <c:pt idx="12" formatCode="#,##0">
                  <c:v>1509</c:v>
                </c:pt>
                <c:pt idx="13" formatCode="#,##0">
                  <c:v>1509</c:v>
                </c:pt>
                <c:pt idx="14" formatCode="#,##0">
                  <c:v>505</c:v>
                </c:pt>
                <c:pt idx="15" formatCode="#,##0">
                  <c:v>2035</c:v>
                </c:pt>
                <c:pt idx="16" formatCode="#,##0">
                  <c:v>1524</c:v>
                </c:pt>
              </c:numCache>
            </c:numRef>
          </c:val>
          <c:extLst>
            <c:ext xmlns:c16="http://schemas.microsoft.com/office/drawing/2014/chart" uri="{C3380CC4-5D6E-409C-BE32-E72D297353CC}">
              <c16:uniqueId val="{00000003-D8DF-4909-8BE8-FDE2F98B21F1}"/>
            </c:ext>
          </c:extLst>
        </c:ser>
        <c:dLbls>
          <c:showLegendKey val="0"/>
          <c:showVal val="0"/>
          <c:showCatName val="0"/>
          <c:showSerName val="0"/>
          <c:showPercent val="0"/>
          <c:showBubbleSize val="0"/>
        </c:dLbls>
        <c:gapWidth val="150"/>
        <c:axId val="189997856"/>
        <c:axId val="189324456"/>
      </c:barChart>
      <c:lineChart>
        <c:grouping val="standard"/>
        <c:varyColors val="0"/>
        <c:ser>
          <c:idx val="4"/>
          <c:order val="4"/>
          <c:tx>
            <c:strRef>
              <c:f>'Vestas Economy'!$R$61</c:f>
              <c:strCache>
                <c:ptCount val="1"/>
                <c:pt idx="0">
                  <c:v>total</c:v>
                </c:pt>
              </c:strCache>
            </c:strRef>
          </c:tx>
          <c:spPr>
            <a:ln w="28575" cap="rnd">
              <a:solidFill>
                <a:schemeClr val="accent5"/>
              </a:solidFill>
              <a:round/>
            </a:ln>
            <a:effectLst/>
          </c:spPr>
          <c:marker>
            <c:symbol val="none"/>
          </c:marker>
          <c:cat>
            <c:numRef>
              <c:f>'Vestas Economy'!$M$62:$M$78</c:f>
              <c:numCache>
                <c:formatCode>General</c:formatCode>
                <c:ptCount val="17"/>
                <c:pt idx="0">
                  <c:v>2025</c:v>
                </c:pt>
                <c:pt idx="1">
                  <c:v>2024</c:v>
                </c:pt>
                <c:pt idx="2">
                  <c:v>2023</c:v>
                </c:pt>
                <c:pt idx="3">
                  <c:v>2022</c:v>
                </c:pt>
                <c:pt idx="4">
                  <c:v>2021</c:v>
                </c:pt>
                <c:pt idx="5">
                  <c:v>2020</c:v>
                </c:pt>
                <c:pt idx="6">
                  <c:v>2019</c:v>
                </c:pt>
                <c:pt idx="7">
                  <c:v>2018</c:v>
                </c:pt>
                <c:pt idx="8">
                  <c:v>2017</c:v>
                </c:pt>
                <c:pt idx="9">
                  <c:v>2016</c:v>
                </c:pt>
                <c:pt idx="10">
                  <c:v>2015</c:v>
                </c:pt>
                <c:pt idx="11">
                  <c:v>2014</c:v>
                </c:pt>
                <c:pt idx="12">
                  <c:v>2013</c:v>
                </c:pt>
                <c:pt idx="13">
                  <c:v>2013</c:v>
                </c:pt>
                <c:pt idx="14">
                  <c:v>2012</c:v>
                </c:pt>
                <c:pt idx="15">
                  <c:v>2011</c:v>
                </c:pt>
                <c:pt idx="16">
                  <c:v>2010</c:v>
                </c:pt>
              </c:numCache>
            </c:numRef>
          </c:cat>
          <c:val>
            <c:numRef>
              <c:f>'Vestas Economy'!$R$62:$R$78</c:f>
              <c:numCache>
                <c:formatCode>#,##0</c:formatCode>
                <c:ptCount val="17"/>
                <c:pt idx="0">
                  <c:v>12989</c:v>
                </c:pt>
                <c:pt idx="1">
                  <c:v>14175</c:v>
                </c:pt>
                <c:pt idx="2">
                  <c:v>15813</c:v>
                </c:pt>
                <c:pt idx="3">
                  <c:v>8568</c:v>
                </c:pt>
                <c:pt idx="4">
                  <c:v>10365</c:v>
                </c:pt>
                <c:pt idx="5">
                  <c:v>12493</c:v>
                </c:pt>
                <c:pt idx="6">
                  <c:v>13578</c:v>
                </c:pt>
                <c:pt idx="7">
                  <c:v>10717.2</c:v>
                </c:pt>
                <c:pt idx="8">
                  <c:v>8409</c:v>
                </c:pt>
                <c:pt idx="9">
                  <c:v>7585</c:v>
                </c:pt>
                <c:pt idx="10">
                  <c:v>6753</c:v>
                </c:pt>
                <c:pt idx="11">
                  <c:v>4112</c:v>
                </c:pt>
                <c:pt idx="12">
                  <c:v>4325</c:v>
                </c:pt>
                <c:pt idx="13">
                  <c:v>4325</c:v>
                </c:pt>
                <c:pt idx="14">
                  <c:v>2282</c:v>
                </c:pt>
                <c:pt idx="15">
                  <c:v>4589</c:v>
                </c:pt>
                <c:pt idx="16">
                  <c:v>6999</c:v>
                </c:pt>
              </c:numCache>
            </c:numRef>
          </c:val>
          <c:smooth val="0"/>
          <c:extLst>
            <c:ext xmlns:c16="http://schemas.microsoft.com/office/drawing/2014/chart" uri="{C3380CC4-5D6E-409C-BE32-E72D297353CC}">
              <c16:uniqueId val="{00000004-D8DF-4909-8BE8-FDE2F98B21F1}"/>
            </c:ext>
          </c:extLst>
        </c:ser>
        <c:dLbls>
          <c:showLegendKey val="0"/>
          <c:showVal val="0"/>
          <c:showCatName val="0"/>
          <c:showSerName val="0"/>
          <c:showPercent val="0"/>
          <c:showBubbleSize val="0"/>
        </c:dLbls>
        <c:marker val="1"/>
        <c:smooth val="0"/>
        <c:axId val="189323672"/>
        <c:axId val="189324064"/>
      </c:lineChart>
      <c:catAx>
        <c:axId val="18999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9324456"/>
        <c:crosses val="autoZero"/>
        <c:auto val="1"/>
        <c:lblAlgn val="ctr"/>
        <c:lblOffset val="100"/>
        <c:noMultiLvlLbl val="0"/>
      </c:catAx>
      <c:valAx>
        <c:axId val="189324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9997856"/>
        <c:crosses val="autoZero"/>
        <c:crossBetween val="between"/>
      </c:valAx>
      <c:valAx>
        <c:axId val="18932406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9323672"/>
        <c:crosses val="max"/>
        <c:crossBetween val="between"/>
      </c:valAx>
      <c:catAx>
        <c:axId val="189323672"/>
        <c:scaling>
          <c:orientation val="minMax"/>
        </c:scaling>
        <c:delete val="1"/>
        <c:axPos val="b"/>
        <c:numFmt formatCode="General" sourceLinked="1"/>
        <c:majorTickMark val="out"/>
        <c:minorTickMark val="none"/>
        <c:tickLblPos val="nextTo"/>
        <c:crossAx val="1893240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stacked"/>
        <c:varyColors val="0"/>
        <c:ser>
          <c:idx val="0"/>
          <c:order val="0"/>
          <c:tx>
            <c:strRef>
              <c:f>'Vestas Economy'!$B$138</c:f>
              <c:strCache>
                <c:ptCount val="1"/>
                <c:pt idx="0">
                  <c:v>q1</c:v>
                </c:pt>
              </c:strCache>
            </c:strRef>
          </c:tx>
          <c:spPr>
            <a:solidFill>
              <a:schemeClr val="accent1"/>
            </a:solidFill>
            <a:ln>
              <a:noFill/>
            </a:ln>
            <a:effectLst/>
          </c:spPr>
          <c:invertIfNegative val="0"/>
          <c:cat>
            <c:numRef>
              <c:f>'Vestas Economy'!$A$139:$A$150</c:f>
              <c:numCache>
                <c:formatCode>General</c:formatCode>
                <c:ptCount val="12"/>
                <c:pt idx="0">
                  <c:v>2021</c:v>
                </c:pt>
                <c:pt idx="1">
                  <c:v>2020</c:v>
                </c:pt>
                <c:pt idx="2">
                  <c:v>2019</c:v>
                </c:pt>
                <c:pt idx="3">
                  <c:v>2018</c:v>
                </c:pt>
                <c:pt idx="4">
                  <c:v>2017</c:v>
                </c:pt>
                <c:pt idx="5">
                  <c:v>2016</c:v>
                </c:pt>
                <c:pt idx="6">
                  <c:v>2015</c:v>
                </c:pt>
                <c:pt idx="7">
                  <c:v>2014</c:v>
                </c:pt>
                <c:pt idx="8">
                  <c:v>2013</c:v>
                </c:pt>
                <c:pt idx="9">
                  <c:v>2012</c:v>
                </c:pt>
                <c:pt idx="10">
                  <c:v>2011</c:v>
                </c:pt>
                <c:pt idx="11">
                  <c:v>2010</c:v>
                </c:pt>
              </c:numCache>
            </c:numRef>
          </c:cat>
          <c:val>
            <c:numRef>
              <c:f>'Vestas Economy'!$B$139:$B$150</c:f>
              <c:numCache>
                <c:formatCode>General</c:formatCode>
                <c:ptCount val="12"/>
                <c:pt idx="0">
                  <c:v>1060</c:v>
                </c:pt>
                <c:pt idx="1">
                  <c:v>2064</c:v>
                </c:pt>
                <c:pt idx="2">
                  <c:v>2215</c:v>
                </c:pt>
                <c:pt idx="3">
                  <c:v>1176</c:v>
                </c:pt>
                <c:pt idx="4">
                  <c:v>1353</c:v>
                </c:pt>
                <c:pt idx="5">
                  <c:v>1806</c:v>
                </c:pt>
                <c:pt idx="6">
                  <c:v>1332</c:v>
                </c:pt>
                <c:pt idx="7">
                  <c:v>584</c:v>
                </c:pt>
                <c:pt idx="8">
                  <c:v>271</c:v>
                </c:pt>
                <c:pt idx="9">
                  <c:v>915</c:v>
                </c:pt>
                <c:pt idx="10">
                  <c:v>338</c:v>
                </c:pt>
                <c:pt idx="11">
                  <c:v>783</c:v>
                </c:pt>
              </c:numCache>
            </c:numRef>
          </c:val>
          <c:extLst>
            <c:ext xmlns:c16="http://schemas.microsoft.com/office/drawing/2014/chart" uri="{C3380CC4-5D6E-409C-BE32-E72D297353CC}">
              <c16:uniqueId val="{00000000-5316-45A2-A724-95AC7BBC776A}"/>
            </c:ext>
          </c:extLst>
        </c:ser>
        <c:ser>
          <c:idx val="1"/>
          <c:order val="1"/>
          <c:tx>
            <c:strRef>
              <c:f>'Vestas Economy'!$C$138</c:f>
              <c:strCache>
                <c:ptCount val="1"/>
                <c:pt idx="0">
                  <c:v>q2</c:v>
                </c:pt>
              </c:strCache>
            </c:strRef>
          </c:tx>
          <c:spPr>
            <a:solidFill>
              <a:schemeClr val="accent2"/>
            </a:solidFill>
            <a:ln>
              <a:noFill/>
            </a:ln>
            <a:effectLst/>
          </c:spPr>
          <c:invertIfNegative val="0"/>
          <c:cat>
            <c:numRef>
              <c:f>'Vestas Economy'!$A$139:$A$150</c:f>
              <c:numCache>
                <c:formatCode>General</c:formatCode>
                <c:ptCount val="12"/>
                <c:pt idx="0">
                  <c:v>2021</c:v>
                </c:pt>
                <c:pt idx="1">
                  <c:v>2020</c:v>
                </c:pt>
                <c:pt idx="2">
                  <c:v>2019</c:v>
                </c:pt>
                <c:pt idx="3">
                  <c:v>2018</c:v>
                </c:pt>
                <c:pt idx="4">
                  <c:v>2017</c:v>
                </c:pt>
                <c:pt idx="5">
                  <c:v>2016</c:v>
                </c:pt>
                <c:pt idx="6">
                  <c:v>2015</c:v>
                </c:pt>
                <c:pt idx="7">
                  <c:v>2014</c:v>
                </c:pt>
                <c:pt idx="8">
                  <c:v>2013</c:v>
                </c:pt>
                <c:pt idx="9">
                  <c:v>2012</c:v>
                </c:pt>
                <c:pt idx="10">
                  <c:v>2011</c:v>
                </c:pt>
                <c:pt idx="11">
                  <c:v>2010</c:v>
                </c:pt>
              </c:numCache>
            </c:numRef>
          </c:cat>
          <c:val>
            <c:numRef>
              <c:f>'Vestas Economy'!$C$139:$C$150</c:f>
              <c:numCache>
                <c:formatCode>General</c:formatCode>
                <c:ptCount val="12"/>
                <c:pt idx="0">
                  <c:v>4127</c:v>
                </c:pt>
                <c:pt idx="1">
                  <c:v>3076</c:v>
                </c:pt>
                <c:pt idx="2">
                  <c:v>4601</c:v>
                </c:pt>
                <c:pt idx="3">
                  <c:v>2695</c:v>
                </c:pt>
                <c:pt idx="4">
                  <c:v>1956</c:v>
                </c:pt>
                <c:pt idx="5">
                  <c:v>1124</c:v>
                </c:pt>
                <c:pt idx="6">
                  <c:v>2467</c:v>
                </c:pt>
                <c:pt idx="7">
                  <c:v>1350</c:v>
                </c:pt>
                <c:pt idx="8">
                  <c:v>1295</c:v>
                </c:pt>
                <c:pt idx="9">
                  <c:v>704</c:v>
                </c:pt>
                <c:pt idx="10">
                  <c:v>1479</c:v>
                </c:pt>
                <c:pt idx="11">
                  <c:v>2603</c:v>
                </c:pt>
              </c:numCache>
            </c:numRef>
          </c:val>
          <c:extLst>
            <c:ext xmlns:c16="http://schemas.microsoft.com/office/drawing/2014/chart" uri="{C3380CC4-5D6E-409C-BE32-E72D297353CC}">
              <c16:uniqueId val="{00000001-5316-45A2-A724-95AC7BBC776A}"/>
            </c:ext>
          </c:extLst>
        </c:ser>
        <c:ser>
          <c:idx val="2"/>
          <c:order val="2"/>
          <c:tx>
            <c:strRef>
              <c:f>'Vestas Economy'!$D$138</c:f>
              <c:strCache>
                <c:ptCount val="1"/>
                <c:pt idx="0">
                  <c:v>q3</c:v>
                </c:pt>
              </c:strCache>
            </c:strRef>
          </c:tx>
          <c:spPr>
            <a:solidFill>
              <a:schemeClr val="accent3"/>
            </a:solidFill>
            <a:ln>
              <a:noFill/>
            </a:ln>
            <a:effectLst/>
          </c:spPr>
          <c:invertIfNegative val="0"/>
          <c:cat>
            <c:numRef>
              <c:f>'Vestas Economy'!$A$139:$A$150</c:f>
              <c:numCache>
                <c:formatCode>General</c:formatCode>
                <c:ptCount val="12"/>
                <c:pt idx="0">
                  <c:v>2021</c:v>
                </c:pt>
                <c:pt idx="1">
                  <c:v>2020</c:v>
                </c:pt>
                <c:pt idx="2">
                  <c:v>2019</c:v>
                </c:pt>
                <c:pt idx="3">
                  <c:v>2018</c:v>
                </c:pt>
                <c:pt idx="4">
                  <c:v>2017</c:v>
                </c:pt>
                <c:pt idx="5">
                  <c:v>2016</c:v>
                </c:pt>
                <c:pt idx="6">
                  <c:v>2015</c:v>
                </c:pt>
                <c:pt idx="7">
                  <c:v>2014</c:v>
                </c:pt>
                <c:pt idx="8">
                  <c:v>2013</c:v>
                </c:pt>
                <c:pt idx="9">
                  <c:v>2012</c:v>
                </c:pt>
                <c:pt idx="10">
                  <c:v>2011</c:v>
                </c:pt>
                <c:pt idx="11">
                  <c:v>2010</c:v>
                </c:pt>
              </c:numCache>
            </c:numRef>
          </c:cat>
          <c:val>
            <c:numRef>
              <c:f>'Vestas Economy'!$D$139:$D$150</c:f>
              <c:numCache>
                <c:formatCode>General</c:formatCode>
                <c:ptCount val="12"/>
                <c:pt idx="0">
                  <c:v>3167</c:v>
                </c:pt>
                <c:pt idx="1">
                  <c:v>3535</c:v>
                </c:pt>
                <c:pt idx="2">
                  <c:v>3748</c:v>
                </c:pt>
                <c:pt idx="3">
                  <c:v>2672</c:v>
                </c:pt>
                <c:pt idx="4">
                  <c:v>1739</c:v>
                </c:pt>
                <c:pt idx="5">
                  <c:v>1350</c:v>
                </c:pt>
                <c:pt idx="6">
                  <c:v>1131</c:v>
                </c:pt>
                <c:pt idx="7">
                  <c:v>604</c:v>
                </c:pt>
                <c:pt idx="8">
                  <c:v>1250</c:v>
                </c:pt>
                <c:pt idx="9">
                  <c:v>158</c:v>
                </c:pt>
                <c:pt idx="10">
                  <c:v>737</c:v>
                </c:pt>
                <c:pt idx="11">
                  <c:v>2089</c:v>
                </c:pt>
              </c:numCache>
            </c:numRef>
          </c:val>
          <c:extLst>
            <c:ext xmlns:c16="http://schemas.microsoft.com/office/drawing/2014/chart" uri="{C3380CC4-5D6E-409C-BE32-E72D297353CC}">
              <c16:uniqueId val="{00000002-5316-45A2-A724-95AC7BBC776A}"/>
            </c:ext>
          </c:extLst>
        </c:ser>
        <c:ser>
          <c:idx val="3"/>
          <c:order val="3"/>
          <c:tx>
            <c:strRef>
              <c:f>'Vestas Economy'!$E$138</c:f>
              <c:strCache>
                <c:ptCount val="1"/>
                <c:pt idx="0">
                  <c:v>q4</c:v>
                </c:pt>
              </c:strCache>
            </c:strRef>
          </c:tx>
          <c:spPr>
            <a:solidFill>
              <a:schemeClr val="accent4"/>
            </a:solidFill>
            <a:ln>
              <a:noFill/>
            </a:ln>
            <a:effectLst/>
          </c:spPr>
          <c:invertIfNegative val="0"/>
          <c:cat>
            <c:numRef>
              <c:f>'Vestas Economy'!$A$139:$A$150</c:f>
              <c:numCache>
                <c:formatCode>General</c:formatCode>
                <c:ptCount val="12"/>
                <c:pt idx="0">
                  <c:v>2021</c:v>
                </c:pt>
                <c:pt idx="1">
                  <c:v>2020</c:v>
                </c:pt>
                <c:pt idx="2">
                  <c:v>2019</c:v>
                </c:pt>
                <c:pt idx="3">
                  <c:v>2018</c:v>
                </c:pt>
                <c:pt idx="4">
                  <c:v>2017</c:v>
                </c:pt>
                <c:pt idx="5">
                  <c:v>2016</c:v>
                </c:pt>
                <c:pt idx="6">
                  <c:v>2015</c:v>
                </c:pt>
                <c:pt idx="7">
                  <c:v>2014</c:v>
                </c:pt>
                <c:pt idx="8">
                  <c:v>2013</c:v>
                </c:pt>
                <c:pt idx="9">
                  <c:v>2012</c:v>
                </c:pt>
                <c:pt idx="10">
                  <c:v>2011</c:v>
                </c:pt>
                <c:pt idx="11">
                  <c:v>2010</c:v>
                </c:pt>
              </c:numCache>
            </c:numRef>
          </c:cat>
          <c:val>
            <c:numRef>
              <c:f>'Vestas Economy'!$E$139:$E$150</c:f>
              <c:numCache>
                <c:formatCode>General</c:formatCode>
                <c:ptCount val="12"/>
                <c:pt idx="0">
                  <c:v>2011</c:v>
                </c:pt>
                <c:pt idx="1">
                  <c:v>3818</c:v>
                </c:pt>
                <c:pt idx="2">
                  <c:v>2996</c:v>
                </c:pt>
                <c:pt idx="3">
                  <c:v>4192</c:v>
                </c:pt>
                <c:pt idx="4">
                  <c:v>3360</c:v>
                </c:pt>
                <c:pt idx="5">
                  <c:v>3305</c:v>
                </c:pt>
                <c:pt idx="6">
                  <c:v>1823</c:v>
                </c:pt>
                <c:pt idx="7">
                  <c:v>1574</c:v>
                </c:pt>
                <c:pt idx="8">
                  <c:v>1509</c:v>
                </c:pt>
                <c:pt idx="9">
                  <c:v>505</c:v>
                </c:pt>
                <c:pt idx="10">
                  <c:v>2035</c:v>
                </c:pt>
                <c:pt idx="11">
                  <c:v>1524</c:v>
                </c:pt>
              </c:numCache>
            </c:numRef>
          </c:val>
          <c:extLst>
            <c:ext xmlns:c16="http://schemas.microsoft.com/office/drawing/2014/chart" uri="{C3380CC4-5D6E-409C-BE32-E72D297353CC}">
              <c16:uniqueId val="{00000003-5316-45A2-A724-95AC7BBC776A}"/>
            </c:ext>
          </c:extLst>
        </c:ser>
        <c:dLbls>
          <c:showLegendKey val="0"/>
          <c:showVal val="0"/>
          <c:showCatName val="0"/>
          <c:showSerName val="0"/>
          <c:showPercent val="0"/>
          <c:showBubbleSize val="0"/>
        </c:dLbls>
        <c:gapWidth val="150"/>
        <c:overlap val="100"/>
        <c:axId val="189733080"/>
        <c:axId val="189733472"/>
      </c:barChart>
      <c:catAx>
        <c:axId val="189733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9733472"/>
        <c:crosses val="autoZero"/>
        <c:auto val="1"/>
        <c:lblAlgn val="ctr"/>
        <c:lblOffset val="100"/>
        <c:noMultiLvlLbl val="0"/>
      </c:catAx>
      <c:valAx>
        <c:axId val="18973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9733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Weighted average service contract lenght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0"/>
          <c:order val="0"/>
          <c:spPr>
            <a:ln w="28575" cap="rnd">
              <a:solidFill>
                <a:schemeClr val="accent1"/>
              </a:solidFill>
              <a:round/>
            </a:ln>
            <a:effectLst/>
          </c:spPr>
          <c:marker>
            <c:symbol val="none"/>
          </c:marker>
          <c:cat>
            <c:numRef>
              <c:f>'Vestas Economy'!$W$1:$AB$1</c:f>
              <c:numCache>
                <c:formatCode>General</c:formatCode>
                <c:ptCount val="6"/>
                <c:pt idx="0">
                  <c:v>2016</c:v>
                </c:pt>
                <c:pt idx="1">
                  <c:v>2017</c:v>
                </c:pt>
                <c:pt idx="2">
                  <c:v>2018</c:v>
                </c:pt>
                <c:pt idx="3">
                  <c:v>2019</c:v>
                </c:pt>
                <c:pt idx="4">
                  <c:v>2020</c:v>
                </c:pt>
                <c:pt idx="5">
                  <c:v>2021</c:v>
                </c:pt>
              </c:numCache>
            </c:numRef>
          </c:cat>
          <c:val>
            <c:numRef>
              <c:f>'Vestas Economy'!$W$42:$AB$42</c:f>
              <c:numCache>
                <c:formatCode>0.00</c:formatCode>
                <c:ptCount val="6"/>
                <c:pt idx="0">
                  <c:v>5.636651285431773</c:v>
                </c:pt>
                <c:pt idx="1">
                  <c:v>2.3568754761983635</c:v>
                </c:pt>
                <c:pt idx="2">
                  <c:v>10.306983167245175</c:v>
                </c:pt>
                <c:pt idx="3">
                  <c:v>12.122226672006407</c:v>
                </c:pt>
                <c:pt idx="4">
                  <c:v>14.699831905867285</c:v>
                </c:pt>
                <c:pt idx="5">
                  <c:v>5.3373272884283249</c:v>
                </c:pt>
              </c:numCache>
            </c:numRef>
          </c:val>
          <c:smooth val="0"/>
          <c:extLst>
            <c:ext xmlns:c16="http://schemas.microsoft.com/office/drawing/2014/chart" uri="{C3380CC4-5D6E-409C-BE32-E72D297353CC}">
              <c16:uniqueId val="{00000000-C1FD-4E96-A8B0-787545467418}"/>
            </c:ext>
          </c:extLst>
        </c:ser>
        <c:dLbls>
          <c:showLegendKey val="0"/>
          <c:showVal val="0"/>
          <c:showCatName val="0"/>
          <c:showSerName val="0"/>
          <c:showPercent val="0"/>
          <c:showBubbleSize val="0"/>
        </c:dLbls>
        <c:smooth val="0"/>
        <c:axId val="578990976"/>
        <c:axId val="578988352"/>
      </c:lineChart>
      <c:catAx>
        <c:axId val="57899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578988352"/>
        <c:crosses val="autoZero"/>
        <c:auto val="1"/>
        <c:lblAlgn val="ctr"/>
        <c:lblOffset val="100"/>
        <c:noMultiLvlLbl val="0"/>
      </c:catAx>
      <c:valAx>
        <c:axId val="578988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57899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Vestas sales €/MW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0"/>
          <c:order val="0"/>
          <c:spPr>
            <a:ln w="28575" cap="rnd">
              <a:solidFill>
                <a:schemeClr val="accent1"/>
              </a:solidFill>
              <a:round/>
            </a:ln>
            <a:effectLst/>
          </c:spPr>
          <c:marker>
            <c:symbol val="none"/>
          </c:marker>
          <c:cat>
            <c:numRef>
              <c:f>'Vestas Economy'!$N$1:$AE$1</c:f>
              <c:numCache>
                <c:formatCode>General</c:formatCod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'Vestas Economy'!$N$39:$AE$39</c:f>
              <c:numCache>
                <c:formatCode>0.0000</c:formatCode>
                <c:ptCount val="18"/>
                <c:pt idx="0">
                  <c:v>0.97986816319258863</c:v>
                </c:pt>
                <c:pt idx="1">
                  <c:v>1.0632995514205017</c:v>
                </c:pt>
                <c:pt idx="2">
                  <c:v>1.0416666666666667</c:v>
                </c:pt>
                <c:pt idx="3">
                  <c:v>0.99158307390752909</c:v>
                </c:pt>
                <c:pt idx="4">
                  <c:v>0.98688657563877247</c:v>
                </c:pt>
                <c:pt idx="5">
                  <c:v>1.0165864098448367</c:v>
                </c:pt>
                <c:pt idx="6">
                  <c:v>0.97250167672702881</c:v>
                </c:pt>
                <c:pt idx="7">
                  <c:v>0.88630806845965771</c:v>
                </c:pt>
                <c:pt idx="8">
                  <c:v>0.91691826009169186</c:v>
                </c:pt>
                <c:pt idx="9">
                  <c:v>0.90527920716599963</c:v>
                </c:pt>
                <c:pt idx="10">
                  <c:v>0.79202634155023588</c:v>
                </c:pt>
                <c:pt idx="11">
                  <c:v>0.74574363303784996</c:v>
                </c:pt>
                <c:pt idx="12">
                  <c:v>0.77194160093975495</c:v>
                </c:pt>
                <c:pt idx="13">
                  <c:v>0.73627456664154445</c:v>
                </c:pt>
                <c:pt idx="14">
                  <c:v>0.83477259643062751</c:v>
                </c:pt>
                <c:pt idx="15">
                  <c:v>1.0635445526856735</c:v>
                </c:pt>
                <c:pt idx="16">
                  <c:v>1.0117029421415291</c:v>
                </c:pt>
                <c:pt idx="17">
                  <c:v>1.139871764426502</c:v>
                </c:pt>
              </c:numCache>
            </c:numRef>
          </c:val>
          <c:smooth val="0"/>
          <c:extLst>
            <c:ext xmlns:c16="http://schemas.microsoft.com/office/drawing/2014/chart" uri="{C3380CC4-5D6E-409C-BE32-E72D297353CC}">
              <c16:uniqueId val="{00000000-4B36-42F2-8247-C3D7A8416FB5}"/>
            </c:ext>
          </c:extLst>
        </c:ser>
        <c:dLbls>
          <c:showLegendKey val="0"/>
          <c:showVal val="0"/>
          <c:showCatName val="0"/>
          <c:showSerName val="0"/>
          <c:showPercent val="0"/>
          <c:showBubbleSize val="0"/>
        </c:dLbls>
        <c:smooth val="0"/>
        <c:axId val="578990976"/>
        <c:axId val="578988352"/>
      </c:lineChart>
      <c:catAx>
        <c:axId val="57899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578988352"/>
        <c:crosses val="autoZero"/>
        <c:auto val="1"/>
        <c:lblAlgn val="ctr"/>
        <c:lblOffset val="100"/>
        <c:noMultiLvlLbl val="0"/>
      </c:catAx>
      <c:valAx>
        <c:axId val="578988352"/>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57899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steel price  $/t</a:t>
            </a:r>
          </a:p>
        </c:rich>
      </c:tx>
      <c:layout>
        <c:manualLayout>
          <c:xMode val="edge"/>
          <c:yMode val="edge"/>
          <c:x val="0.4652620922384702"/>
          <c:y val="0.1581088363954505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0"/>
          <c:order val="0"/>
          <c:tx>
            <c:strRef>
              <c:f>[1]steel_price!$B$1</c:f>
              <c:strCache>
                <c:ptCount val="1"/>
                <c:pt idx="0">
                  <c:v>steel price  CNY/t</c:v>
                </c:pt>
              </c:strCache>
            </c:strRef>
          </c:tx>
          <c:spPr>
            <a:ln w="28575" cap="rnd">
              <a:solidFill>
                <a:schemeClr val="accent1"/>
              </a:solidFill>
              <a:round/>
            </a:ln>
            <a:effectLst/>
          </c:spPr>
          <c:marker>
            <c:symbol val="none"/>
          </c:marker>
          <c:cat>
            <c:strRef>
              <c:f>[1]steel_price!$C$2:$C$516</c:f>
              <c:strCache>
                <c:ptCount val="515"/>
                <c:pt idx="0">
                  <c:v>2013-02-18</c:v>
                </c:pt>
                <c:pt idx="1">
                  <c:v>2013-02-25</c:v>
                </c:pt>
                <c:pt idx="2">
                  <c:v>2013-03-04</c:v>
                </c:pt>
                <c:pt idx="3">
                  <c:v>2013-03-11</c:v>
                </c:pt>
                <c:pt idx="4">
                  <c:v>2013-03-18</c:v>
                </c:pt>
                <c:pt idx="5">
                  <c:v>2013-03-25</c:v>
                </c:pt>
                <c:pt idx="6">
                  <c:v>2013-04-01</c:v>
                </c:pt>
                <c:pt idx="7">
                  <c:v>2013-04-08</c:v>
                </c:pt>
                <c:pt idx="8">
                  <c:v>2013-04-15</c:v>
                </c:pt>
                <c:pt idx="9">
                  <c:v>2013-04-22</c:v>
                </c:pt>
                <c:pt idx="10">
                  <c:v>2013-05-02</c:v>
                </c:pt>
                <c:pt idx="11">
                  <c:v>2013-05-06</c:v>
                </c:pt>
                <c:pt idx="12">
                  <c:v>2013-05-13</c:v>
                </c:pt>
                <c:pt idx="13">
                  <c:v>2013-05-20</c:v>
                </c:pt>
                <c:pt idx="14">
                  <c:v>2013-05-27</c:v>
                </c:pt>
                <c:pt idx="15">
                  <c:v>2013-06-03</c:v>
                </c:pt>
                <c:pt idx="16">
                  <c:v>2013-06-13</c:v>
                </c:pt>
                <c:pt idx="17">
                  <c:v>2013-06-17</c:v>
                </c:pt>
                <c:pt idx="18">
                  <c:v>2013-06-24</c:v>
                </c:pt>
                <c:pt idx="19">
                  <c:v>2013-07-01</c:v>
                </c:pt>
                <c:pt idx="20">
                  <c:v>2013-07-08</c:v>
                </c:pt>
                <c:pt idx="21">
                  <c:v>2013-07-15</c:v>
                </c:pt>
                <c:pt idx="22">
                  <c:v>2013-07-22</c:v>
                </c:pt>
                <c:pt idx="23">
                  <c:v>2013-07-29</c:v>
                </c:pt>
                <c:pt idx="24">
                  <c:v>2013-08-05</c:v>
                </c:pt>
                <c:pt idx="25">
                  <c:v>2013-08-12</c:v>
                </c:pt>
                <c:pt idx="26">
                  <c:v>2013-08-19</c:v>
                </c:pt>
                <c:pt idx="27">
                  <c:v>2013-08-26</c:v>
                </c:pt>
                <c:pt idx="28">
                  <c:v>2013-09-02</c:v>
                </c:pt>
                <c:pt idx="29">
                  <c:v>2013-09-09</c:v>
                </c:pt>
                <c:pt idx="30">
                  <c:v>2013-09-16</c:v>
                </c:pt>
                <c:pt idx="31">
                  <c:v>2013-09-23</c:v>
                </c:pt>
                <c:pt idx="32">
                  <c:v>2013-09-30</c:v>
                </c:pt>
                <c:pt idx="33">
                  <c:v>2013-10-08</c:v>
                </c:pt>
                <c:pt idx="34">
                  <c:v>2013-10-14</c:v>
                </c:pt>
                <c:pt idx="35">
                  <c:v>2013-10-21</c:v>
                </c:pt>
                <c:pt idx="36">
                  <c:v>2013-10-28</c:v>
                </c:pt>
                <c:pt idx="37">
                  <c:v>2013-11-04</c:v>
                </c:pt>
                <c:pt idx="38">
                  <c:v>2013-11-11</c:v>
                </c:pt>
                <c:pt idx="39">
                  <c:v>2013-11-18</c:v>
                </c:pt>
                <c:pt idx="40">
                  <c:v>2013-11-25</c:v>
                </c:pt>
                <c:pt idx="41">
                  <c:v>2013-12-02</c:v>
                </c:pt>
                <c:pt idx="42">
                  <c:v>2013-12-09</c:v>
                </c:pt>
                <c:pt idx="43">
                  <c:v>2013-12-16</c:v>
                </c:pt>
                <c:pt idx="44">
                  <c:v>2013-12-23</c:v>
                </c:pt>
                <c:pt idx="45">
                  <c:v>2013-12-30</c:v>
                </c:pt>
                <c:pt idx="46">
                  <c:v>2014-01-06</c:v>
                </c:pt>
                <c:pt idx="47">
                  <c:v>2014-01-13</c:v>
                </c:pt>
                <c:pt idx="48">
                  <c:v>2014-01-20</c:v>
                </c:pt>
                <c:pt idx="49">
                  <c:v>2014-01-27</c:v>
                </c:pt>
                <c:pt idx="50">
                  <c:v>2014-02-07</c:v>
                </c:pt>
                <c:pt idx="51">
                  <c:v>2014-02-10</c:v>
                </c:pt>
                <c:pt idx="52">
                  <c:v>2014-02-17</c:v>
                </c:pt>
                <c:pt idx="53">
                  <c:v>2014-02-24</c:v>
                </c:pt>
                <c:pt idx="54">
                  <c:v>2014-03-03</c:v>
                </c:pt>
                <c:pt idx="55">
                  <c:v>2014-03-10</c:v>
                </c:pt>
                <c:pt idx="56">
                  <c:v>2014-03-17</c:v>
                </c:pt>
                <c:pt idx="57">
                  <c:v>2014-03-24</c:v>
                </c:pt>
                <c:pt idx="58">
                  <c:v>2014-03-31</c:v>
                </c:pt>
                <c:pt idx="59">
                  <c:v>2014-04-08</c:v>
                </c:pt>
                <c:pt idx="60">
                  <c:v>2014-04-14</c:v>
                </c:pt>
                <c:pt idx="61">
                  <c:v>2014-04-21</c:v>
                </c:pt>
                <c:pt idx="62">
                  <c:v>2014-04-28</c:v>
                </c:pt>
                <c:pt idx="63">
                  <c:v>2014-05-05</c:v>
                </c:pt>
                <c:pt idx="64">
                  <c:v>2014-05-12</c:v>
                </c:pt>
                <c:pt idx="65">
                  <c:v>2014-05-19</c:v>
                </c:pt>
                <c:pt idx="66">
                  <c:v>2014-05-26</c:v>
                </c:pt>
                <c:pt idx="67">
                  <c:v>2014-06-03</c:v>
                </c:pt>
                <c:pt idx="68">
                  <c:v>2014-06-09</c:v>
                </c:pt>
                <c:pt idx="69">
                  <c:v>2014-06-16</c:v>
                </c:pt>
                <c:pt idx="70">
                  <c:v>2014-06-23</c:v>
                </c:pt>
                <c:pt idx="71">
                  <c:v>2014-06-30</c:v>
                </c:pt>
                <c:pt idx="72">
                  <c:v>2014-07-07</c:v>
                </c:pt>
                <c:pt idx="73">
                  <c:v>2014-07-14</c:v>
                </c:pt>
                <c:pt idx="74">
                  <c:v>2014-07-21</c:v>
                </c:pt>
                <c:pt idx="75">
                  <c:v>2014-07-28</c:v>
                </c:pt>
                <c:pt idx="76">
                  <c:v>2014-08-04</c:v>
                </c:pt>
                <c:pt idx="77">
                  <c:v>2014-08-11</c:v>
                </c:pt>
                <c:pt idx="78">
                  <c:v>2014-08-18</c:v>
                </c:pt>
                <c:pt idx="79">
                  <c:v>2014-08-25</c:v>
                </c:pt>
                <c:pt idx="80">
                  <c:v>2014-09-01</c:v>
                </c:pt>
                <c:pt idx="81">
                  <c:v>2014-09-09</c:v>
                </c:pt>
                <c:pt idx="82">
                  <c:v>2014-09-15</c:v>
                </c:pt>
                <c:pt idx="83">
                  <c:v>2014-09-22</c:v>
                </c:pt>
                <c:pt idx="84">
                  <c:v>2014-09-29</c:v>
                </c:pt>
                <c:pt idx="85">
                  <c:v>2014-10-08</c:v>
                </c:pt>
                <c:pt idx="86">
                  <c:v>2014-10-13</c:v>
                </c:pt>
                <c:pt idx="87">
                  <c:v>2014-10-20</c:v>
                </c:pt>
                <c:pt idx="88">
                  <c:v>2014-10-27</c:v>
                </c:pt>
                <c:pt idx="89">
                  <c:v>2014-11-03</c:v>
                </c:pt>
                <c:pt idx="90">
                  <c:v>2014-11-10</c:v>
                </c:pt>
                <c:pt idx="91">
                  <c:v>2014-11-17</c:v>
                </c:pt>
                <c:pt idx="92">
                  <c:v>2014-11-24</c:v>
                </c:pt>
                <c:pt idx="93">
                  <c:v>2014-12-01</c:v>
                </c:pt>
                <c:pt idx="94">
                  <c:v>2014-12-08</c:v>
                </c:pt>
                <c:pt idx="95">
                  <c:v>2014-12-15</c:v>
                </c:pt>
                <c:pt idx="96">
                  <c:v>2014-12-22</c:v>
                </c:pt>
                <c:pt idx="97">
                  <c:v>2014-12-29</c:v>
                </c:pt>
                <c:pt idx="98">
                  <c:v>2015-01-05</c:v>
                </c:pt>
                <c:pt idx="99">
                  <c:v>2015-01-12</c:v>
                </c:pt>
                <c:pt idx="100">
                  <c:v>2015-01-19</c:v>
                </c:pt>
                <c:pt idx="101">
                  <c:v>2015-01-26</c:v>
                </c:pt>
                <c:pt idx="102">
                  <c:v>2015-02-02</c:v>
                </c:pt>
                <c:pt idx="103">
                  <c:v>2015-02-09</c:v>
                </c:pt>
                <c:pt idx="104">
                  <c:v>2015-02-16</c:v>
                </c:pt>
                <c:pt idx="105">
                  <c:v>2015-02-25</c:v>
                </c:pt>
                <c:pt idx="106">
                  <c:v>2015-03-02</c:v>
                </c:pt>
                <c:pt idx="107">
                  <c:v>2015-03-09</c:v>
                </c:pt>
                <c:pt idx="108">
                  <c:v>2015-03-16</c:v>
                </c:pt>
                <c:pt idx="109">
                  <c:v>2015-03-23</c:v>
                </c:pt>
                <c:pt idx="110">
                  <c:v>2015-03-30</c:v>
                </c:pt>
                <c:pt idx="111">
                  <c:v>2015-04-07</c:v>
                </c:pt>
                <c:pt idx="112">
                  <c:v>2015-04-13</c:v>
                </c:pt>
                <c:pt idx="113">
                  <c:v>2015-04-20</c:v>
                </c:pt>
                <c:pt idx="114">
                  <c:v>2015-04-27</c:v>
                </c:pt>
                <c:pt idx="115">
                  <c:v>2015-05-04</c:v>
                </c:pt>
                <c:pt idx="116">
                  <c:v>2015-05-11</c:v>
                </c:pt>
                <c:pt idx="117">
                  <c:v>2015-05-18</c:v>
                </c:pt>
                <c:pt idx="118">
                  <c:v>2015-05-25</c:v>
                </c:pt>
                <c:pt idx="119">
                  <c:v>2015-06-01</c:v>
                </c:pt>
                <c:pt idx="120">
                  <c:v>2015-06-08</c:v>
                </c:pt>
                <c:pt idx="121">
                  <c:v>2015-06-15</c:v>
                </c:pt>
                <c:pt idx="122">
                  <c:v>2015-06-23</c:v>
                </c:pt>
                <c:pt idx="123">
                  <c:v>2015-06-29</c:v>
                </c:pt>
                <c:pt idx="124">
                  <c:v>2015-07-06</c:v>
                </c:pt>
                <c:pt idx="125">
                  <c:v>2015-07-13</c:v>
                </c:pt>
                <c:pt idx="126">
                  <c:v>2015-07-20</c:v>
                </c:pt>
                <c:pt idx="127">
                  <c:v>2015-07-27</c:v>
                </c:pt>
                <c:pt idx="128">
                  <c:v>2015-08-03</c:v>
                </c:pt>
                <c:pt idx="129">
                  <c:v>2015-08-10</c:v>
                </c:pt>
                <c:pt idx="130">
                  <c:v>2015-08-17</c:v>
                </c:pt>
                <c:pt idx="131">
                  <c:v>2015-08-24</c:v>
                </c:pt>
                <c:pt idx="132">
                  <c:v>2015-08-31</c:v>
                </c:pt>
                <c:pt idx="133">
                  <c:v>2015-09-07</c:v>
                </c:pt>
                <c:pt idx="134">
                  <c:v>2015-09-14</c:v>
                </c:pt>
                <c:pt idx="135">
                  <c:v>2015-09-21</c:v>
                </c:pt>
                <c:pt idx="136">
                  <c:v>2015-09-28</c:v>
                </c:pt>
                <c:pt idx="137">
                  <c:v>2015-10-08</c:v>
                </c:pt>
                <c:pt idx="138">
                  <c:v>2015-10-12</c:v>
                </c:pt>
                <c:pt idx="139">
                  <c:v>2015-10-19</c:v>
                </c:pt>
                <c:pt idx="140">
                  <c:v>2015-10-26</c:v>
                </c:pt>
                <c:pt idx="141">
                  <c:v>2015-11-02</c:v>
                </c:pt>
                <c:pt idx="142">
                  <c:v>2015-11-09</c:v>
                </c:pt>
                <c:pt idx="143">
                  <c:v>2015-11-16</c:v>
                </c:pt>
                <c:pt idx="144">
                  <c:v>2015-11-23</c:v>
                </c:pt>
                <c:pt idx="145">
                  <c:v>2015-11-30</c:v>
                </c:pt>
                <c:pt idx="146">
                  <c:v>2015-12-07</c:v>
                </c:pt>
                <c:pt idx="147">
                  <c:v>2015-12-14</c:v>
                </c:pt>
                <c:pt idx="148">
                  <c:v>2015-12-21</c:v>
                </c:pt>
                <c:pt idx="149">
                  <c:v>2015-12-28</c:v>
                </c:pt>
                <c:pt idx="150">
                  <c:v>2016-01-04</c:v>
                </c:pt>
                <c:pt idx="151">
                  <c:v>2016-01-11</c:v>
                </c:pt>
                <c:pt idx="152">
                  <c:v>2016-01-18</c:v>
                </c:pt>
                <c:pt idx="153">
                  <c:v>2016-01-25</c:v>
                </c:pt>
                <c:pt idx="154">
                  <c:v>2016-02-01</c:v>
                </c:pt>
                <c:pt idx="155">
                  <c:v>2016-02-15</c:v>
                </c:pt>
                <c:pt idx="156">
                  <c:v>2016-02-22</c:v>
                </c:pt>
                <c:pt idx="157">
                  <c:v>2016-02-29</c:v>
                </c:pt>
                <c:pt idx="158">
                  <c:v>2016-03-07</c:v>
                </c:pt>
                <c:pt idx="159">
                  <c:v>2016-03-14</c:v>
                </c:pt>
                <c:pt idx="160">
                  <c:v>2016-03-21</c:v>
                </c:pt>
                <c:pt idx="161">
                  <c:v>2016-03-28</c:v>
                </c:pt>
                <c:pt idx="162">
                  <c:v>2016-04-05</c:v>
                </c:pt>
                <c:pt idx="163">
                  <c:v>2016-04-11</c:v>
                </c:pt>
                <c:pt idx="164">
                  <c:v>2016-04-18</c:v>
                </c:pt>
                <c:pt idx="165">
                  <c:v>2016-04-25</c:v>
                </c:pt>
                <c:pt idx="166">
                  <c:v>2016-05-03</c:v>
                </c:pt>
                <c:pt idx="167">
                  <c:v>2016-05-09</c:v>
                </c:pt>
                <c:pt idx="168">
                  <c:v>2016-05-16</c:v>
                </c:pt>
                <c:pt idx="169">
                  <c:v>2016-05-23</c:v>
                </c:pt>
                <c:pt idx="170">
                  <c:v>2016-05-30</c:v>
                </c:pt>
                <c:pt idx="171">
                  <c:v>2016-06-06</c:v>
                </c:pt>
                <c:pt idx="172">
                  <c:v>2016-06-13</c:v>
                </c:pt>
                <c:pt idx="173">
                  <c:v>2016-06-20</c:v>
                </c:pt>
                <c:pt idx="174">
                  <c:v>2016-06-27</c:v>
                </c:pt>
                <c:pt idx="175">
                  <c:v>2016-07-04</c:v>
                </c:pt>
                <c:pt idx="176">
                  <c:v>2016-07-11</c:v>
                </c:pt>
                <c:pt idx="177">
                  <c:v>2016-07-18</c:v>
                </c:pt>
                <c:pt idx="178">
                  <c:v>2016-07-25</c:v>
                </c:pt>
                <c:pt idx="179">
                  <c:v>2016-08-01</c:v>
                </c:pt>
                <c:pt idx="180">
                  <c:v>2016-08-08</c:v>
                </c:pt>
                <c:pt idx="181">
                  <c:v>2016-08-15</c:v>
                </c:pt>
                <c:pt idx="182">
                  <c:v>2016-08-22</c:v>
                </c:pt>
                <c:pt idx="183">
                  <c:v>2016-08-29</c:v>
                </c:pt>
                <c:pt idx="184">
                  <c:v>2016-09-05</c:v>
                </c:pt>
                <c:pt idx="185">
                  <c:v>2016-09-12</c:v>
                </c:pt>
                <c:pt idx="186">
                  <c:v>2016-09-19</c:v>
                </c:pt>
                <c:pt idx="187">
                  <c:v>2016-09-26</c:v>
                </c:pt>
                <c:pt idx="188">
                  <c:v>2016-10-10</c:v>
                </c:pt>
                <c:pt idx="189">
                  <c:v>2016-10-17</c:v>
                </c:pt>
                <c:pt idx="190">
                  <c:v>2016-10-24</c:v>
                </c:pt>
                <c:pt idx="191">
                  <c:v>2016-10-31</c:v>
                </c:pt>
                <c:pt idx="192">
                  <c:v>2016-11-07</c:v>
                </c:pt>
                <c:pt idx="193">
                  <c:v>2016-11-14</c:v>
                </c:pt>
                <c:pt idx="194">
                  <c:v>2016-11-21</c:v>
                </c:pt>
                <c:pt idx="195">
                  <c:v>2016-11-28</c:v>
                </c:pt>
                <c:pt idx="196">
                  <c:v>2016-12-05</c:v>
                </c:pt>
                <c:pt idx="197">
                  <c:v>2016-12-12</c:v>
                </c:pt>
                <c:pt idx="198">
                  <c:v>2016-12-19</c:v>
                </c:pt>
                <c:pt idx="199">
                  <c:v>2016-12-26</c:v>
                </c:pt>
                <c:pt idx="200">
                  <c:v>2017-01-03</c:v>
                </c:pt>
                <c:pt idx="201">
                  <c:v>2017-01-09</c:v>
                </c:pt>
                <c:pt idx="202">
                  <c:v>2017-01-16</c:v>
                </c:pt>
                <c:pt idx="203">
                  <c:v>2017-01-23</c:v>
                </c:pt>
                <c:pt idx="204">
                  <c:v>2017-02-03</c:v>
                </c:pt>
                <c:pt idx="205">
                  <c:v>2017-02-06</c:v>
                </c:pt>
                <c:pt idx="206">
                  <c:v>2017-02-13</c:v>
                </c:pt>
                <c:pt idx="207">
                  <c:v>2017-02-20</c:v>
                </c:pt>
                <c:pt idx="208">
                  <c:v>2017-02-27</c:v>
                </c:pt>
                <c:pt idx="209">
                  <c:v>2017-03-06</c:v>
                </c:pt>
                <c:pt idx="210">
                  <c:v>2017-03-13</c:v>
                </c:pt>
                <c:pt idx="211">
                  <c:v>2017-03-20</c:v>
                </c:pt>
                <c:pt idx="212">
                  <c:v>2017-03-27</c:v>
                </c:pt>
                <c:pt idx="213">
                  <c:v>2017-04-05</c:v>
                </c:pt>
                <c:pt idx="214">
                  <c:v>2017-04-10</c:v>
                </c:pt>
                <c:pt idx="215">
                  <c:v>2017-04-17</c:v>
                </c:pt>
                <c:pt idx="216">
                  <c:v>2017-04-24</c:v>
                </c:pt>
                <c:pt idx="217">
                  <c:v>2017-05-02</c:v>
                </c:pt>
                <c:pt idx="218">
                  <c:v>2017-05-08</c:v>
                </c:pt>
                <c:pt idx="219">
                  <c:v>2017-05-15</c:v>
                </c:pt>
                <c:pt idx="220">
                  <c:v>2017-05-22</c:v>
                </c:pt>
                <c:pt idx="221">
                  <c:v>2017-05-31</c:v>
                </c:pt>
                <c:pt idx="222">
                  <c:v>2017-06-05</c:v>
                </c:pt>
                <c:pt idx="223">
                  <c:v>2017-06-12</c:v>
                </c:pt>
                <c:pt idx="224">
                  <c:v>2017-06-19</c:v>
                </c:pt>
                <c:pt idx="225">
                  <c:v>2017-06-26</c:v>
                </c:pt>
                <c:pt idx="226">
                  <c:v>2017-07-03</c:v>
                </c:pt>
                <c:pt idx="227">
                  <c:v>2017-07-10</c:v>
                </c:pt>
                <c:pt idx="228">
                  <c:v>2017-07-17</c:v>
                </c:pt>
                <c:pt idx="229">
                  <c:v>2017-07-24</c:v>
                </c:pt>
                <c:pt idx="230">
                  <c:v>2017-07-31</c:v>
                </c:pt>
                <c:pt idx="231">
                  <c:v>2017-08-07</c:v>
                </c:pt>
                <c:pt idx="232">
                  <c:v>2017-08-14</c:v>
                </c:pt>
                <c:pt idx="233">
                  <c:v>2017-08-21</c:v>
                </c:pt>
                <c:pt idx="234">
                  <c:v>2017-08-28</c:v>
                </c:pt>
                <c:pt idx="235">
                  <c:v>2017-09-04</c:v>
                </c:pt>
                <c:pt idx="236">
                  <c:v>2017-09-11</c:v>
                </c:pt>
                <c:pt idx="237">
                  <c:v>2017-09-18</c:v>
                </c:pt>
                <c:pt idx="238">
                  <c:v>2017-09-25</c:v>
                </c:pt>
                <c:pt idx="239">
                  <c:v>2017-10-09</c:v>
                </c:pt>
                <c:pt idx="240">
                  <c:v>2017-10-16</c:v>
                </c:pt>
                <c:pt idx="241">
                  <c:v>2017-10-23</c:v>
                </c:pt>
                <c:pt idx="242">
                  <c:v>2017-10-30</c:v>
                </c:pt>
                <c:pt idx="243">
                  <c:v>2017-11-06</c:v>
                </c:pt>
                <c:pt idx="244">
                  <c:v>2017-11-13</c:v>
                </c:pt>
                <c:pt idx="245">
                  <c:v>2017-11-20</c:v>
                </c:pt>
                <c:pt idx="246">
                  <c:v>2017-11-27</c:v>
                </c:pt>
                <c:pt idx="247">
                  <c:v>2017-12-04</c:v>
                </c:pt>
                <c:pt idx="248">
                  <c:v>2017-12-11</c:v>
                </c:pt>
                <c:pt idx="249">
                  <c:v>2017-12-18</c:v>
                </c:pt>
                <c:pt idx="250">
                  <c:v>2017-12-25</c:v>
                </c:pt>
                <c:pt idx="251">
                  <c:v>2018-01-02</c:v>
                </c:pt>
                <c:pt idx="252">
                  <c:v>2018-01-08</c:v>
                </c:pt>
                <c:pt idx="253">
                  <c:v>2018-01-15</c:v>
                </c:pt>
                <c:pt idx="254">
                  <c:v>2018-01-22</c:v>
                </c:pt>
                <c:pt idx="255">
                  <c:v>2018-01-29</c:v>
                </c:pt>
                <c:pt idx="256">
                  <c:v>2018-02-05</c:v>
                </c:pt>
                <c:pt idx="257">
                  <c:v>2018-02-12</c:v>
                </c:pt>
                <c:pt idx="258">
                  <c:v>2018-02-22</c:v>
                </c:pt>
                <c:pt idx="259">
                  <c:v>2018-02-26</c:v>
                </c:pt>
                <c:pt idx="260">
                  <c:v>2018-03-05</c:v>
                </c:pt>
                <c:pt idx="261">
                  <c:v>2018-03-12</c:v>
                </c:pt>
                <c:pt idx="262">
                  <c:v>2018-03-19</c:v>
                </c:pt>
                <c:pt idx="263">
                  <c:v>2018-03-26</c:v>
                </c:pt>
                <c:pt idx="264">
                  <c:v>2018-04-02</c:v>
                </c:pt>
                <c:pt idx="265">
                  <c:v>2018-04-09</c:v>
                </c:pt>
                <c:pt idx="266">
                  <c:v>2018-04-16</c:v>
                </c:pt>
                <c:pt idx="267">
                  <c:v>2018-04-23</c:v>
                </c:pt>
                <c:pt idx="268">
                  <c:v>2018-05-01</c:v>
                </c:pt>
                <c:pt idx="269">
                  <c:v>2018-05-07</c:v>
                </c:pt>
                <c:pt idx="270">
                  <c:v>2018-05-14</c:v>
                </c:pt>
                <c:pt idx="271">
                  <c:v>2018-05-21</c:v>
                </c:pt>
                <c:pt idx="272">
                  <c:v>2018-05-28</c:v>
                </c:pt>
                <c:pt idx="273">
                  <c:v>2018-06-04</c:v>
                </c:pt>
                <c:pt idx="274">
                  <c:v>2018-06-11</c:v>
                </c:pt>
                <c:pt idx="275">
                  <c:v>2018-06-18</c:v>
                </c:pt>
                <c:pt idx="276">
                  <c:v>2018-06-25</c:v>
                </c:pt>
                <c:pt idx="277">
                  <c:v>2018-07-02</c:v>
                </c:pt>
                <c:pt idx="278">
                  <c:v>2018-07-09</c:v>
                </c:pt>
                <c:pt idx="279">
                  <c:v>2018-07-16</c:v>
                </c:pt>
                <c:pt idx="280">
                  <c:v>2018-07-23</c:v>
                </c:pt>
                <c:pt idx="281">
                  <c:v>2018-07-30</c:v>
                </c:pt>
                <c:pt idx="282">
                  <c:v>2018-08-06</c:v>
                </c:pt>
                <c:pt idx="283">
                  <c:v>2018-08-13</c:v>
                </c:pt>
                <c:pt idx="284">
                  <c:v>2018-08-20</c:v>
                </c:pt>
                <c:pt idx="285">
                  <c:v>2018-08-27</c:v>
                </c:pt>
                <c:pt idx="286">
                  <c:v>2018-09-03</c:v>
                </c:pt>
                <c:pt idx="287">
                  <c:v>2018-09-10</c:v>
                </c:pt>
                <c:pt idx="288">
                  <c:v>2018-09-17</c:v>
                </c:pt>
                <c:pt idx="289">
                  <c:v>2018-09-24</c:v>
                </c:pt>
                <c:pt idx="290">
                  <c:v>2018-10-01</c:v>
                </c:pt>
                <c:pt idx="291">
                  <c:v>2018-10-08</c:v>
                </c:pt>
                <c:pt idx="292">
                  <c:v>2018-10-15</c:v>
                </c:pt>
                <c:pt idx="293">
                  <c:v>2018-10-22</c:v>
                </c:pt>
                <c:pt idx="294">
                  <c:v>2018-10-29</c:v>
                </c:pt>
                <c:pt idx="295">
                  <c:v>2018-11-05</c:v>
                </c:pt>
                <c:pt idx="296">
                  <c:v>2018-11-12</c:v>
                </c:pt>
                <c:pt idx="297">
                  <c:v>2018-11-19</c:v>
                </c:pt>
                <c:pt idx="298">
                  <c:v>2018-11-26</c:v>
                </c:pt>
                <c:pt idx="299">
                  <c:v>2018-12-03</c:v>
                </c:pt>
                <c:pt idx="300">
                  <c:v>2018-12-10</c:v>
                </c:pt>
                <c:pt idx="301">
                  <c:v>2018-12-17</c:v>
                </c:pt>
                <c:pt idx="302">
                  <c:v>2018-12-24</c:v>
                </c:pt>
                <c:pt idx="303">
                  <c:v>2018-12-31</c:v>
                </c:pt>
                <c:pt idx="304">
                  <c:v>2019-01-07</c:v>
                </c:pt>
                <c:pt idx="305">
                  <c:v>2019-01-14</c:v>
                </c:pt>
                <c:pt idx="306">
                  <c:v>2019-01-21</c:v>
                </c:pt>
                <c:pt idx="307">
                  <c:v>2019-01-28</c:v>
                </c:pt>
                <c:pt idx="308">
                  <c:v>2019-02-04</c:v>
                </c:pt>
                <c:pt idx="309">
                  <c:v>2019-02-11</c:v>
                </c:pt>
                <c:pt idx="310">
                  <c:v>2019-02-18</c:v>
                </c:pt>
                <c:pt idx="311">
                  <c:v>2019-02-25</c:v>
                </c:pt>
                <c:pt idx="312">
                  <c:v>2019-03-04</c:v>
                </c:pt>
                <c:pt idx="313">
                  <c:v>2019-03-11</c:v>
                </c:pt>
                <c:pt idx="314">
                  <c:v>2019-03-18</c:v>
                </c:pt>
                <c:pt idx="315">
                  <c:v>2019-03-25</c:v>
                </c:pt>
                <c:pt idx="316">
                  <c:v>2019-04-01</c:v>
                </c:pt>
                <c:pt idx="317">
                  <c:v>2019-04-08</c:v>
                </c:pt>
                <c:pt idx="318">
                  <c:v>2019-04-15</c:v>
                </c:pt>
                <c:pt idx="319">
                  <c:v>2019-04-22</c:v>
                </c:pt>
                <c:pt idx="320">
                  <c:v>2019-04-29</c:v>
                </c:pt>
                <c:pt idx="321">
                  <c:v>2019-05-06</c:v>
                </c:pt>
                <c:pt idx="322">
                  <c:v>2019-05-13</c:v>
                </c:pt>
                <c:pt idx="323">
                  <c:v>2019-05-20</c:v>
                </c:pt>
                <c:pt idx="324">
                  <c:v>2019-05-27</c:v>
                </c:pt>
                <c:pt idx="325">
                  <c:v>2019-06-03</c:v>
                </c:pt>
                <c:pt idx="326">
                  <c:v>2019-06-10</c:v>
                </c:pt>
                <c:pt idx="327">
                  <c:v>2019-06-17</c:v>
                </c:pt>
                <c:pt idx="328">
                  <c:v>2019-06-24</c:v>
                </c:pt>
                <c:pt idx="329">
                  <c:v>2019-07-01</c:v>
                </c:pt>
                <c:pt idx="330">
                  <c:v>2019-07-08</c:v>
                </c:pt>
                <c:pt idx="331">
                  <c:v>2019-07-15</c:v>
                </c:pt>
                <c:pt idx="332">
                  <c:v>2019-07-22</c:v>
                </c:pt>
                <c:pt idx="333">
                  <c:v>2019-07-29</c:v>
                </c:pt>
                <c:pt idx="334">
                  <c:v>2019-08-05</c:v>
                </c:pt>
                <c:pt idx="335">
                  <c:v>2019-08-12</c:v>
                </c:pt>
                <c:pt idx="336">
                  <c:v>2019-08-19</c:v>
                </c:pt>
                <c:pt idx="337">
                  <c:v>2019-08-26</c:v>
                </c:pt>
                <c:pt idx="338">
                  <c:v>2019-09-02</c:v>
                </c:pt>
                <c:pt idx="339">
                  <c:v>2019-09-09</c:v>
                </c:pt>
                <c:pt idx="340">
                  <c:v>2019-09-16</c:v>
                </c:pt>
                <c:pt idx="341">
                  <c:v>2019-09-23</c:v>
                </c:pt>
                <c:pt idx="342">
                  <c:v>2019-09-30</c:v>
                </c:pt>
                <c:pt idx="343">
                  <c:v>2019-10-07</c:v>
                </c:pt>
                <c:pt idx="344">
                  <c:v>2019-10-14</c:v>
                </c:pt>
                <c:pt idx="345">
                  <c:v>2019-10-21</c:v>
                </c:pt>
                <c:pt idx="346">
                  <c:v>2019-10-28</c:v>
                </c:pt>
                <c:pt idx="347">
                  <c:v>2019-11-04</c:v>
                </c:pt>
                <c:pt idx="348">
                  <c:v>2019-11-11</c:v>
                </c:pt>
                <c:pt idx="349">
                  <c:v>2019-11-18</c:v>
                </c:pt>
                <c:pt idx="350">
                  <c:v>2019-11-25</c:v>
                </c:pt>
                <c:pt idx="351">
                  <c:v>2019-12-02</c:v>
                </c:pt>
                <c:pt idx="352">
                  <c:v>2019-12-09</c:v>
                </c:pt>
                <c:pt idx="353">
                  <c:v>2019-12-16</c:v>
                </c:pt>
                <c:pt idx="354">
                  <c:v>2019-12-23</c:v>
                </c:pt>
                <c:pt idx="355">
                  <c:v>2019-12-30</c:v>
                </c:pt>
                <c:pt idx="356">
                  <c:v>2020-01-06</c:v>
                </c:pt>
                <c:pt idx="357">
                  <c:v>2020-01-13</c:v>
                </c:pt>
                <c:pt idx="358">
                  <c:v>2020-01-20</c:v>
                </c:pt>
                <c:pt idx="359">
                  <c:v>2020-01-27</c:v>
                </c:pt>
                <c:pt idx="360">
                  <c:v>2020-02-03</c:v>
                </c:pt>
                <c:pt idx="361">
                  <c:v>2020-02-10</c:v>
                </c:pt>
                <c:pt idx="362">
                  <c:v>2020-02-17</c:v>
                </c:pt>
                <c:pt idx="363">
                  <c:v>2020-02-24</c:v>
                </c:pt>
                <c:pt idx="364">
                  <c:v>2020-03-02</c:v>
                </c:pt>
                <c:pt idx="365">
                  <c:v>2020-03-09</c:v>
                </c:pt>
                <c:pt idx="366">
                  <c:v>2020-03-16</c:v>
                </c:pt>
                <c:pt idx="367">
                  <c:v>2020-03-23</c:v>
                </c:pt>
                <c:pt idx="368">
                  <c:v>2020-03-30</c:v>
                </c:pt>
                <c:pt idx="369">
                  <c:v>2020-04-06</c:v>
                </c:pt>
                <c:pt idx="370">
                  <c:v>2020-04-13</c:v>
                </c:pt>
                <c:pt idx="371">
                  <c:v>2020-04-20</c:v>
                </c:pt>
                <c:pt idx="372">
                  <c:v>2020-04-27</c:v>
                </c:pt>
                <c:pt idx="373">
                  <c:v>2020-05-04</c:v>
                </c:pt>
                <c:pt idx="374">
                  <c:v>2020-05-11</c:v>
                </c:pt>
                <c:pt idx="375">
                  <c:v>2020-05-18</c:v>
                </c:pt>
                <c:pt idx="376">
                  <c:v>2020-05-25</c:v>
                </c:pt>
                <c:pt idx="377">
                  <c:v>2020-06-01</c:v>
                </c:pt>
                <c:pt idx="378">
                  <c:v>2020-06-08</c:v>
                </c:pt>
                <c:pt idx="379">
                  <c:v>2020-06-15</c:v>
                </c:pt>
                <c:pt idx="380">
                  <c:v>2020-06-22</c:v>
                </c:pt>
                <c:pt idx="381">
                  <c:v>2020-06-29</c:v>
                </c:pt>
                <c:pt idx="382">
                  <c:v>2020-07-06</c:v>
                </c:pt>
                <c:pt idx="383">
                  <c:v>2020-07-13</c:v>
                </c:pt>
                <c:pt idx="384">
                  <c:v>2020-07-20</c:v>
                </c:pt>
                <c:pt idx="385">
                  <c:v>2020-07-27</c:v>
                </c:pt>
                <c:pt idx="386">
                  <c:v>2020-08-03</c:v>
                </c:pt>
                <c:pt idx="387">
                  <c:v>2020-08-10</c:v>
                </c:pt>
                <c:pt idx="388">
                  <c:v>2020-08-17</c:v>
                </c:pt>
                <c:pt idx="389">
                  <c:v>2020-08-24</c:v>
                </c:pt>
                <c:pt idx="390">
                  <c:v>2020-08-31</c:v>
                </c:pt>
                <c:pt idx="391">
                  <c:v>2020-09-07</c:v>
                </c:pt>
                <c:pt idx="392">
                  <c:v>2020-09-14</c:v>
                </c:pt>
                <c:pt idx="393">
                  <c:v>2020-09-21</c:v>
                </c:pt>
                <c:pt idx="394">
                  <c:v>2020-09-28</c:v>
                </c:pt>
                <c:pt idx="395">
                  <c:v>2020-10-05</c:v>
                </c:pt>
                <c:pt idx="396">
                  <c:v>2020-10-12</c:v>
                </c:pt>
                <c:pt idx="397">
                  <c:v>2020-10-19</c:v>
                </c:pt>
                <c:pt idx="398">
                  <c:v>2020-10-26</c:v>
                </c:pt>
                <c:pt idx="399">
                  <c:v>2020-11-02</c:v>
                </c:pt>
                <c:pt idx="400">
                  <c:v>2020-11-09</c:v>
                </c:pt>
                <c:pt idx="401">
                  <c:v>2020-11-16</c:v>
                </c:pt>
                <c:pt idx="402">
                  <c:v>2020-11-23</c:v>
                </c:pt>
                <c:pt idx="403">
                  <c:v>2020-11-30</c:v>
                </c:pt>
                <c:pt idx="404">
                  <c:v>2020-12-07</c:v>
                </c:pt>
                <c:pt idx="405">
                  <c:v>2020-12-14</c:v>
                </c:pt>
                <c:pt idx="406">
                  <c:v>2020-12-21</c:v>
                </c:pt>
                <c:pt idx="407">
                  <c:v>2020-12-28</c:v>
                </c:pt>
                <c:pt idx="408">
                  <c:v>2021-01-04</c:v>
                </c:pt>
                <c:pt idx="409">
                  <c:v>2021-01-11</c:v>
                </c:pt>
                <c:pt idx="410">
                  <c:v>2021-01-18</c:v>
                </c:pt>
                <c:pt idx="411">
                  <c:v>2021-01-25</c:v>
                </c:pt>
                <c:pt idx="412">
                  <c:v>2021-02-01</c:v>
                </c:pt>
                <c:pt idx="413">
                  <c:v>2021-02-08</c:v>
                </c:pt>
                <c:pt idx="414">
                  <c:v>2021-02-15</c:v>
                </c:pt>
                <c:pt idx="415">
                  <c:v>2021-02-22</c:v>
                </c:pt>
                <c:pt idx="416">
                  <c:v>2021-03-01</c:v>
                </c:pt>
                <c:pt idx="417">
                  <c:v>2021-03-08</c:v>
                </c:pt>
                <c:pt idx="418">
                  <c:v>2021-03-15</c:v>
                </c:pt>
                <c:pt idx="419">
                  <c:v>2021-03-22</c:v>
                </c:pt>
                <c:pt idx="420">
                  <c:v>2021-03-29</c:v>
                </c:pt>
                <c:pt idx="421">
                  <c:v>2021-04-05</c:v>
                </c:pt>
                <c:pt idx="422">
                  <c:v>2021-04-12</c:v>
                </c:pt>
                <c:pt idx="423">
                  <c:v>2021-04-19</c:v>
                </c:pt>
                <c:pt idx="424">
                  <c:v>2021-04-26</c:v>
                </c:pt>
                <c:pt idx="425">
                  <c:v>2021-05-03</c:v>
                </c:pt>
                <c:pt idx="426">
                  <c:v>2021-05-10</c:v>
                </c:pt>
                <c:pt idx="427">
                  <c:v>2021-05-17</c:v>
                </c:pt>
                <c:pt idx="428">
                  <c:v>2021-05-24</c:v>
                </c:pt>
                <c:pt idx="429">
                  <c:v>2021-05-31</c:v>
                </c:pt>
                <c:pt idx="430">
                  <c:v>2021-06-07</c:v>
                </c:pt>
                <c:pt idx="431">
                  <c:v>2021-06-15</c:v>
                </c:pt>
                <c:pt idx="432">
                  <c:v>2021-06-21</c:v>
                </c:pt>
                <c:pt idx="433">
                  <c:v>2021-06-28</c:v>
                </c:pt>
                <c:pt idx="434">
                  <c:v>2021-07-05</c:v>
                </c:pt>
                <c:pt idx="435">
                  <c:v>2021-07-12</c:v>
                </c:pt>
                <c:pt idx="436">
                  <c:v>2021-07-19</c:v>
                </c:pt>
                <c:pt idx="437">
                  <c:v>2021-07-26</c:v>
                </c:pt>
                <c:pt idx="438">
                  <c:v>2021-08-02</c:v>
                </c:pt>
                <c:pt idx="439">
                  <c:v>2021-08-09</c:v>
                </c:pt>
                <c:pt idx="440">
                  <c:v>2021-08-16</c:v>
                </c:pt>
                <c:pt idx="441">
                  <c:v>2021-08-23</c:v>
                </c:pt>
                <c:pt idx="442">
                  <c:v>2021-08-30</c:v>
                </c:pt>
                <c:pt idx="443">
                  <c:v>2021-09-06</c:v>
                </c:pt>
                <c:pt idx="444">
                  <c:v>2021-09-13</c:v>
                </c:pt>
                <c:pt idx="445">
                  <c:v>2021-09-22</c:v>
                </c:pt>
                <c:pt idx="446">
                  <c:v>2021-09-27</c:v>
                </c:pt>
                <c:pt idx="447">
                  <c:v>2021-10-08</c:v>
                </c:pt>
                <c:pt idx="448">
                  <c:v>2021-10-11</c:v>
                </c:pt>
                <c:pt idx="449">
                  <c:v>2021-10-18</c:v>
                </c:pt>
                <c:pt idx="450">
                  <c:v>2021-10-25</c:v>
                </c:pt>
                <c:pt idx="451">
                  <c:v>2021-11-01</c:v>
                </c:pt>
                <c:pt idx="452">
                  <c:v>2021-11-08</c:v>
                </c:pt>
                <c:pt idx="453">
                  <c:v>2021-11-15</c:v>
                </c:pt>
                <c:pt idx="454">
                  <c:v>2021-11-22</c:v>
                </c:pt>
                <c:pt idx="455">
                  <c:v>2021-11-29</c:v>
                </c:pt>
                <c:pt idx="456">
                  <c:v>2021-12-06</c:v>
                </c:pt>
                <c:pt idx="457">
                  <c:v>2021-12-13</c:v>
                </c:pt>
                <c:pt idx="458">
                  <c:v>2021-12-20</c:v>
                </c:pt>
                <c:pt idx="459">
                  <c:v>2021-12-27</c:v>
                </c:pt>
                <c:pt idx="460">
                  <c:v>2022-01-04</c:v>
                </c:pt>
                <c:pt idx="461">
                  <c:v>2022-01-10</c:v>
                </c:pt>
                <c:pt idx="462">
                  <c:v>2022-01-17</c:v>
                </c:pt>
                <c:pt idx="463">
                  <c:v>2022-01-24</c:v>
                </c:pt>
                <c:pt idx="464">
                  <c:v>2022-02-07</c:v>
                </c:pt>
                <c:pt idx="465">
                  <c:v>2022-02-14</c:v>
                </c:pt>
                <c:pt idx="466">
                  <c:v>2022-02-21</c:v>
                </c:pt>
                <c:pt idx="467">
                  <c:v>2022-02-28</c:v>
                </c:pt>
                <c:pt idx="468">
                  <c:v>2022-03-07</c:v>
                </c:pt>
                <c:pt idx="469">
                  <c:v>2022-03-14</c:v>
                </c:pt>
                <c:pt idx="470">
                  <c:v>2022-03-21</c:v>
                </c:pt>
                <c:pt idx="471">
                  <c:v>2022-03-28</c:v>
                </c:pt>
                <c:pt idx="472">
                  <c:v>2022-04-06</c:v>
                </c:pt>
                <c:pt idx="473">
                  <c:v>2022-04-11</c:v>
                </c:pt>
                <c:pt idx="474">
                  <c:v>2022-04-18</c:v>
                </c:pt>
                <c:pt idx="475">
                  <c:v>2022-04-25</c:v>
                </c:pt>
                <c:pt idx="476">
                  <c:v>2022-05-05</c:v>
                </c:pt>
                <c:pt idx="477">
                  <c:v>2022-05-09</c:v>
                </c:pt>
                <c:pt idx="478">
                  <c:v>2022-05-16</c:v>
                </c:pt>
                <c:pt idx="479">
                  <c:v>2022-05-23</c:v>
                </c:pt>
                <c:pt idx="480">
                  <c:v>2022-05-30</c:v>
                </c:pt>
                <c:pt idx="481">
                  <c:v>2022-06-06</c:v>
                </c:pt>
                <c:pt idx="482">
                  <c:v>2022-06-13</c:v>
                </c:pt>
                <c:pt idx="483">
                  <c:v>2022-06-20</c:v>
                </c:pt>
                <c:pt idx="484">
                  <c:v>2022-06-27</c:v>
                </c:pt>
                <c:pt idx="485">
                  <c:v>2022-07-04</c:v>
                </c:pt>
                <c:pt idx="486">
                  <c:v>2022-07-11</c:v>
                </c:pt>
                <c:pt idx="487">
                  <c:v>2022-07-18</c:v>
                </c:pt>
                <c:pt idx="488">
                  <c:v>2022-07-25</c:v>
                </c:pt>
                <c:pt idx="489">
                  <c:v>2022-08-01</c:v>
                </c:pt>
                <c:pt idx="490">
                  <c:v>2022-08-08</c:v>
                </c:pt>
                <c:pt idx="491">
                  <c:v>2022-08-15</c:v>
                </c:pt>
                <c:pt idx="492">
                  <c:v>2022-08-22</c:v>
                </c:pt>
                <c:pt idx="493">
                  <c:v>2022-08-29</c:v>
                </c:pt>
                <c:pt idx="494">
                  <c:v>2022-09-05</c:v>
                </c:pt>
                <c:pt idx="495">
                  <c:v>2022-09-13</c:v>
                </c:pt>
                <c:pt idx="496">
                  <c:v>2022-09-19</c:v>
                </c:pt>
                <c:pt idx="497">
                  <c:v>2022-09-26</c:v>
                </c:pt>
                <c:pt idx="498">
                  <c:v>2022-10-10</c:v>
                </c:pt>
                <c:pt idx="499">
                  <c:v>2022-10-17</c:v>
                </c:pt>
                <c:pt idx="500">
                  <c:v>2022-10-24</c:v>
                </c:pt>
                <c:pt idx="501">
                  <c:v>2022-10-31</c:v>
                </c:pt>
                <c:pt idx="502">
                  <c:v>2022-11-07</c:v>
                </c:pt>
                <c:pt idx="503">
                  <c:v>2022-11-14</c:v>
                </c:pt>
                <c:pt idx="504">
                  <c:v>2022-11-21</c:v>
                </c:pt>
                <c:pt idx="505">
                  <c:v>2022-11-28</c:v>
                </c:pt>
                <c:pt idx="506">
                  <c:v>2022-12-05</c:v>
                </c:pt>
                <c:pt idx="507">
                  <c:v>2022-12-12</c:v>
                </c:pt>
                <c:pt idx="508">
                  <c:v>2022-12-19</c:v>
                </c:pt>
                <c:pt idx="509">
                  <c:v>2022-12-26</c:v>
                </c:pt>
                <c:pt idx="510">
                  <c:v>2023-01-03</c:v>
                </c:pt>
                <c:pt idx="511">
                  <c:v>2023-01-09</c:v>
                </c:pt>
                <c:pt idx="512">
                  <c:v>2023-01-16</c:v>
                </c:pt>
                <c:pt idx="513">
                  <c:v>2023-01-30</c:v>
                </c:pt>
                <c:pt idx="514">
                  <c:v>2023-02-06</c:v>
                </c:pt>
              </c:strCache>
            </c:strRef>
          </c:cat>
          <c:val>
            <c:numRef>
              <c:f>[1]steel_price!$E$2:$E$516</c:f>
              <c:numCache>
                <c:formatCode>General</c:formatCode>
                <c:ptCount val="515"/>
                <c:pt idx="0">
                  <c:v>577.19999999999993</c:v>
                </c:pt>
                <c:pt idx="1">
                  <c:v>565.5</c:v>
                </c:pt>
                <c:pt idx="2">
                  <c:v>558</c:v>
                </c:pt>
                <c:pt idx="3">
                  <c:v>551.1</c:v>
                </c:pt>
                <c:pt idx="4">
                  <c:v>568.19999999999993</c:v>
                </c:pt>
                <c:pt idx="5">
                  <c:v>560.1</c:v>
                </c:pt>
                <c:pt idx="6">
                  <c:v>556.5</c:v>
                </c:pt>
                <c:pt idx="7">
                  <c:v>555.75</c:v>
                </c:pt>
                <c:pt idx="8">
                  <c:v>526.65</c:v>
                </c:pt>
                <c:pt idx="9">
                  <c:v>517.65</c:v>
                </c:pt>
                <c:pt idx="10">
                  <c:v>519.15</c:v>
                </c:pt>
                <c:pt idx="11">
                  <c:v>515.85</c:v>
                </c:pt>
                <c:pt idx="12">
                  <c:v>517.5</c:v>
                </c:pt>
                <c:pt idx="13">
                  <c:v>514.19999999999993</c:v>
                </c:pt>
                <c:pt idx="14">
                  <c:v>486.59999999999997</c:v>
                </c:pt>
                <c:pt idx="15">
                  <c:v>484.65</c:v>
                </c:pt>
                <c:pt idx="16">
                  <c:v>481.5</c:v>
                </c:pt>
                <c:pt idx="17">
                  <c:v>494.4</c:v>
                </c:pt>
                <c:pt idx="18">
                  <c:v>474.75</c:v>
                </c:pt>
                <c:pt idx="19">
                  <c:v>474.29999999999995</c:v>
                </c:pt>
                <c:pt idx="20">
                  <c:v>474.29999999999995</c:v>
                </c:pt>
                <c:pt idx="21">
                  <c:v>530.4</c:v>
                </c:pt>
                <c:pt idx="22">
                  <c:v>514.19999999999993</c:v>
                </c:pt>
                <c:pt idx="23">
                  <c:v>507.15</c:v>
                </c:pt>
                <c:pt idx="24">
                  <c:v>507.15</c:v>
                </c:pt>
                <c:pt idx="25">
                  <c:v>525.75</c:v>
                </c:pt>
                <c:pt idx="26">
                  <c:v>518.1</c:v>
                </c:pt>
                <c:pt idx="27">
                  <c:v>508.79999999999995</c:v>
                </c:pt>
                <c:pt idx="28">
                  <c:v>512.69999999999993</c:v>
                </c:pt>
                <c:pt idx="29">
                  <c:v>509.09999999999997</c:v>
                </c:pt>
                <c:pt idx="30">
                  <c:v>525.9</c:v>
                </c:pt>
                <c:pt idx="31">
                  <c:v>519.15</c:v>
                </c:pt>
                <c:pt idx="32">
                  <c:v>517.5</c:v>
                </c:pt>
                <c:pt idx="33">
                  <c:v>509.4</c:v>
                </c:pt>
                <c:pt idx="34">
                  <c:v>495.15</c:v>
                </c:pt>
                <c:pt idx="35">
                  <c:v>484.95</c:v>
                </c:pt>
                <c:pt idx="36">
                  <c:v>494.4</c:v>
                </c:pt>
                <c:pt idx="37">
                  <c:v>510</c:v>
                </c:pt>
                <c:pt idx="38">
                  <c:v>510</c:v>
                </c:pt>
                <c:pt idx="39">
                  <c:v>519.6</c:v>
                </c:pt>
                <c:pt idx="40">
                  <c:v>523.04999999999995</c:v>
                </c:pt>
                <c:pt idx="41">
                  <c:v>525</c:v>
                </c:pt>
                <c:pt idx="42">
                  <c:v>525</c:v>
                </c:pt>
                <c:pt idx="43">
                  <c:v>530.54999999999995</c:v>
                </c:pt>
                <c:pt idx="44">
                  <c:v>515.85</c:v>
                </c:pt>
                <c:pt idx="45">
                  <c:v>497.25</c:v>
                </c:pt>
                <c:pt idx="46">
                  <c:v>483.29999999999995</c:v>
                </c:pt>
                <c:pt idx="47">
                  <c:v>490.04999999999995</c:v>
                </c:pt>
                <c:pt idx="48">
                  <c:v>490.34999999999997</c:v>
                </c:pt>
                <c:pt idx="49">
                  <c:v>486.75</c:v>
                </c:pt>
                <c:pt idx="50">
                  <c:v>479.25</c:v>
                </c:pt>
                <c:pt idx="51">
                  <c:v>474.75</c:v>
                </c:pt>
                <c:pt idx="52">
                  <c:v>476.4</c:v>
                </c:pt>
                <c:pt idx="53">
                  <c:v>455.7</c:v>
                </c:pt>
                <c:pt idx="54">
                  <c:v>469.79999999999995</c:v>
                </c:pt>
                <c:pt idx="55">
                  <c:v>465</c:v>
                </c:pt>
                <c:pt idx="56">
                  <c:v>484.04999999999995</c:v>
                </c:pt>
                <c:pt idx="57">
                  <c:v>489.59999999999997</c:v>
                </c:pt>
                <c:pt idx="58">
                  <c:v>495</c:v>
                </c:pt>
                <c:pt idx="59">
                  <c:v>495</c:v>
                </c:pt>
                <c:pt idx="60">
                  <c:v>484.95</c:v>
                </c:pt>
                <c:pt idx="61">
                  <c:v>491.54999999999995</c:v>
                </c:pt>
                <c:pt idx="62">
                  <c:v>497.54999999999995</c:v>
                </c:pt>
                <c:pt idx="63">
                  <c:v>498.59999999999997</c:v>
                </c:pt>
                <c:pt idx="64">
                  <c:v>477.59999999999997</c:v>
                </c:pt>
                <c:pt idx="65">
                  <c:v>449.25</c:v>
                </c:pt>
                <c:pt idx="66">
                  <c:v>447.45</c:v>
                </c:pt>
                <c:pt idx="67">
                  <c:v>434.09999999999997</c:v>
                </c:pt>
                <c:pt idx="68">
                  <c:v>427.5</c:v>
                </c:pt>
                <c:pt idx="69">
                  <c:v>430.05</c:v>
                </c:pt>
                <c:pt idx="70">
                  <c:v>429.9</c:v>
                </c:pt>
                <c:pt idx="71">
                  <c:v>428.4</c:v>
                </c:pt>
                <c:pt idx="72">
                  <c:v>435</c:v>
                </c:pt>
                <c:pt idx="73">
                  <c:v>485.84999999999997</c:v>
                </c:pt>
                <c:pt idx="74">
                  <c:v>485.7</c:v>
                </c:pt>
                <c:pt idx="75">
                  <c:v>457.95</c:v>
                </c:pt>
                <c:pt idx="76">
                  <c:v>459</c:v>
                </c:pt>
                <c:pt idx="77">
                  <c:v>459</c:v>
                </c:pt>
                <c:pt idx="78">
                  <c:v>455.4</c:v>
                </c:pt>
                <c:pt idx="79">
                  <c:v>435</c:v>
                </c:pt>
                <c:pt idx="80">
                  <c:v>424.2</c:v>
                </c:pt>
                <c:pt idx="81">
                  <c:v>428.25</c:v>
                </c:pt>
                <c:pt idx="82">
                  <c:v>391.65</c:v>
                </c:pt>
                <c:pt idx="83">
                  <c:v>379.95</c:v>
                </c:pt>
                <c:pt idx="84">
                  <c:v>375.3</c:v>
                </c:pt>
                <c:pt idx="85">
                  <c:v>373.34999999999997</c:v>
                </c:pt>
                <c:pt idx="86">
                  <c:v>387.75</c:v>
                </c:pt>
                <c:pt idx="87">
                  <c:v>389.55</c:v>
                </c:pt>
                <c:pt idx="88">
                  <c:v>398.09999999999997</c:v>
                </c:pt>
                <c:pt idx="89">
                  <c:v>397.8</c:v>
                </c:pt>
                <c:pt idx="90">
                  <c:v>397.5</c:v>
                </c:pt>
                <c:pt idx="91">
                  <c:v>389.55</c:v>
                </c:pt>
                <c:pt idx="92">
                  <c:v>396.59999999999997</c:v>
                </c:pt>
                <c:pt idx="93">
                  <c:v>400.5</c:v>
                </c:pt>
                <c:pt idx="94">
                  <c:v>394.5</c:v>
                </c:pt>
                <c:pt idx="95">
                  <c:v>396.59999999999997</c:v>
                </c:pt>
                <c:pt idx="96">
                  <c:v>386.09999999999997</c:v>
                </c:pt>
                <c:pt idx="97">
                  <c:v>391.05</c:v>
                </c:pt>
                <c:pt idx="98">
                  <c:v>384.59999999999997</c:v>
                </c:pt>
                <c:pt idx="99">
                  <c:v>358.2</c:v>
                </c:pt>
                <c:pt idx="100">
                  <c:v>344.4</c:v>
                </c:pt>
                <c:pt idx="101">
                  <c:v>328.2</c:v>
                </c:pt>
                <c:pt idx="102">
                  <c:v>325.95</c:v>
                </c:pt>
                <c:pt idx="103">
                  <c:v>336</c:v>
                </c:pt>
                <c:pt idx="104">
                  <c:v>336.45</c:v>
                </c:pt>
                <c:pt idx="105">
                  <c:v>331.2</c:v>
                </c:pt>
                <c:pt idx="106">
                  <c:v>318.89999999999998</c:v>
                </c:pt>
                <c:pt idx="107">
                  <c:v>324</c:v>
                </c:pt>
                <c:pt idx="108">
                  <c:v>344.84999999999997</c:v>
                </c:pt>
                <c:pt idx="109">
                  <c:v>353.25</c:v>
                </c:pt>
                <c:pt idx="110">
                  <c:v>345</c:v>
                </c:pt>
                <c:pt idx="111">
                  <c:v>331.5</c:v>
                </c:pt>
                <c:pt idx="112">
                  <c:v>343.5</c:v>
                </c:pt>
                <c:pt idx="113">
                  <c:v>342.9</c:v>
                </c:pt>
                <c:pt idx="114">
                  <c:v>330.9</c:v>
                </c:pt>
                <c:pt idx="115">
                  <c:v>326.09999999999997</c:v>
                </c:pt>
                <c:pt idx="116">
                  <c:v>311.39999999999998</c:v>
                </c:pt>
                <c:pt idx="117">
                  <c:v>315.3</c:v>
                </c:pt>
                <c:pt idx="118">
                  <c:v>308.25</c:v>
                </c:pt>
                <c:pt idx="119">
                  <c:v>314.55</c:v>
                </c:pt>
                <c:pt idx="120">
                  <c:v>303.14999999999998</c:v>
                </c:pt>
                <c:pt idx="121">
                  <c:v>304.2</c:v>
                </c:pt>
                <c:pt idx="122">
                  <c:v>294.45</c:v>
                </c:pt>
                <c:pt idx="123">
                  <c:v>277.8</c:v>
                </c:pt>
                <c:pt idx="124">
                  <c:v>258</c:v>
                </c:pt>
                <c:pt idx="125">
                  <c:v>288.3</c:v>
                </c:pt>
                <c:pt idx="126">
                  <c:v>290.55</c:v>
                </c:pt>
                <c:pt idx="127">
                  <c:v>306.45</c:v>
                </c:pt>
                <c:pt idx="128">
                  <c:v>334.95</c:v>
                </c:pt>
                <c:pt idx="129">
                  <c:v>322.5</c:v>
                </c:pt>
                <c:pt idx="130">
                  <c:v>306</c:v>
                </c:pt>
                <c:pt idx="131">
                  <c:v>295.34999999999997</c:v>
                </c:pt>
                <c:pt idx="132">
                  <c:v>297</c:v>
                </c:pt>
                <c:pt idx="133">
                  <c:v>295.5</c:v>
                </c:pt>
                <c:pt idx="134">
                  <c:v>294.59999999999997</c:v>
                </c:pt>
                <c:pt idx="135">
                  <c:v>290.09999999999997</c:v>
                </c:pt>
                <c:pt idx="136">
                  <c:v>269.39999999999998</c:v>
                </c:pt>
                <c:pt idx="137">
                  <c:v>267.45</c:v>
                </c:pt>
                <c:pt idx="138">
                  <c:v>266.25</c:v>
                </c:pt>
                <c:pt idx="139">
                  <c:v>264.89999999999998</c:v>
                </c:pt>
                <c:pt idx="140">
                  <c:v>264.59999999999997</c:v>
                </c:pt>
                <c:pt idx="141">
                  <c:v>270.89999999999998</c:v>
                </c:pt>
                <c:pt idx="142">
                  <c:v>267</c:v>
                </c:pt>
                <c:pt idx="143">
                  <c:v>264</c:v>
                </c:pt>
                <c:pt idx="144">
                  <c:v>258.14999999999998</c:v>
                </c:pt>
                <c:pt idx="145">
                  <c:v>252</c:v>
                </c:pt>
                <c:pt idx="146">
                  <c:v>240</c:v>
                </c:pt>
                <c:pt idx="147">
                  <c:v>255</c:v>
                </c:pt>
                <c:pt idx="148">
                  <c:v>272.55</c:v>
                </c:pt>
                <c:pt idx="149">
                  <c:v>276.14999999999998</c:v>
                </c:pt>
                <c:pt idx="150">
                  <c:v>274.34999999999997</c:v>
                </c:pt>
                <c:pt idx="151">
                  <c:v>255.89999999999998</c:v>
                </c:pt>
                <c:pt idx="152">
                  <c:v>270.45</c:v>
                </c:pt>
                <c:pt idx="153">
                  <c:v>264.45</c:v>
                </c:pt>
                <c:pt idx="154">
                  <c:v>265.95</c:v>
                </c:pt>
                <c:pt idx="155">
                  <c:v>273</c:v>
                </c:pt>
                <c:pt idx="156">
                  <c:v>276.59999999999997</c:v>
                </c:pt>
                <c:pt idx="157">
                  <c:v>278.84999999999997</c:v>
                </c:pt>
                <c:pt idx="158">
                  <c:v>301.2</c:v>
                </c:pt>
                <c:pt idx="159">
                  <c:v>320.84999999999997</c:v>
                </c:pt>
                <c:pt idx="160">
                  <c:v>344.25</c:v>
                </c:pt>
                <c:pt idx="161">
                  <c:v>343.8</c:v>
                </c:pt>
                <c:pt idx="162">
                  <c:v>363.9</c:v>
                </c:pt>
                <c:pt idx="163">
                  <c:v>367.5</c:v>
                </c:pt>
                <c:pt idx="164">
                  <c:v>419.4</c:v>
                </c:pt>
                <c:pt idx="165">
                  <c:v>409.05</c:v>
                </c:pt>
                <c:pt idx="166">
                  <c:v>379.05</c:v>
                </c:pt>
                <c:pt idx="167">
                  <c:v>385.8</c:v>
                </c:pt>
                <c:pt idx="168">
                  <c:v>316.05</c:v>
                </c:pt>
                <c:pt idx="169">
                  <c:v>303.3</c:v>
                </c:pt>
                <c:pt idx="170">
                  <c:v>285.59999999999997</c:v>
                </c:pt>
                <c:pt idx="171">
                  <c:v>300</c:v>
                </c:pt>
                <c:pt idx="172">
                  <c:v>306.89999999999998</c:v>
                </c:pt>
                <c:pt idx="173">
                  <c:v>314.84999999999997</c:v>
                </c:pt>
                <c:pt idx="174">
                  <c:v>331.2</c:v>
                </c:pt>
                <c:pt idx="175">
                  <c:v>330.3</c:v>
                </c:pt>
                <c:pt idx="176">
                  <c:v>339.9</c:v>
                </c:pt>
                <c:pt idx="177">
                  <c:v>350.25</c:v>
                </c:pt>
                <c:pt idx="178">
                  <c:v>351.45</c:v>
                </c:pt>
                <c:pt idx="179">
                  <c:v>357.15</c:v>
                </c:pt>
                <c:pt idx="180">
                  <c:v>376.34999999999997</c:v>
                </c:pt>
                <c:pt idx="181">
                  <c:v>377.84999999999997</c:v>
                </c:pt>
                <c:pt idx="182">
                  <c:v>375.15</c:v>
                </c:pt>
                <c:pt idx="183">
                  <c:v>362.4</c:v>
                </c:pt>
                <c:pt idx="184">
                  <c:v>345.15</c:v>
                </c:pt>
                <c:pt idx="185">
                  <c:v>335.7</c:v>
                </c:pt>
                <c:pt idx="186">
                  <c:v>341.84999999999997</c:v>
                </c:pt>
                <c:pt idx="187">
                  <c:v>325.2</c:v>
                </c:pt>
                <c:pt idx="188">
                  <c:v>339</c:v>
                </c:pt>
                <c:pt idx="189">
                  <c:v>363.45</c:v>
                </c:pt>
                <c:pt idx="190">
                  <c:v>359.7</c:v>
                </c:pt>
                <c:pt idx="191">
                  <c:v>385.8</c:v>
                </c:pt>
                <c:pt idx="192">
                  <c:v>418.5</c:v>
                </c:pt>
                <c:pt idx="193">
                  <c:v>430.95</c:v>
                </c:pt>
                <c:pt idx="194">
                  <c:v>467.84999999999997</c:v>
                </c:pt>
                <c:pt idx="195">
                  <c:v>457.95</c:v>
                </c:pt>
                <c:pt idx="196">
                  <c:v>479.7</c:v>
                </c:pt>
                <c:pt idx="197">
                  <c:v>496.34999999999997</c:v>
                </c:pt>
                <c:pt idx="198">
                  <c:v>464.84999999999997</c:v>
                </c:pt>
                <c:pt idx="199">
                  <c:v>443.09999999999997</c:v>
                </c:pt>
                <c:pt idx="200">
                  <c:v>448.05</c:v>
                </c:pt>
                <c:pt idx="201">
                  <c:v>474.75</c:v>
                </c:pt>
                <c:pt idx="202">
                  <c:v>491.09999999999997</c:v>
                </c:pt>
                <c:pt idx="203">
                  <c:v>496.04999999999995</c:v>
                </c:pt>
                <c:pt idx="204">
                  <c:v>487.5</c:v>
                </c:pt>
                <c:pt idx="205">
                  <c:v>491.25</c:v>
                </c:pt>
                <c:pt idx="206">
                  <c:v>535.65</c:v>
                </c:pt>
                <c:pt idx="207">
                  <c:v>534.44999999999993</c:v>
                </c:pt>
                <c:pt idx="208">
                  <c:v>557.25</c:v>
                </c:pt>
                <c:pt idx="209">
                  <c:v>544.79999999999995</c:v>
                </c:pt>
                <c:pt idx="210">
                  <c:v>566.85</c:v>
                </c:pt>
                <c:pt idx="211">
                  <c:v>542.85</c:v>
                </c:pt>
                <c:pt idx="212">
                  <c:v>566.1</c:v>
                </c:pt>
                <c:pt idx="213">
                  <c:v>526.5</c:v>
                </c:pt>
                <c:pt idx="214">
                  <c:v>522</c:v>
                </c:pt>
                <c:pt idx="215">
                  <c:v>470.09999999999997</c:v>
                </c:pt>
                <c:pt idx="216">
                  <c:v>506.25</c:v>
                </c:pt>
                <c:pt idx="217">
                  <c:v>522.44999999999993</c:v>
                </c:pt>
                <c:pt idx="218">
                  <c:v>546.44999999999993</c:v>
                </c:pt>
                <c:pt idx="219">
                  <c:v>527.4</c:v>
                </c:pt>
                <c:pt idx="220">
                  <c:v>557.85</c:v>
                </c:pt>
                <c:pt idx="221">
                  <c:v>570</c:v>
                </c:pt>
                <c:pt idx="222">
                  <c:v>569.25</c:v>
                </c:pt>
                <c:pt idx="223">
                  <c:v>539.69999999999993</c:v>
                </c:pt>
                <c:pt idx="224">
                  <c:v>536.4</c:v>
                </c:pt>
                <c:pt idx="225">
                  <c:v>553.79999999999995</c:v>
                </c:pt>
                <c:pt idx="226">
                  <c:v>547.5</c:v>
                </c:pt>
                <c:pt idx="227">
                  <c:v>547.5</c:v>
                </c:pt>
                <c:pt idx="228">
                  <c:v>566.4</c:v>
                </c:pt>
                <c:pt idx="229">
                  <c:v>585.15</c:v>
                </c:pt>
                <c:pt idx="230">
                  <c:v>592.5</c:v>
                </c:pt>
                <c:pt idx="231">
                  <c:v>631.35</c:v>
                </c:pt>
                <c:pt idx="232">
                  <c:v>610.5</c:v>
                </c:pt>
                <c:pt idx="233">
                  <c:v>622.5</c:v>
                </c:pt>
                <c:pt idx="234">
                  <c:v>634.94999999999993</c:v>
                </c:pt>
                <c:pt idx="235">
                  <c:v>645</c:v>
                </c:pt>
                <c:pt idx="236">
                  <c:v>670.05</c:v>
                </c:pt>
                <c:pt idx="237">
                  <c:v>590.4</c:v>
                </c:pt>
                <c:pt idx="238">
                  <c:v>586.94999999999993</c:v>
                </c:pt>
                <c:pt idx="239">
                  <c:v>580.65</c:v>
                </c:pt>
                <c:pt idx="240">
                  <c:v>565.19999999999993</c:v>
                </c:pt>
                <c:pt idx="241">
                  <c:v>552</c:v>
                </c:pt>
                <c:pt idx="242">
                  <c:v>561.44999999999993</c:v>
                </c:pt>
                <c:pt idx="243">
                  <c:v>583.65</c:v>
                </c:pt>
                <c:pt idx="244">
                  <c:v>600</c:v>
                </c:pt>
                <c:pt idx="245">
                  <c:v>610.19999999999993</c:v>
                </c:pt>
                <c:pt idx="246">
                  <c:v>652.65</c:v>
                </c:pt>
                <c:pt idx="247">
                  <c:v>649.5</c:v>
                </c:pt>
                <c:pt idx="248">
                  <c:v>715.8</c:v>
                </c:pt>
                <c:pt idx="249">
                  <c:v>636.15</c:v>
                </c:pt>
                <c:pt idx="250">
                  <c:v>632.25</c:v>
                </c:pt>
                <c:pt idx="251">
                  <c:v>628.79999999999995</c:v>
                </c:pt>
                <c:pt idx="252">
                  <c:v>658.8</c:v>
                </c:pt>
                <c:pt idx="253">
                  <c:v>585</c:v>
                </c:pt>
                <c:pt idx="254">
                  <c:v>593.4</c:v>
                </c:pt>
                <c:pt idx="255">
                  <c:v>589.5</c:v>
                </c:pt>
                <c:pt idx="256">
                  <c:v>595.5</c:v>
                </c:pt>
                <c:pt idx="257">
                  <c:v>590.25</c:v>
                </c:pt>
                <c:pt idx="258">
                  <c:v>585.6</c:v>
                </c:pt>
                <c:pt idx="259">
                  <c:v>617.85</c:v>
                </c:pt>
                <c:pt idx="260">
                  <c:v>583.5</c:v>
                </c:pt>
                <c:pt idx="261">
                  <c:v>576.29999999999995</c:v>
                </c:pt>
                <c:pt idx="262">
                  <c:v>528.75</c:v>
                </c:pt>
                <c:pt idx="263">
                  <c:v>529.5</c:v>
                </c:pt>
                <c:pt idx="264">
                  <c:v>548.4</c:v>
                </c:pt>
                <c:pt idx="265">
                  <c:v>555</c:v>
                </c:pt>
                <c:pt idx="266">
                  <c:v>562.19999999999993</c:v>
                </c:pt>
                <c:pt idx="267">
                  <c:v>590.69999999999993</c:v>
                </c:pt>
                <c:pt idx="268">
                  <c:v>606</c:v>
                </c:pt>
                <c:pt idx="269">
                  <c:v>601.5</c:v>
                </c:pt>
                <c:pt idx="270">
                  <c:v>612</c:v>
                </c:pt>
                <c:pt idx="271">
                  <c:v>604.35</c:v>
                </c:pt>
                <c:pt idx="272">
                  <c:v>626.1</c:v>
                </c:pt>
                <c:pt idx="273">
                  <c:v>640.94999999999993</c:v>
                </c:pt>
                <c:pt idx="274">
                  <c:v>675</c:v>
                </c:pt>
                <c:pt idx="275">
                  <c:v>618.15</c:v>
                </c:pt>
                <c:pt idx="276">
                  <c:v>627.6</c:v>
                </c:pt>
                <c:pt idx="277">
                  <c:v>603.9</c:v>
                </c:pt>
                <c:pt idx="278">
                  <c:v>604.5</c:v>
                </c:pt>
                <c:pt idx="279">
                  <c:v>610.19999999999993</c:v>
                </c:pt>
                <c:pt idx="280">
                  <c:v>624.6</c:v>
                </c:pt>
                <c:pt idx="281">
                  <c:v>623.54999999999995</c:v>
                </c:pt>
                <c:pt idx="282">
                  <c:v>630</c:v>
                </c:pt>
                <c:pt idx="283">
                  <c:v>670.35</c:v>
                </c:pt>
                <c:pt idx="284">
                  <c:v>665.69999999999993</c:v>
                </c:pt>
                <c:pt idx="285">
                  <c:v>686.85</c:v>
                </c:pt>
                <c:pt idx="286">
                  <c:v>716.55</c:v>
                </c:pt>
                <c:pt idx="287">
                  <c:v>699.15</c:v>
                </c:pt>
                <c:pt idx="288">
                  <c:v>684.6</c:v>
                </c:pt>
                <c:pt idx="289">
                  <c:v>679.05</c:v>
                </c:pt>
                <c:pt idx="290">
                  <c:v>679.05</c:v>
                </c:pt>
                <c:pt idx="291">
                  <c:v>702.6</c:v>
                </c:pt>
                <c:pt idx="292">
                  <c:v>676.19999999999993</c:v>
                </c:pt>
                <c:pt idx="293">
                  <c:v>685.5</c:v>
                </c:pt>
                <c:pt idx="294">
                  <c:v>681</c:v>
                </c:pt>
                <c:pt idx="295">
                  <c:v>673.5</c:v>
                </c:pt>
                <c:pt idx="296">
                  <c:v>647.54999999999995</c:v>
                </c:pt>
                <c:pt idx="297">
                  <c:v>586.35</c:v>
                </c:pt>
                <c:pt idx="298">
                  <c:v>526.79999999999995</c:v>
                </c:pt>
                <c:pt idx="299">
                  <c:v>538.79999999999995</c:v>
                </c:pt>
                <c:pt idx="300">
                  <c:v>531.29999999999995</c:v>
                </c:pt>
                <c:pt idx="301">
                  <c:v>574.35</c:v>
                </c:pt>
                <c:pt idx="302">
                  <c:v>580.5</c:v>
                </c:pt>
                <c:pt idx="303">
                  <c:v>579.44999999999993</c:v>
                </c:pt>
                <c:pt idx="304">
                  <c:v>546.6</c:v>
                </c:pt>
                <c:pt idx="305">
                  <c:v>551.85</c:v>
                </c:pt>
                <c:pt idx="306">
                  <c:v>564.9</c:v>
                </c:pt>
                <c:pt idx="307">
                  <c:v>573.9</c:v>
                </c:pt>
                <c:pt idx="308">
                  <c:v>568.94999999999993</c:v>
                </c:pt>
                <c:pt idx="309">
                  <c:v>558.15</c:v>
                </c:pt>
                <c:pt idx="310">
                  <c:v>567.44999999999993</c:v>
                </c:pt>
                <c:pt idx="311">
                  <c:v>575.54999999999995</c:v>
                </c:pt>
                <c:pt idx="312">
                  <c:v>573.75</c:v>
                </c:pt>
                <c:pt idx="313">
                  <c:v>575.54999999999995</c:v>
                </c:pt>
                <c:pt idx="314">
                  <c:v>566.69999999999993</c:v>
                </c:pt>
                <c:pt idx="315">
                  <c:v>559.79999999999995</c:v>
                </c:pt>
                <c:pt idx="316">
                  <c:v>581.54999999999995</c:v>
                </c:pt>
                <c:pt idx="317">
                  <c:v>618</c:v>
                </c:pt>
                <c:pt idx="318">
                  <c:v>616.19999999999993</c:v>
                </c:pt>
                <c:pt idx="319">
                  <c:v>621.75</c:v>
                </c:pt>
                <c:pt idx="320">
                  <c:v>628.79999999999995</c:v>
                </c:pt>
                <c:pt idx="321">
                  <c:v>620.85</c:v>
                </c:pt>
                <c:pt idx="322">
                  <c:v>592.65</c:v>
                </c:pt>
                <c:pt idx="323">
                  <c:v>594.44999999999993</c:v>
                </c:pt>
                <c:pt idx="324">
                  <c:v>575.1</c:v>
                </c:pt>
                <c:pt idx="325">
                  <c:v>562.19999999999993</c:v>
                </c:pt>
                <c:pt idx="326">
                  <c:v>559.5</c:v>
                </c:pt>
                <c:pt idx="327">
                  <c:v>562.65</c:v>
                </c:pt>
                <c:pt idx="328">
                  <c:v>567</c:v>
                </c:pt>
                <c:pt idx="329">
                  <c:v>577.35</c:v>
                </c:pt>
                <c:pt idx="330">
                  <c:v>564</c:v>
                </c:pt>
                <c:pt idx="331">
                  <c:v>609</c:v>
                </c:pt>
                <c:pt idx="332">
                  <c:v>612.75</c:v>
                </c:pt>
                <c:pt idx="333">
                  <c:v>608.54999999999995</c:v>
                </c:pt>
                <c:pt idx="334">
                  <c:v>598.5</c:v>
                </c:pt>
                <c:pt idx="335">
                  <c:v>567.75</c:v>
                </c:pt>
                <c:pt idx="336">
                  <c:v>565.5</c:v>
                </c:pt>
                <c:pt idx="337">
                  <c:v>543.75</c:v>
                </c:pt>
                <c:pt idx="338">
                  <c:v>565.5</c:v>
                </c:pt>
                <c:pt idx="339">
                  <c:v>572.4</c:v>
                </c:pt>
                <c:pt idx="340">
                  <c:v>555.9</c:v>
                </c:pt>
                <c:pt idx="341">
                  <c:v>553.79999999999995</c:v>
                </c:pt>
                <c:pt idx="342">
                  <c:v>553.65</c:v>
                </c:pt>
                <c:pt idx="343">
                  <c:v>540.75</c:v>
                </c:pt>
                <c:pt idx="344">
                  <c:v>516</c:v>
                </c:pt>
                <c:pt idx="345">
                  <c:v>522.75</c:v>
                </c:pt>
                <c:pt idx="346">
                  <c:v>524.1</c:v>
                </c:pt>
                <c:pt idx="347">
                  <c:v>555</c:v>
                </c:pt>
                <c:pt idx="348">
                  <c:v>555</c:v>
                </c:pt>
                <c:pt idx="349">
                  <c:v>571.5</c:v>
                </c:pt>
                <c:pt idx="350">
                  <c:v>590.69999999999993</c:v>
                </c:pt>
                <c:pt idx="351">
                  <c:v>570</c:v>
                </c:pt>
                <c:pt idx="352">
                  <c:v>636</c:v>
                </c:pt>
                <c:pt idx="353">
                  <c:v>558.29999999999995</c:v>
                </c:pt>
                <c:pt idx="354">
                  <c:v>562.19999999999993</c:v>
                </c:pt>
                <c:pt idx="355">
                  <c:v>562.04999999999995</c:v>
                </c:pt>
                <c:pt idx="356">
                  <c:v>577.19999999999993</c:v>
                </c:pt>
                <c:pt idx="357">
                  <c:v>552.9</c:v>
                </c:pt>
                <c:pt idx="358">
                  <c:v>543.9</c:v>
                </c:pt>
                <c:pt idx="359">
                  <c:v>543.9</c:v>
                </c:pt>
                <c:pt idx="360">
                  <c:v>505.2</c:v>
                </c:pt>
                <c:pt idx="361">
                  <c:v>506.7</c:v>
                </c:pt>
                <c:pt idx="362">
                  <c:v>513.44999999999993</c:v>
                </c:pt>
                <c:pt idx="363">
                  <c:v>508.5</c:v>
                </c:pt>
                <c:pt idx="364">
                  <c:v>519.9</c:v>
                </c:pt>
                <c:pt idx="365">
                  <c:v>517.79999999999995</c:v>
                </c:pt>
                <c:pt idx="366">
                  <c:v>516</c:v>
                </c:pt>
                <c:pt idx="367">
                  <c:v>515.69999999999993</c:v>
                </c:pt>
                <c:pt idx="368">
                  <c:v>494.54999999999995</c:v>
                </c:pt>
                <c:pt idx="369">
                  <c:v>517.5</c:v>
                </c:pt>
                <c:pt idx="370">
                  <c:v>533.4</c:v>
                </c:pt>
                <c:pt idx="371">
                  <c:v>526.79999999999995</c:v>
                </c:pt>
                <c:pt idx="372">
                  <c:v>525.9</c:v>
                </c:pt>
                <c:pt idx="373">
                  <c:v>536.25</c:v>
                </c:pt>
                <c:pt idx="374">
                  <c:v>509.84999999999997</c:v>
                </c:pt>
                <c:pt idx="375">
                  <c:v>539.85</c:v>
                </c:pt>
                <c:pt idx="376">
                  <c:v>525.6</c:v>
                </c:pt>
                <c:pt idx="377">
                  <c:v>530.54999999999995</c:v>
                </c:pt>
                <c:pt idx="378">
                  <c:v>540</c:v>
                </c:pt>
                <c:pt idx="379">
                  <c:v>558</c:v>
                </c:pt>
                <c:pt idx="380">
                  <c:v>559.94999999999993</c:v>
                </c:pt>
                <c:pt idx="381">
                  <c:v>548.25</c:v>
                </c:pt>
                <c:pt idx="382">
                  <c:v>543</c:v>
                </c:pt>
                <c:pt idx="383">
                  <c:v>551.25</c:v>
                </c:pt>
                <c:pt idx="384">
                  <c:v>568.19999999999993</c:v>
                </c:pt>
                <c:pt idx="385">
                  <c:v>570.29999999999995</c:v>
                </c:pt>
                <c:pt idx="386">
                  <c:v>565.65</c:v>
                </c:pt>
                <c:pt idx="387">
                  <c:v>557.69999999999993</c:v>
                </c:pt>
                <c:pt idx="388">
                  <c:v>560.54999999999995</c:v>
                </c:pt>
                <c:pt idx="389">
                  <c:v>558.9</c:v>
                </c:pt>
                <c:pt idx="390">
                  <c:v>564.75</c:v>
                </c:pt>
                <c:pt idx="391">
                  <c:v>559.19999999999993</c:v>
                </c:pt>
                <c:pt idx="392">
                  <c:v>550.5</c:v>
                </c:pt>
                <c:pt idx="393">
                  <c:v>543.6</c:v>
                </c:pt>
                <c:pt idx="394">
                  <c:v>541.94999999999993</c:v>
                </c:pt>
                <c:pt idx="395">
                  <c:v>545.54999999999995</c:v>
                </c:pt>
                <c:pt idx="396">
                  <c:v>543.29999999999995</c:v>
                </c:pt>
                <c:pt idx="397">
                  <c:v>551.69999999999993</c:v>
                </c:pt>
                <c:pt idx="398">
                  <c:v>562.19999999999993</c:v>
                </c:pt>
                <c:pt idx="399">
                  <c:v>561.6</c:v>
                </c:pt>
                <c:pt idx="400">
                  <c:v>595.19999999999993</c:v>
                </c:pt>
                <c:pt idx="401">
                  <c:v>617.85</c:v>
                </c:pt>
                <c:pt idx="402">
                  <c:v>609</c:v>
                </c:pt>
                <c:pt idx="403">
                  <c:v>638.69999999999993</c:v>
                </c:pt>
                <c:pt idx="404">
                  <c:v>660</c:v>
                </c:pt>
                <c:pt idx="405">
                  <c:v>649.19999999999993</c:v>
                </c:pt>
                <c:pt idx="406">
                  <c:v>631.35</c:v>
                </c:pt>
                <c:pt idx="407">
                  <c:v>633</c:v>
                </c:pt>
                <c:pt idx="408">
                  <c:v>640.5</c:v>
                </c:pt>
                <c:pt idx="409">
                  <c:v>630.9</c:v>
                </c:pt>
                <c:pt idx="410">
                  <c:v>630</c:v>
                </c:pt>
                <c:pt idx="411">
                  <c:v>628.65</c:v>
                </c:pt>
                <c:pt idx="412">
                  <c:v>624.9</c:v>
                </c:pt>
                <c:pt idx="413">
                  <c:v>644.1</c:v>
                </c:pt>
                <c:pt idx="414">
                  <c:v>659.85</c:v>
                </c:pt>
                <c:pt idx="415">
                  <c:v>688.05</c:v>
                </c:pt>
                <c:pt idx="416">
                  <c:v>688.8</c:v>
                </c:pt>
                <c:pt idx="417">
                  <c:v>689.69999999999993</c:v>
                </c:pt>
                <c:pt idx="418">
                  <c:v>705.3</c:v>
                </c:pt>
                <c:pt idx="419">
                  <c:v>715.5</c:v>
                </c:pt>
                <c:pt idx="420">
                  <c:v>744</c:v>
                </c:pt>
                <c:pt idx="421">
                  <c:v>750</c:v>
                </c:pt>
                <c:pt idx="422">
                  <c:v>770.69999999999993</c:v>
                </c:pt>
                <c:pt idx="423">
                  <c:v>781.5</c:v>
                </c:pt>
                <c:pt idx="424">
                  <c:v>804.3</c:v>
                </c:pt>
                <c:pt idx="425">
                  <c:v>832.8</c:v>
                </c:pt>
                <c:pt idx="426">
                  <c:v>839.1</c:v>
                </c:pt>
                <c:pt idx="427">
                  <c:v>767.1</c:v>
                </c:pt>
                <c:pt idx="428">
                  <c:v>713.25</c:v>
                </c:pt>
                <c:pt idx="429">
                  <c:v>729</c:v>
                </c:pt>
                <c:pt idx="430">
                  <c:v>735</c:v>
                </c:pt>
                <c:pt idx="431">
                  <c:v>747.15</c:v>
                </c:pt>
                <c:pt idx="432">
                  <c:v>736.35</c:v>
                </c:pt>
                <c:pt idx="433">
                  <c:v>736.19999999999993</c:v>
                </c:pt>
                <c:pt idx="434">
                  <c:v>734.85</c:v>
                </c:pt>
                <c:pt idx="435">
                  <c:v>817.8</c:v>
                </c:pt>
                <c:pt idx="436">
                  <c:v>839.55</c:v>
                </c:pt>
                <c:pt idx="437">
                  <c:v>855.75</c:v>
                </c:pt>
                <c:pt idx="438">
                  <c:v>808.5</c:v>
                </c:pt>
                <c:pt idx="439">
                  <c:v>801.44999999999993</c:v>
                </c:pt>
                <c:pt idx="440">
                  <c:v>743.55</c:v>
                </c:pt>
                <c:pt idx="441">
                  <c:v>761.1</c:v>
                </c:pt>
                <c:pt idx="442">
                  <c:v>795.3</c:v>
                </c:pt>
                <c:pt idx="443">
                  <c:v>840.6</c:v>
                </c:pt>
                <c:pt idx="444">
                  <c:v>856.35</c:v>
                </c:pt>
                <c:pt idx="445">
                  <c:v>871.65</c:v>
                </c:pt>
                <c:pt idx="446">
                  <c:v>875.25</c:v>
                </c:pt>
                <c:pt idx="447">
                  <c:v>888.75</c:v>
                </c:pt>
                <c:pt idx="448">
                  <c:v>853.05</c:v>
                </c:pt>
                <c:pt idx="449">
                  <c:v>751.35</c:v>
                </c:pt>
                <c:pt idx="450">
                  <c:v>720.9</c:v>
                </c:pt>
                <c:pt idx="451">
                  <c:v>673.5</c:v>
                </c:pt>
                <c:pt idx="452">
                  <c:v>652.5</c:v>
                </c:pt>
                <c:pt idx="453">
                  <c:v>641.1</c:v>
                </c:pt>
                <c:pt idx="454">
                  <c:v>645</c:v>
                </c:pt>
                <c:pt idx="455">
                  <c:v>645.15</c:v>
                </c:pt>
                <c:pt idx="456">
                  <c:v>645.44999999999993</c:v>
                </c:pt>
                <c:pt idx="457">
                  <c:v>702</c:v>
                </c:pt>
                <c:pt idx="458">
                  <c:v>703.8</c:v>
                </c:pt>
                <c:pt idx="459">
                  <c:v>682.19999999999993</c:v>
                </c:pt>
                <c:pt idx="460">
                  <c:v>697.05</c:v>
                </c:pt>
                <c:pt idx="461">
                  <c:v>701.55</c:v>
                </c:pt>
                <c:pt idx="462">
                  <c:v>711.44999999999993</c:v>
                </c:pt>
                <c:pt idx="463">
                  <c:v>716.69999999999993</c:v>
                </c:pt>
                <c:pt idx="464">
                  <c:v>749.85</c:v>
                </c:pt>
                <c:pt idx="465">
                  <c:v>718.35</c:v>
                </c:pt>
                <c:pt idx="466">
                  <c:v>698.4</c:v>
                </c:pt>
                <c:pt idx="467">
                  <c:v>747.75</c:v>
                </c:pt>
                <c:pt idx="468">
                  <c:v>735</c:v>
                </c:pt>
                <c:pt idx="469">
                  <c:v>741.44999999999993</c:v>
                </c:pt>
                <c:pt idx="470">
                  <c:v>743.1</c:v>
                </c:pt>
                <c:pt idx="471">
                  <c:v>767.25</c:v>
                </c:pt>
                <c:pt idx="472">
                  <c:v>767.25</c:v>
                </c:pt>
                <c:pt idx="473">
                  <c:v>744.75</c:v>
                </c:pt>
                <c:pt idx="474">
                  <c:v>769.94999999999993</c:v>
                </c:pt>
                <c:pt idx="475">
                  <c:v>772.8</c:v>
                </c:pt>
                <c:pt idx="476">
                  <c:v>773.69999999999993</c:v>
                </c:pt>
                <c:pt idx="477">
                  <c:v>752.69999999999993</c:v>
                </c:pt>
                <c:pt idx="478">
                  <c:v>722.55</c:v>
                </c:pt>
                <c:pt idx="479">
                  <c:v>702.44999999999993</c:v>
                </c:pt>
                <c:pt idx="480">
                  <c:v>669.75</c:v>
                </c:pt>
                <c:pt idx="481">
                  <c:v>690</c:v>
                </c:pt>
                <c:pt idx="482">
                  <c:v>682.8</c:v>
                </c:pt>
                <c:pt idx="483">
                  <c:v>645.15</c:v>
                </c:pt>
                <c:pt idx="484">
                  <c:v>675</c:v>
                </c:pt>
                <c:pt idx="485">
                  <c:v>639</c:v>
                </c:pt>
                <c:pt idx="486">
                  <c:v>589.5</c:v>
                </c:pt>
                <c:pt idx="487">
                  <c:v>574.35</c:v>
                </c:pt>
                <c:pt idx="488">
                  <c:v>618.29999999999995</c:v>
                </c:pt>
                <c:pt idx="489">
                  <c:v>609.15</c:v>
                </c:pt>
                <c:pt idx="490">
                  <c:v>620.25</c:v>
                </c:pt>
                <c:pt idx="491">
                  <c:v>599.4</c:v>
                </c:pt>
                <c:pt idx="492">
                  <c:v>611.4</c:v>
                </c:pt>
                <c:pt idx="493">
                  <c:v>569.54999999999995</c:v>
                </c:pt>
                <c:pt idx="494">
                  <c:v>587.69999999999993</c:v>
                </c:pt>
                <c:pt idx="495">
                  <c:v>584.54999999999995</c:v>
                </c:pt>
                <c:pt idx="496">
                  <c:v>592.19999999999993</c:v>
                </c:pt>
                <c:pt idx="497">
                  <c:v>590.4</c:v>
                </c:pt>
                <c:pt idx="498">
                  <c:v>572.69999999999993</c:v>
                </c:pt>
                <c:pt idx="499">
                  <c:v>556.04999999999995</c:v>
                </c:pt>
                <c:pt idx="500">
                  <c:v>535.65</c:v>
                </c:pt>
                <c:pt idx="501">
                  <c:v>537.15</c:v>
                </c:pt>
                <c:pt idx="502">
                  <c:v>538.04999999999995</c:v>
                </c:pt>
                <c:pt idx="503">
                  <c:v>557.25</c:v>
                </c:pt>
                <c:pt idx="504">
                  <c:v>553.65</c:v>
                </c:pt>
                <c:pt idx="505">
                  <c:v>565.04999999999995</c:v>
                </c:pt>
                <c:pt idx="506">
                  <c:v>585</c:v>
                </c:pt>
                <c:pt idx="507">
                  <c:v>601.5</c:v>
                </c:pt>
                <c:pt idx="508">
                  <c:v>586.79999999999995</c:v>
                </c:pt>
                <c:pt idx="509">
                  <c:v>602.85</c:v>
                </c:pt>
                <c:pt idx="510">
                  <c:v>599.54999999999995</c:v>
                </c:pt>
                <c:pt idx="511">
                  <c:v>612.9</c:v>
                </c:pt>
                <c:pt idx="512">
                  <c:v>618.75</c:v>
                </c:pt>
                <c:pt idx="513">
                  <c:v>597.29999999999995</c:v>
                </c:pt>
                <c:pt idx="514">
                  <c:v>603.15</c:v>
                </c:pt>
              </c:numCache>
            </c:numRef>
          </c:val>
          <c:smooth val="0"/>
          <c:extLst>
            <c:ext xmlns:c16="http://schemas.microsoft.com/office/drawing/2014/chart" uri="{C3380CC4-5D6E-409C-BE32-E72D297353CC}">
              <c16:uniqueId val="{00000000-D1EB-4713-BFD4-76B8BFDEC4E7}"/>
            </c:ext>
          </c:extLst>
        </c:ser>
        <c:dLbls>
          <c:showLegendKey val="0"/>
          <c:showVal val="0"/>
          <c:showCatName val="0"/>
          <c:showSerName val="0"/>
          <c:showPercent val="0"/>
          <c:showBubbleSize val="0"/>
        </c:dLbls>
        <c:smooth val="0"/>
        <c:axId val="715998063"/>
        <c:axId val="715994735"/>
      </c:lineChart>
      <c:catAx>
        <c:axId val="715998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15994735"/>
        <c:crosses val="autoZero"/>
        <c:auto val="1"/>
        <c:lblAlgn val="ctr"/>
        <c:lblOffset val="100"/>
        <c:noMultiLvlLbl val="0"/>
      </c:catAx>
      <c:valAx>
        <c:axId val="7159947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15998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8869109892869105E-2"/>
          <c:y val="1.7760536555156983E-2"/>
          <c:w val="0.91337606285973394"/>
          <c:h val="0.71681222166221881"/>
        </c:manualLayout>
      </c:layout>
      <c:barChart>
        <c:barDir val="col"/>
        <c:grouping val="clustered"/>
        <c:varyColors val="0"/>
        <c:ser>
          <c:idx val="0"/>
          <c:order val="0"/>
          <c:tx>
            <c:strRef>
              <c:f>'Order and Service summary'!$D$2</c:f>
              <c:strCache>
                <c:ptCount val="1"/>
                <c:pt idx="0">
                  <c:v>2014</c:v>
                </c:pt>
              </c:strCache>
            </c:strRef>
          </c:tx>
          <c:spPr>
            <a:solidFill>
              <a:schemeClr val="accent1"/>
            </a:solidFill>
            <a:ln>
              <a:noFill/>
            </a:ln>
            <a:effectLst/>
          </c:spPr>
          <c:invertIfNegative val="0"/>
          <c:cat>
            <c:strRef>
              <c:f>'Order and Service summary'!$C$3:$C$36</c:f>
              <c:strCache>
                <c:ptCount val="34"/>
                <c:pt idx="0">
                  <c:v>2MW</c:v>
                </c:pt>
                <c:pt idx="1">
                  <c:v>3MW</c:v>
                </c:pt>
                <c:pt idx="2">
                  <c:v>4MW</c:v>
                </c:pt>
                <c:pt idx="3">
                  <c:v>V52-850kW</c:v>
                </c:pt>
                <c:pt idx="4">
                  <c:v>V80-2.0MW</c:v>
                </c:pt>
                <c:pt idx="5">
                  <c:v>V90-2.0MW</c:v>
                </c:pt>
                <c:pt idx="6">
                  <c:v>V90-3.0MW</c:v>
                </c:pt>
                <c:pt idx="7">
                  <c:v>V100-1.8MW</c:v>
                </c:pt>
                <c:pt idx="8">
                  <c:v>V100-2.0MW</c:v>
                </c:pt>
                <c:pt idx="9">
                  <c:v>V105-3.45MW</c:v>
                </c:pt>
                <c:pt idx="10">
                  <c:v>V105-3.6MW</c:v>
                </c:pt>
                <c:pt idx="11">
                  <c:v>V110-2.0MW</c:v>
                </c:pt>
                <c:pt idx="12">
                  <c:v>V110-2.2MW</c:v>
                </c:pt>
                <c:pt idx="13">
                  <c:v>V112-3.075MW</c:v>
                </c:pt>
                <c:pt idx="14">
                  <c:v>V112-3.0MW</c:v>
                </c:pt>
                <c:pt idx="15">
                  <c:v>V112-3.3MW</c:v>
                </c:pt>
                <c:pt idx="16">
                  <c:v>V112-3.45MW</c:v>
                </c:pt>
                <c:pt idx="17">
                  <c:v>V116-2.0MW</c:v>
                </c:pt>
                <c:pt idx="18">
                  <c:v>V117-3.0MW</c:v>
                </c:pt>
                <c:pt idx="19">
                  <c:v>V117-3.3MW</c:v>
                </c:pt>
                <c:pt idx="20">
                  <c:v>V117-3.45MW</c:v>
                </c:pt>
                <c:pt idx="21">
                  <c:v>V117-4.2MW</c:v>
                </c:pt>
                <c:pt idx="22">
                  <c:v>V120-2.0MW</c:v>
                </c:pt>
                <c:pt idx="23">
                  <c:v>V120-2.2MW</c:v>
                </c:pt>
                <c:pt idx="24">
                  <c:v>V126-3.3MW</c:v>
                </c:pt>
                <c:pt idx="25">
                  <c:v>V126-3.45MW</c:v>
                </c:pt>
                <c:pt idx="26">
                  <c:v>V126-3.6MW</c:v>
                </c:pt>
                <c:pt idx="27">
                  <c:v>V126-4.2MW</c:v>
                </c:pt>
                <c:pt idx="28">
                  <c:v>V136-3.0MW</c:v>
                </c:pt>
                <c:pt idx="29">
                  <c:v>V136-3.45MW</c:v>
                </c:pt>
                <c:pt idx="30">
                  <c:v>V136-3.6MW</c:v>
                </c:pt>
                <c:pt idx="31">
                  <c:v>V136-4.2MW</c:v>
                </c:pt>
                <c:pt idx="32">
                  <c:v>V136-4.5MW</c:v>
                </c:pt>
                <c:pt idx="33">
                  <c:v>V150-4.2MW</c:v>
                </c:pt>
              </c:strCache>
            </c:strRef>
          </c:cat>
          <c:val>
            <c:numRef>
              <c:f>'Order and Service summary'!$D$3:$D$36</c:f>
              <c:numCache>
                <c:formatCode>0</c:formatCode>
                <c:ptCount val="34"/>
                <c:pt idx="0">
                  <c:v>30</c:v>
                </c:pt>
                <c:pt idx="1">
                  <c:v>0</c:v>
                </c:pt>
                <c:pt idx="2">
                  <c:v>0</c:v>
                </c:pt>
                <c:pt idx="3">
                  <c:v>364.70588235294116</c:v>
                </c:pt>
                <c:pt idx="4">
                  <c:v>34</c:v>
                </c:pt>
                <c:pt idx="5">
                  <c:v>21</c:v>
                </c:pt>
                <c:pt idx="6">
                  <c:v>61</c:v>
                </c:pt>
                <c:pt idx="7">
                  <c:v>0</c:v>
                </c:pt>
                <c:pt idx="8">
                  <c:v>659</c:v>
                </c:pt>
                <c:pt idx="9">
                  <c:v>0</c:v>
                </c:pt>
                <c:pt idx="10">
                  <c:v>0</c:v>
                </c:pt>
                <c:pt idx="11">
                  <c:v>336</c:v>
                </c:pt>
                <c:pt idx="12">
                  <c:v>0</c:v>
                </c:pt>
                <c:pt idx="13">
                  <c:v>0</c:v>
                </c:pt>
                <c:pt idx="14">
                  <c:v>97.333333333333329</c:v>
                </c:pt>
                <c:pt idx="15">
                  <c:v>200.06060606060606</c:v>
                </c:pt>
                <c:pt idx="16">
                  <c:v>0</c:v>
                </c:pt>
                <c:pt idx="17">
                  <c:v>0</c:v>
                </c:pt>
                <c:pt idx="18">
                  <c:v>6</c:v>
                </c:pt>
                <c:pt idx="19">
                  <c:v>19</c:v>
                </c:pt>
                <c:pt idx="20">
                  <c:v>0</c:v>
                </c:pt>
                <c:pt idx="21">
                  <c:v>0</c:v>
                </c:pt>
                <c:pt idx="22">
                  <c:v>0</c:v>
                </c:pt>
                <c:pt idx="23">
                  <c:v>0</c:v>
                </c:pt>
                <c:pt idx="24">
                  <c:v>98.090909090909093</c:v>
                </c:pt>
                <c:pt idx="25">
                  <c:v>0</c:v>
                </c:pt>
                <c:pt idx="26">
                  <c:v>0</c:v>
                </c:pt>
                <c:pt idx="27">
                  <c:v>0</c:v>
                </c:pt>
                <c:pt idx="28">
                  <c:v>0</c:v>
                </c:pt>
                <c:pt idx="29">
                  <c:v>0</c:v>
                </c:pt>
                <c:pt idx="30">
                  <c:v>0</c:v>
                </c:pt>
                <c:pt idx="31">
                  <c:v>0</c:v>
                </c:pt>
                <c:pt idx="32">
                  <c:v>0</c:v>
                </c:pt>
                <c:pt idx="33">
                  <c:v>0</c:v>
                </c:pt>
              </c:numCache>
            </c:numRef>
          </c:val>
          <c:extLst>
            <c:ext xmlns:c16="http://schemas.microsoft.com/office/drawing/2014/chart" uri="{C3380CC4-5D6E-409C-BE32-E72D297353CC}">
              <c16:uniqueId val="{00000000-90DA-4C0A-AB48-E54B6FBF2BAF}"/>
            </c:ext>
          </c:extLst>
        </c:ser>
        <c:ser>
          <c:idx val="1"/>
          <c:order val="1"/>
          <c:tx>
            <c:strRef>
              <c:f>'Order and Service summary'!$E$2</c:f>
              <c:strCache>
                <c:ptCount val="1"/>
                <c:pt idx="0">
                  <c:v>2015</c:v>
                </c:pt>
              </c:strCache>
            </c:strRef>
          </c:tx>
          <c:spPr>
            <a:solidFill>
              <a:schemeClr val="accent2"/>
            </a:solidFill>
            <a:ln>
              <a:noFill/>
            </a:ln>
            <a:effectLst/>
          </c:spPr>
          <c:invertIfNegative val="0"/>
          <c:cat>
            <c:strRef>
              <c:f>'Order and Service summary'!$C$3:$C$36</c:f>
              <c:strCache>
                <c:ptCount val="34"/>
                <c:pt idx="0">
                  <c:v>2MW</c:v>
                </c:pt>
                <c:pt idx="1">
                  <c:v>3MW</c:v>
                </c:pt>
                <c:pt idx="2">
                  <c:v>4MW</c:v>
                </c:pt>
                <c:pt idx="3">
                  <c:v>V52-850kW</c:v>
                </c:pt>
                <c:pt idx="4">
                  <c:v>V80-2.0MW</c:v>
                </c:pt>
                <c:pt idx="5">
                  <c:v>V90-2.0MW</c:v>
                </c:pt>
                <c:pt idx="6">
                  <c:v>V90-3.0MW</c:v>
                </c:pt>
                <c:pt idx="7">
                  <c:v>V100-1.8MW</c:v>
                </c:pt>
                <c:pt idx="8">
                  <c:v>V100-2.0MW</c:v>
                </c:pt>
                <c:pt idx="9">
                  <c:v>V105-3.45MW</c:v>
                </c:pt>
                <c:pt idx="10">
                  <c:v>V105-3.6MW</c:v>
                </c:pt>
                <c:pt idx="11">
                  <c:v>V110-2.0MW</c:v>
                </c:pt>
                <c:pt idx="12">
                  <c:v>V110-2.2MW</c:v>
                </c:pt>
                <c:pt idx="13">
                  <c:v>V112-3.075MW</c:v>
                </c:pt>
                <c:pt idx="14">
                  <c:v>V112-3.0MW</c:v>
                </c:pt>
                <c:pt idx="15">
                  <c:v>V112-3.3MW</c:v>
                </c:pt>
                <c:pt idx="16">
                  <c:v>V112-3.45MW</c:v>
                </c:pt>
                <c:pt idx="17">
                  <c:v>V116-2.0MW</c:v>
                </c:pt>
                <c:pt idx="18">
                  <c:v>V117-3.0MW</c:v>
                </c:pt>
                <c:pt idx="19">
                  <c:v>V117-3.3MW</c:v>
                </c:pt>
                <c:pt idx="20">
                  <c:v>V117-3.45MW</c:v>
                </c:pt>
                <c:pt idx="21">
                  <c:v>V117-4.2MW</c:v>
                </c:pt>
                <c:pt idx="22">
                  <c:v>V120-2.0MW</c:v>
                </c:pt>
                <c:pt idx="23">
                  <c:v>V120-2.2MW</c:v>
                </c:pt>
                <c:pt idx="24">
                  <c:v>V126-3.3MW</c:v>
                </c:pt>
                <c:pt idx="25">
                  <c:v>V126-3.45MW</c:v>
                </c:pt>
                <c:pt idx="26">
                  <c:v>V126-3.6MW</c:v>
                </c:pt>
                <c:pt idx="27">
                  <c:v>V126-4.2MW</c:v>
                </c:pt>
                <c:pt idx="28">
                  <c:v>V136-3.0MW</c:v>
                </c:pt>
                <c:pt idx="29">
                  <c:v>V136-3.45MW</c:v>
                </c:pt>
                <c:pt idx="30">
                  <c:v>V136-3.6MW</c:v>
                </c:pt>
                <c:pt idx="31">
                  <c:v>V136-4.2MW</c:v>
                </c:pt>
                <c:pt idx="32">
                  <c:v>V136-4.5MW</c:v>
                </c:pt>
                <c:pt idx="33">
                  <c:v>V150-4.2MW</c:v>
                </c:pt>
              </c:strCache>
            </c:strRef>
          </c:cat>
          <c:val>
            <c:numRef>
              <c:f>'Order and Service summary'!$E$3:$E$36</c:f>
              <c:numCache>
                <c:formatCode>0</c:formatCode>
                <c:ptCount val="34"/>
                <c:pt idx="0">
                  <c:v>75</c:v>
                </c:pt>
                <c:pt idx="1">
                  <c:v>0</c:v>
                </c:pt>
                <c:pt idx="2">
                  <c:v>0</c:v>
                </c:pt>
                <c:pt idx="3">
                  <c:v>0</c:v>
                </c:pt>
                <c:pt idx="4">
                  <c:v>0</c:v>
                </c:pt>
                <c:pt idx="5">
                  <c:v>49</c:v>
                </c:pt>
                <c:pt idx="6">
                  <c:v>29</c:v>
                </c:pt>
                <c:pt idx="7">
                  <c:v>70</c:v>
                </c:pt>
                <c:pt idx="8">
                  <c:v>486</c:v>
                </c:pt>
                <c:pt idx="9">
                  <c:v>0</c:v>
                </c:pt>
                <c:pt idx="10">
                  <c:v>0</c:v>
                </c:pt>
                <c:pt idx="11">
                  <c:v>860</c:v>
                </c:pt>
                <c:pt idx="12">
                  <c:v>0</c:v>
                </c:pt>
                <c:pt idx="13">
                  <c:v>13.008130081300813</c:v>
                </c:pt>
                <c:pt idx="14">
                  <c:v>12</c:v>
                </c:pt>
                <c:pt idx="15">
                  <c:v>212.12121212121212</c:v>
                </c:pt>
                <c:pt idx="16">
                  <c:v>140.69652000347131</c:v>
                </c:pt>
                <c:pt idx="17">
                  <c:v>0</c:v>
                </c:pt>
                <c:pt idx="18">
                  <c:v>0</c:v>
                </c:pt>
                <c:pt idx="19">
                  <c:v>365.45454545454544</c:v>
                </c:pt>
                <c:pt idx="20">
                  <c:v>30</c:v>
                </c:pt>
                <c:pt idx="21">
                  <c:v>0</c:v>
                </c:pt>
                <c:pt idx="22">
                  <c:v>0</c:v>
                </c:pt>
                <c:pt idx="23">
                  <c:v>0</c:v>
                </c:pt>
                <c:pt idx="24">
                  <c:v>218.78787878787878</c:v>
                </c:pt>
                <c:pt idx="25">
                  <c:v>26.956521739130434</c:v>
                </c:pt>
                <c:pt idx="26">
                  <c:v>0</c:v>
                </c:pt>
                <c:pt idx="27">
                  <c:v>0</c:v>
                </c:pt>
                <c:pt idx="28">
                  <c:v>0</c:v>
                </c:pt>
                <c:pt idx="29">
                  <c:v>33.913043478260867</c:v>
                </c:pt>
                <c:pt idx="30">
                  <c:v>0</c:v>
                </c:pt>
                <c:pt idx="31">
                  <c:v>0</c:v>
                </c:pt>
                <c:pt idx="32">
                  <c:v>0</c:v>
                </c:pt>
                <c:pt idx="33">
                  <c:v>0</c:v>
                </c:pt>
              </c:numCache>
            </c:numRef>
          </c:val>
          <c:extLst>
            <c:ext xmlns:c16="http://schemas.microsoft.com/office/drawing/2014/chart" uri="{C3380CC4-5D6E-409C-BE32-E72D297353CC}">
              <c16:uniqueId val="{00000001-90DA-4C0A-AB48-E54B6FBF2BAF}"/>
            </c:ext>
          </c:extLst>
        </c:ser>
        <c:ser>
          <c:idx val="2"/>
          <c:order val="2"/>
          <c:tx>
            <c:strRef>
              <c:f>'Order and Service summary'!$F$2</c:f>
              <c:strCache>
                <c:ptCount val="1"/>
                <c:pt idx="0">
                  <c:v>2016</c:v>
                </c:pt>
              </c:strCache>
            </c:strRef>
          </c:tx>
          <c:spPr>
            <a:solidFill>
              <a:schemeClr val="accent3"/>
            </a:solidFill>
            <a:ln>
              <a:noFill/>
            </a:ln>
            <a:effectLst/>
          </c:spPr>
          <c:invertIfNegative val="0"/>
          <c:cat>
            <c:strRef>
              <c:f>'Order and Service summary'!$C$3:$C$36</c:f>
              <c:strCache>
                <c:ptCount val="34"/>
                <c:pt idx="0">
                  <c:v>2MW</c:v>
                </c:pt>
                <c:pt idx="1">
                  <c:v>3MW</c:v>
                </c:pt>
                <c:pt idx="2">
                  <c:v>4MW</c:v>
                </c:pt>
                <c:pt idx="3">
                  <c:v>V52-850kW</c:v>
                </c:pt>
                <c:pt idx="4">
                  <c:v>V80-2.0MW</c:v>
                </c:pt>
                <c:pt idx="5">
                  <c:v>V90-2.0MW</c:v>
                </c:pt>
                <c:pt idx="6">
                  <c:v>V90-3.0MW</c:v>
                </c:pt>
                <c:pt idx="7">
                  <c:v>V100-1.8MW</c:v>
                </c:pt>
                <c:pt idx="8">
                  <c:v>V100-2.0MW</c:v>
                </c:pt>
                <c:pt idx="9">
                  <c:v>V105-3.45MW</c:v>
                </c:pt>
                <c:pt idx="10">
                  <c:v>V105-3.6MW</c:v>
                </c:pt>
                <c:pt idx="11">
                  <c:v>V110-2.0MW</c:v>
                </c:pt>
                <c:pt idx="12">
                  <c:v>V110-2.2MW</c:v>
                </c:pt>
                <c:pt idx="13">
                  <c:v>V112-3.075MW</c:v>
                </c:pt>
                <c:pt idx="14">
                  <c:v>V112-3.0MW</c:v>
                </c:pt>
                <c:pt idx="15">
                  <c:v>V112-3.3MW</c:v>
                </c:pt>
                <c:pt idx="16">
                  <c:v>V112-3.45MW</c:v>
                </c:pt>
                <c:pt idx="17">
                  <c:v>V116-2.0MW</c:v>
                </c:pt>
                <c:pt idx="18">
                  <c:v>V117-3.0MW</c:v>
                </c:pt>
                <c:pt idx="19">
                  <c:v>V117-3.3MW</c:v>
                </c:pt>
                <c:pt idx="20">
                  <c:v>V117-3.45MW</c:v>
                </c:pt>
                <c:pt idx="21">
                  <c:v>V117-4.2MW</c:v>
                </c:pt>
                <c:pt idx="22">
                  <c:v>V120-2.0MW</c:v>
                </c:pt>
                <c:pt idx="23">
                  <c:v>V120-2.2MW</c:v>
                </c:pt>
                <c:pt idx="24">
                  <c:v>V126-3.3MW</c:v>
                </c:pt>
                <c:pt idx="25">
                  <c:v>V126-3.45MW</c:v>
                </c:pt>
                <c:pt idx="26">
                  <c:v>V126-3.6MW</c:v>
                </c:pt>
                <c:pt idx="27">
                  <c:v>V126-4.2MW</c:v>
                </c:pt>
                <c:pt idx="28">
                  <c:v>V136-3.0MW</c:v>
                </c:pt>
                <c:pt idx="29">
                  <c:v>V136-3.45MW</c:v>
                </c:pt>
                <c:pt idx="30">
                  <c:v>V136-3.6MW</c:v>
                </c:pt>
                <c:pt idx="31">
                  <c:v>V136-4.2MW</c:v>
                </c:pt>
                <c:pt idx="32">
                  <c:v>V136-4.5MW</c:v>
                </c:pt>
                <c:pt idx="33">
                  <c:v>V150-4.2MW</c:v>
                </c:pt>
              </c:strCache>
            </c:strRef>
          </c:cat>
          <c:val>
            <c:numRef>
              <c:f>'Order and Service summary'!$F$3:$F$36</c:f>
              <c:numCache>
                <c:formatCode>0</c:formatCode>
                <c:ptCount val="34"/>
                <c:pt idx="0">
                  <c:v>184.6</c:v>
                </c:pt>
                <c:pt idx="1">
                  <c:v>26</c:v>
                </c:pt>
                <c:pt idx="2">
                  <c:v>0</c:v>
                </c:pt>
                <c:pt idx="3">
                  <c:v>0</c:v>
                </c:pt>
                <c:pt idx="4">
                  <c:v>0</c:v>
                </c:pt>
                <c:pt idx="5">
                  <c:v>0</c:v>
                </c:pt>
                <c:pt idx="6">
                  <c:v>40</c:v>
                </c:pt>
                <c:pt idx="7">
                  <c:v>15</c:v>
                </c:pt>
                <c:pt idx="8">
                  <c:v>104</c:v>
                </c:pt>
                <c:pt idx="9">
                  <c:v>8.9855072463768106</c:v>
                </c:pt>
                <c:pt idx="10">
                  <c:v>0</c:v>
                </c:pt>
                <c:pt idx="11">
                  <c:v>1354.3636363636363</c:v>
                </c:pt>
                <c:pt idx="12">
                  <c:v>0</c:v>
                </c:pt>
                <c:pt idx="13">
                  <c:v>0</c:v>
                </c:pt>
                <c:pt idx="14">
                  <c:v>0</c:v>
                </c:pt>
                <c:pt idx="15">
                  <c:v>34.848484848484851</c:v>
                </c:pt>
                <c:pt idx="16">
                  <c:v>164.15942028985506</c:v>
                </c:pt>
                <c:pt idx="17">
                  <c:v>0</c:v>
                </c:pt>
                <c:pt idx="18">
                  <c:v>0</c:v>
                </c:pt>
                <c:pt idx="19">
                  <c:v>53.939393939393945</c:v>
                </c:pt>
                <c:pt idx="20">
                  <c:v>398.97101449275362</c:v>
                </c:pt>
                <c:pt idx="21">
                  <c:v>0</c:v>
                </c:pt>
                <c:pt idx="22">
                  <c:v>0</c:v>
                </c:pt>
                <c:pt idx="23">
                  <c:v>0</c:v>
                </c:pt>
                <c:pt idx="24">
                  <c:v>58.787878787878796</c:v>
                </c:pt>
                <c:pt idx="25">
                  <c:v>350.91787439613523</c:v>
                </c:pt>
                <c:pt idx="26">
                  <c:v>0</c:v>
                </c:pt>
                <c:pt idx="27">
                  <c:v>0</c:v>
                </c:pt>
                <c:pt idx="28">
                  <c:v>0</c:v>
                </c:pt>
                <c:pt idx="29">
                  <c:v>0</c:v>
                </c:pt>
                <c:pt idx="30">
                  <c:v>0</c:v>
                </c:pt>
                <c:pt idx="31">
                  <c:v>0</c:v>
                </c:pt>
                <c:pt idx="32">
                  <c:v>0</c:v>
                </c:pt>
                <c:pt idx="33">
                  <c:v>0</c:v>
                </c:pt>
              </c:numCache>
            </c:numRef>
          </c:val>
          <c:extLst>
            <c:ext xmlns:c16="http://schemas.microsoft.com/office/drawing/2014/chart" uri="{C3380CC4-5D6E-409C-BE32-E72D297353CC}">
              <c16:uniqueId val="{00000002-90DA-4C0A-AB48-E54B6FBF2BAF}"/>
            </c:ext>
          </c:extLst>
        </c:ser>
        <c:ser>
          <c:idx val="3"/>
          <c:order val="3"/>
          <c:tx>
            <c:strRef>
              <c:f>'Order and Service summary'!$G$2</c:f>
              <c:strCache>
                <c:ptCount val="1"/>
                <c:pt idx="0">
                  <c:v>2017</c:v>
                </c:pt>
              </c:strCache>
            </c:strRef>
          </c:tx>
          <c:spPr>
            <a:solidFill>
              <a:schemeClr val="accent4"/>
            </a:solidFill>
            <a:ln>
              <a:noFill/>
            </a:ln>
            <a:effectLst/>
          </c:spPr>
          <c:invertIfNegative val="0"/>
          <c:cat>
            <c:strRef>
              <c:f>'Order and Service summary'!$C$3:$C$36</c:f>
              <c:strCache>
                <c:ptCount val="34"/>
                <c:pt idx="0">
                  <c:v>2MW</c:v>
                </c:pt>
                <c:pt idx="1">
                  <c:v>3MW</c:v>
                </c:pt>
                <c:pt idx="2">
                  <c:v>4MW</c:v>
                </c:pt>
                <c:pt idx="3">
                  <c:v>V52-850kW</c:v>
                </c:pt>
                <c:pt idx="4">
                  <c:v>V80-2.0MW</c:v>
                </c:pt>
                <c:pt idx="5">
                  <c:v>V90-2.0MW</c:v>
                </c:pt>
                <c:pt idx="6">
                  <c:v>V90-3.0MW</c:v>
                </c:pt>
                <c:pt idx="7">
                  <c:v>V100-1.8MW</c:v>
                </c:pt>
                <c:pt idx="8">
                  <c:v>V100-2.0MW</c:v>
                </c:pt>
                <c:pt idx="9">
                  <c:v>V105-3.45MW</c:v>
                </c:pt>
                <c:pt idx="10">
                  <c:v>V105-3.6MW</c:v>
                </c:pt>
                <c:pt idx="11">
                  <c:v>V110-2.0MW</c:v>
                </c:pt>
                <c:pt idx="12">
                  <c:v>V110-2.2MW</c:v>
                </c:pt>
                <c:pt idx="13">
                  <c:v>V112-3.075MW</c:v>
                </c:pt>
                <c:pt idx="14">
                  <c:v>V112-3.0MW</c:v>
                </c:pt>
                <c:pt idx="15">
                  <c:v>V112-3.3MW</c:v>
                </c:pt>
                <c:pt idx="16">
                  <c:v>V112-3.45MW</c:v>
                </c:pt>
                <c:pt idx="17">
                  <c:v>V116-2.0MW</c:v>
                </c:pt>
                <c:pt idx="18">
                  <c:v>V117-3.0MW</c:v>
                </c:pt>
                <c:pt idx="19">
                  <c:v>V117-3.3MW</c:v>
                </c:pt>
                <c:pt idx="20">
                  <c:v>V117-3.45MW</c:v>
                </c:pt>
                <c:pt idx="21">
                  <c:v>V117-4.2MW</c:v>
                </c:pt>
                <c:pt idx="22">
                  <c:v>V120-2.0MW</c:v>
                </c:pt>
                <c:pt idx="23">
                  <c:v>V120-2.2MW</c:v>
                </c:pt>
                <c:pt idx="24">
                  <c:v>V126-3.3MW</c:v>
                </c:pt>
                <c:pt idx="25">
                  <c:v>V126-3.45MW</c:v>
                </c:pt>
                <c:pt idx="26">
                  <c:v>V126-3.6MW</c:v>
                </c:pt>
                <c:pt idx="27">
                  <c:v>V126-4.2MW</c:v>
                </c:pt>
                <c:pt idx="28">
                  <c:v>V136-3.0MW</c:v>
                </c:pt>
                <c:pt idx="29">
                  <c:v>V136-3.45MW</c:v>
                </c:pt>
                <c:pt idx="30">
                  <c:v>V136-3.6MW</c:v>
                </c:pt>
                <c:pt idx="31">
                  <c:v>V136-4.2MW</c:v>
                </c:pt>
                <c:pt idx="32">
                  <c:v>V136-4.5MW</c:v>
                </c:pt>
                <c:pt idx="33">
                  <c:v>V150-4.2MW</c:v>
                </c:pt>
              </c:strCache>
            </c:strRef>
          </c:cat>
          <c:val>
            <c:numRef>
              <c:f>'Order and Service summary'!$G$3:$G$36</c:f>
              <c:numCache>
                <c:formatCode>0</c:formatCode>
                <c:ptCount val="34"/>
                <c:pt idx="0">
                  <c:v>175</c:v>
                </c:pt>
                <c:pt idx="1">
                  <c:v>0</c:v>
                </c:pt>
                <c:pt idx="2">
                  <c:v>79.5</c:v>
                </c:pt>
                <c:pt idx="3">
                  <c:v>0</c:v>
                </c:pt>
                <c:pt idx="4">
                  <c:v>0</c:v>
                </c:pt>
                <c:pt idx="5">
                  <c:v>0</c:v>
                </c:pt>
                <c:pt idx="6">
                  <c:v>0</c:v>
                </c:pt>
                <c:pt idx="7">
                  <c:v>0</c:v>
                </c:pt>
                <c:pt idx="8">
                  <c:v>72</c:v>
                </c:pt>
                <c:pt idx="9">
                  <c:v>31.714975845410628</c:v>
                </c:pt>
                <c:pt idx="10">
                  <c:v>0</c:v>
                </c:pt>
                <c:pt idx="11">
                  <c:v>1409.5</c:v>
                </c:pt>
                <c:pt idx="12">
                  <c:v>40.36363636363636</c:v>
                </c:pt>
                <c:pt idx="13">
                  <c:v>0</c:v>
                </c:pt>
                <c:pt idx="14">
                  <c:v>0</c:v>
                </c:pt>
                <c:pt idx="15">
                  <c:v>26.060606060606062</c:v>
                </c:pt>
                <c:pt idx="16">
                  <c:v>40.125603864734295</c:v>
                </c:pt>
                <c:pt idx="17">
                  <c:v>33</c:v>
                </c:pt>
                <c:pt idx="18">
                  <c:v>0</c:v>
                </c:pt>
                <c:pt idx="19">
                  <c:v>0</c:v>
                </c:pt>
                <c:pt idx="20">
                  <c:v>66.932367149758448</c:v>
                </c:pt>
                <c:pt idx="21">
                  <c:v>0</c:v>
                </c:pt>
                <c:pt idx="22">
                  <c:v>0</c:v>
                </c:pt>
                <c:pt idx="23">
                  <c:v>0</c:v>
                </c:pt>
                <c:pt idx="24">
                  <c:v>22.121212121212121</c:v>
                </c:pt>
                <c:pt idx="25">
                  <c:v>310.80676328502415</c:v>
                </c:pt>
                <c:pt idx="26">
                  <c:v>24.444444444444443</c:v>
                </c:pt>
                <c:pt idx="27">
                  <c:v>0</c:v>
                </c:pt>
                <c:pt idx="28">
                  <c:v>60</c:v>
                </c:pt>
                <c:pt idx="29">
                  <c:v>634.83409610983983</c:v>
                </c:pt>
                <c:pt idx="30">
                  <c:v>44.166666666666671</c:v>
                </c:pt>
                <c:pt idx="31">
                  <c:v>85</c:v>
                </c:pt>
                <c:pt idx="32">
                  <c:v>0</c:v>
                </c:pt>
                <c:pt idx="33">
                  <c:v>0</c:v>
                </c:pt>
              </c:numCache>
            </c:numRef>
          </c:val>
          <c:extLst>
            <c:ext xmlns:c16="http://schemas.microsoft.com/office/drawing/2014/chart" uri="{C3380CC4-5D6E-409C-BE32-E72D297353CC}">
              <c16:uniqueId val="{00000003-90DA-4C0A-AB48-E54B6FBF2BAF}"/>
            </c:ext>
          </c:extLst>
        </c:ser>
        <c:ser>
          <c:idx val="4"/>
          <c:order val="4"/>
          <c:tx>
            <c:strRef>
              <c:f>'Order and Service summary'!$H$2</c:f>
              <c:strCache>
                <c:ptCount val="1"/>
                <c:pt idx="0">
                  <c:v>2018</c:v>
                </c:pt>
              </c:strCache>
            </c:strRef>
          </c:tx>
          <c:spPr>
            <a:solidFill>
              <a:schemeClr val="accent5"/>
            </a:solidFill>
            <a:ln>
              <a:noFill/>
            </a:ln>
            <a:effectLst/>
          </c:spPr>
          <c:invertIfNegative val="0"/>
          <c:cat>
            <c:strRef>
              <c:f>'Order and Service summary'!$C$3:$C$36</c:f>
              <c:strCache>
                <c:ptCount val="34"/>
                <c:pt idx="0">
                  <c:v>2MW</c:v>
                </c:pt>
                <c:pt idx="1">
                  <c:v>3MW</c:v>
                </c:pt>
                <c:pt idx="2">
                  <c:v>4MW</c:v>
                </c:pt>
                <c:pt idx="3">
                  <c:v>V52-850kW</c:v>
                </c:pt>
                <c:pt idx="4">
                  <c:v>V80-2.0MW</c:v>
                </c:pt>
                <c:pt idx="5">
                  <c:v>V90-2.0MW</c:v>
                </c:pt>
                <c:pt idx="6">
                  <c:v>V90-3.0MW</c:v>
                </c:pt>
                <c:pt idx="7">
                  <c:v>V100-1.8MW</c:v>
                </c:pt>
                <c:pt idx="8">
                  <c:v>V100-2.0MW</c:v>
                </c:pt>
                <c:pt idx="9">
                  <c:v>V105-3.45MW</c:v>
                </c:pt>
                <c:pt idx="10">
                  <c:v>V105-3.6MW</c:v>
                </c:pt>
                <c:pt idx="11">
                  <c:v>V110-2.0MW</c:v>
                </c:pt>
                <c:pt idx="12">
                  <c:v>V110-2.2MW</c:v>
                </c:pt>
                <c:pt idx="13">
                  <c:v>V112-3.075MW</c:v>
                </c:pt>
                <c:pt idx="14">
                  <c:v>V112-3.0MW</c:v>
                </c:pt>
                <c:pt idx="15">
                  <c:v>V112-3.3MW</c:v>
                </c:pt>
                <c:pt idx="16">
                  <c:v>V112-3.45MW</c:v>
                </c:pt>
                <c:pt idx="17">
                  <c:v>V116-2.0MW</c:v>
                </c:pt>
                <c:pt idx="18">
                  <c:v>V117-3.0MW</c:v>
                </c:pt>
                <c:pt idx="19">
                  <c:v>V117-3.3MW</c:v>
                </c:pt>
                <c:pt idx="20">
                  <c:v>V117-3.45MW</c:v>
                </c:pt>
                <c:pt idx="21">
                  <c:v>V117-4.2MW</c:v>
                </c:pt>
                <c:pt idx="22">
                  <c:v>V120-2.0MW</c:v>
                </c:pt>
                <c:pt idx="23">
                  <c:v>V120-2.2MW</c:v>
                </c:pt>
                <c:pt idx="24">
                  <c:v>V126-3.3MW</c:v>
                </c:pt>
                <c:pt idx="25">
                  <c:v>V126-3.45MW</c:v>
                </c:pt>
                <c:pt idx="26">
                  <c:v>V126-3.6MW</c:v>
                </c:pt>
                <c:pt idx="27">
                  <c:v>V126-4.2MW</c:v>
                </c:pt>
                <c:pt idx="28">
                  <c:v>V136-3.0MW</c:v>
                </c:pt>
                <c:pt idx="29">
                  <c:v>V136-3.45MW</c:v>
                </c:pt>
                <c:pt idx="30">
                  <c:v>V136-3.6MW</c:v>
                </c:pt>
                <c:pt idx="31">
                  <c:v>V136-4.2MW</c:v>
                </c:pt>
                <c:pt idx="32">
                  <c:v>V136-4.5MW</c:v>
                </c:pt>
                <c:pt idx="33">
                  <c:v>V150-4.2MW</c:v>
                </c:pt>
              </c:strCache>
            </c:strRef>
          </c:cat>
          <c:val>
            <c:numRef>
              <c:f>'Order and Service summary'!$H$3:$H$36</c:f>
              <c:numCache>
                <c:formatCode>0</c:formatCode>
                <c:ptCount val="34"/>
                <c:pt idx="0">
                  <c:v>100</c:v>
                </c:pt>
                <c:pt idx="1">
                  <c:v>0</c:v>
                </c:pt>
                <c:pt idx="2">
                  <c:v>20.25</c:v>
                </c:pt>
                <c:pt idx="3">
                  <c:v>0</c:v>
                </c:pt>
                <c:pt idx="4">
                  <c:v>0</c:v>
                </c:pt>
                <c:pt idx="5">
                  <c:v>0</c:v>
                </c:pt>
                <c:pt idx="6">
                  <c:v>0</c:v>
                </c:pt>
                <c:pt idx="7">
                  <c:v>0</c:v>
                </c:pt>
                <c:pt idx="8">
                  <c:v>141</c:v>
                </c:pt>
                <c:pt idx="9">
                  <c:v>0</c:v>
                </c:pt>
                <c:pt idx="10">
                  <c:v>0</c:v>
                </c:pt>
                <c:pt idx="11">
                  <c:v>360.09090909090912</c:v>
                </c:pt>
                <c:pt idx="12">
                  <c:v>183.18181818181816</c:v>
                </c:pt>
                <c:pt idx="13">
                  <c:v>0</c:v>
                </c:pt>
                <c:pt idx="14">
                  <c:v>19</c:v>
                </c:pt>
                <c:pt idx="15">
                  <c:v>0</c:v>
                </c:pt>
                <c:pt idx="16">
                  <c:v>22.95125164690382</c:v>
                </c:pt>
                <c:pt idx="17">
                  <c:v>216</c:v>
                </c:pt>
                <c:pt idx="18">
                  <c:v>0</c:v>
                </c:pt>
                <c:pt idx="19">
                  <c:v>10</c:v>
                </c:pt>
                <c:pt idx="20">
                  <c:v>178.15217391304347</c:v>
                </c:pt>
                <c:pt idx="21">
                  <c:v>31</c:v>
                </c:pt>
                <c:pt idx="22">
                  <c:v>195</c:v>
                </c:pt>
                <c:pt idx="23">
                  <c:v>264.72727272727275</c:v>
                </c:pt>
                <c:pt idx="24">
                  <c:v>0</c:v>
                </c:pt>
                <c:pt idx="25">
                  <c:v>230.11212814645307</c:v>
                </c:pt>
                <c:pt idx="26">
                  <c:v>31</c:v>
                </c:pt>
                <c:pt idx="27">
                  <c:v>0</c:v>
                </c:pt>
                <c:pt idx="28">
                  <c:v>0</c:v>
                </c:pt>
                <c:pt idx="29">
                  <c:v>717.71789982201881</c:v>
                </c:pt>
                <c:pt idx="30">
                  <c:v>103</c:v>
                </c:pt>
                <c:pt idx="31">
                  <c:v>406.8095238095238</c:v>
                </c:pt>
                <c:pt idx="32">
                  <c:v>0</c:v>
                </c:pt>
                <c:pt idx="33">
                  <c:v>267</c:v>
                </c:pt>
              </c:numCache>
            </c:numRef>
          </c:val>
          <c:extLst>
            <c:ext xmlns:c16="http://schemas.microsoft.com/office/drawing/2014/chart" uri="{C3380CC4-5D6E-409C-BE32-E72D297353CC}">
              <c16:uniqueId val="{00000004-90DA-4C0A-AB48-E54B6FBF2BAF}"/>
            </c:ext>
          </c:extLst>
        </c:ser>
        <c:dLbls>
          <c:showLegendKey val="0"/>
          <c:showVal val="0"/>
          <c:showCatName val="0"/>
          <c:showSerName val="0"/>
          <c:showPercent val="0"/>
          <c:showBubbleSize val="0"/>
        </c:dLbls>
        <c:gapWidth val="219"/>
        <c:overlap val="-27"/>
        <c:axId val="189734256"/>
        <c:axId val="189734648"/>
      </c:barChart>
      <c:catAx>
        <c:axId val="18973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9734648"/>
        <c:crosses val="autoZero"/>
        <c:auto val="1"/>
        <c:lblAlgn val="ctr"/>
        <c:lblOffset val="100"/>
        <c:noMultiLvlLbl val="0"/>
      </c:catAx>
      <c:valAx>
        <c:axId val="189734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9734256"/>
        <c:crosses val="autoZero"/>
        <c:crossBetween val="between"/>
      </c:valAx>
      <c:spPr>
        <a:noFill/>
        <a:ln>
          <a:noFill/>
        </a:ln>
        <a:effectLst/>
      </c:spPr>
    </c:plotArea>
    <c:legend>
      <c:legendPos val="r"/>
      <c:layout>
        <c:manualLayout>
          <c:xMode val="edge"/>
          <c:yMode val="edge"/>
          <c:x val="0.70759450308307925"/>
          <c:y val="0.20859504314321675"/>
          <c:w val="5.1760645633760288E-2"/>
          <c:h val="0.279932319059676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Ordered pr year of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'Order and Service summary'!$R$2</c:f>
              <c:strCache>
                <c:ptCount val="1"/>
                <c:pt idx="0">
                  <c:v>2012</c:v>
                </c:pt>
              </c:strCache>
            </c:strRef>
          </c:tx>
          <c:spPr>
            <a:solidFill>
              <a:schemeClr val="accent1"/>
            </a:solidFill>
            <a:ln>
              <a:noFill/>
            </a:ln>
            <a:effectLst/>
          </c:spPr>
          <c:invertIfNegative val="0"/>
          <c:cat>
            <c:strRef>
              <c:f>'Order and Service summary'!$Q$3:$Q$8</c:f>
              <c:strCache>
                <c:ptCount val="6"/>
                <c:pt idx="0">
                  <c:v>&gt;2MW</c:v>
                </c:pt>
                <c:pt idx="1">
                  <c:v>2-2.99MW</c:v>
                </c:pt>
                <c:pt idx="2">
                  <c:v>3-3.99MW</c:v>
                </c:pt>
                <c:pt idx="3">
                  <c:v>4-5.99MW</c:v>
                </c:pt>
                <c:pt idx="4">
                  <c:v>6-7MW</c:v>
                </c:pt>
                <c:pt idx="5">
                  <c:v>7+</c:v>
                </c:pt>
              </c:strCache>
            </c:strRef>
          </c:cat>
          <c:val>
            <c:numRef>
              <c:f>'Order and Service summary'!$R$3:$R$8</c:f>
              <c:numCache>
                <c:formatCode>0</c:formatCode>
                <c:ptCount val="6"/>
                <c:pt idx="0">
                  <c:v>163</c:v>
                </c:pt>
                <c:pt idx="1">
                  <c:v>237</c:v>
                </c:pt>
                <c:pt idx="2">
                  <c:v>323</c:v>
                </c:pt>
                <c:pt idx="3" formatCode="General">
                  <c:v>0</c:v>
                </c:pt>
              </c:numCache>
            </c:numRef>
          </c:val>
          <c:extLst>
            <c:ext xmlns:c16="http://schemas.microsoft.com/office/drawing/2014/chart" uri="{C3380CC4-5D6E-409C-BE32-E72D297353CC}">
              <c16:uniqueId val="{00000000-276F-4025-B2F8-C00ECC13F013}"/>
            </c:ext>
          </c:extLst>
        </c:ser>
        <c:ser>
          <c:idx val="1"/>
          <c:order val="1"/>
          <c:tx>
            <c:strRef>
              <c:f>'Order and Service summary'!$S$2</c:f>
              <c:strCache>
                <c:ptCount val="1"/>
                <c:pt idx="0">
                  <c:v>2013</c:v>
                </c:pt>
              </c:strCache>
            </c:strRef>
          </c:tx>
          <c:spPr>
            <a:solidFill>
              <a:schemeClr val="accent2"/>
            </a:solidFill>
            <a:ln>
              <a:noFill/>
            </a:ln>
            <a:effectLst/>
          </c:spPr>
          <c:invertIfNegative val="0"/>
          <c:cat>
            <c:strRef>
              <c:f>'Order and Service summary'!$Q$3:$Q$8</c:f>
              <c:strCache>
                <c:ptCount val="6"/>
                <c:pt idx="0">
                  <c:v>&gt;2MW</c:v>
                </c:pt>
                <c:pt idx="1">
                  <c:v>2-2.99MW</c:v>
                </c:pt>
                <c:pt idx="2">
                  <c:v>3-3.99MW</c:v>
                </c:pt>
                <c:pt idx="3">
                  <c:v>4-5.99MW</c:v>
                </c:pt>
                <c:pt idx="4">
                  <c:v>6-7MW</c:v>
                </c:pt>
                <c:pt idx="5">
                  <c:v>7+</c:v>
                </c:pt>
              </c:strCache>
            </c:strRef>
          </c:cat>
          <c:val>
            <c:numRef>
              <c:f>'Order and Service summary'!$S$3:$S$8</c:f>
              <c:numCache>
                <c:formatCode>0</c:formatCode>
                <c:ptCount val="6"/>
                <c:pt idx="0">
                  <c:v>229.91111111111113</c:v>
                </c:pt>
                <c:pt idx="1">
                  <c:v>1123.7</c:v>
                </c:pt>
                <c:pt idx="2">
                  <c:v>511.89090909090925</c:v>
                </c:pt>
                <c:pt idx="3" formatCode="General">
                  <c:v>0</c:v>
                </c:pt>
              </c:numCache>
            </c:numRef>
          </c:val>
          <c:extLst>
            <c:ext xmlns:c16="http://schemas.microsoft.com/office/drawing/2014/chart" uri="{C3380CC4-5D6E-409C-BE32-E72D297353CC}">
              <c16:uniqueId val="{00000001-276F-4025-B2F8-C00ECC13F013}"/>
            </c:ext>
          </c:extLst>
        </c:ser>
        <c:ser>
          <c:idx val="2"/>
          <c:order val="2"/>
          <c:tx>
            <c:strRef>
              <c:f>'Order and Service summary'!$T$2</c:f>
              <c:strCache>
                <c:ptCount val="1"/>
                <c:pt idx="0">
                  <c:v>2014</c:v>
                </c:pt>
              </c:strCache>
            </c:strRef>
          </c:tx>
          <c:spPr>
            <a:solidFill>
              <a:schemeClr val="accent3"/>
            </a:solidFill>
            <a:ln>
              <a:noFill/>
            </a:ln>
            <a:effectLst/>
          </c:spPr>
          <c:invertIfNegative val="0"/>
          <c:cat>
            <c:strRef>
              <c:f>'Order and Service summary'!$Q$3:$Q$8</c:f>
              <c:strCache>
                <c:ptCount val="6"/>
                <c:pt idx="0">
                  <c:v>&gt;2MW</c:v>
                </c:pt>
                <c:pt idx="1">
                  <c:v>2-2.99MW</c:v>
                </c:pt>
                <c:pt idx="2">
                  <c:v>3-3.99MW</c:v>
                </c:pt>
                <c:pt idx="3">
                  <c:v>4-5.99MW</c:v>
                </c:pt>
                <c:pt idx="4">
                  <c:v>6-7MW</c:v>
                </c:pt>
                <c:pt idx="5">
                  <c:v>7+</c:v>
                </c:pt>
              </c:strCache>
            </c:strRef>
          </c:cat>
          <c:val>
            <c:numRef>
              <c:f>'Order and Service summary'!$T$3:$T$8</c:f>
              <c:numCache>
                <c:formatCode>0</c:formatCode>
                <c:ptCount val="6"/>
                <c:pt idx="0">
                  <c:v>364.70588235294116</c:v>
                </c:pt>
                <c:pt idx="1">
                  <c:v>1080</c:v>
                </c:pt>
                <c:pt idx="2">
                  <c:v>481.48484848484878</c:v>
                </c:pt>
                <c:pt idx="3">
                  <c:v>0</c:v>
                </c:pt>
              </c:numCache>
            </c:numRef>
          </c:val>
          <c:extLst>
            <c:ext xmlns:c16="http://schemas.microsoft.com/office/drawing/2014/chart" uri="{C3380CC4-5D6E-409C-BE32-E72D297353CC}">
              <c16:uniqueId val="{00000002-276F-4025-B2F8-C00ECC13F013}"/>
            </c:ext>
          </c:extLst>
        </c:ser>
        <c:ser>
          <c:idx val="3"/>
          <c:order val="3"/>
          <c:tx>
            <c:strRef>
              <c:f>'Order and Service summary'!$U$2</c:f>
              <c:strCache>
                <c:ptCount val="1"/>
                <c:pt idx="0">
                  <c:v>2015</c:v>
                </c:pt>
              </c:strCache>
            </c:strRef>
          </c:tx>
          <c:spPr>
            <a:solidFill>
              <a:schemeClr val="accent4"/>
            </a:solidFill>
            <a:ln>
              <a:noFill/>
            </a:ln>
            <a:effectLst/>
          </c:spPr>
          <c:invertIfNegative val="0"/>
          <c:cat>
            <c:strRef>
              <c:f>'Order and Service summary'!$Q$3:$Q$8</c:f>
              <c:strCache>
                <c:ptCount val="6"/>
                <c:pt idx="0">
                  <c:v>&gt;2MW</c:v>
                </c:pt>
                <c:pt idx="1">
                  <c:v>2-2.99MW</c:v>
                </c:pt>
                <c:pt idx="2">
                  <c:v>3-3.99MW</c:v>
                </c:pt>
                <c:pt idx="3">
                  <c:v>4-5.99MW</c:v>
                </c:pt>
                <c:pt idx="4">
                  <c:v>6-7MW</c:v>
                </c:pt>
                <c:pt idx="5">
                  <c:v>7+</c:v>
                </c:pt>
              </c:strCache>
            </c:strRef>
          </c:cat>
          <c:val>
            <c:numRef>
              <c:f>'Order and Service summary'!$U$3:$U$8</c:f>
              <c:numCache>
                <c:formatCode>0</c:formatCode>
                <c:ptCount val="6"/>
                <c:pt idx="0">
                  <c:v>70</c:v>
                </c:pt>
                <c:pt idx="1">
                  <c:v>1470</c:v>
                </c:pt>
                <c:pt idx="2">
                  <c:v>1081.9378516657994</c:v>
                </c:pt>
                <c:pt idx="3">
                  <c:v>0</c:v>
                </c:pt>
              </c:numCache>
            </c:numRef>
          </c:val>
          <c:extLst>
            <c:ext xmlns:c16="http://schemas.microsoft.com/office/drawing/2014/chart" uri="{C3380CC4-5D6E-409C-BE32-E72D297353CC}">
              <c16:uniqueId val="{00000003-276F-4025-B2F8-C00ECC13F013}"/>
            </c:ext>
          </c:extLst>
        </c:ser>
        <c:ser>
          <c:idx val="4"/>
          <c:order val="4"/>
          <c:tx>
            <c:strRef>
              <c:f>'Order and Service summary'!$V$2</c:f>
              <c:strCache>
                <c:ptCount val="1"/>
                <c:pt idx="0">
                  <c:v>2016</c:v>
                </c:pt>
              </c:strCache>
            </c:strRef>
          </c:tx>
          <c:spPr>
            <a:solidFill>
              <a:schemeClr val="accent5"/>
            </a:solidFill>
            <a:ln>
              <a:noFill/>
            </a:ln>
            <a:effectLst/>
          </c:spPr>
          <c:invertIfNegative val="0"/>
          <c:cat>
            <c:strRef>
              <c:f>'Order and Service summary'!$Q$3:$Q$8</c:f>
              <c:strCache>
                <c:ptCount val="6"/>
                <c:pt idx="0">
                  <c:v>&gt;2MW</c:v>
                </c:pt>
                <c:pt idx="1">
                  <c:v>2-2.99MW</c:v>
                </c:pt>
                <c:pt idx="2">
                  <c:v>3-3.99MW</c:v>
                </c:pt>
                <c:pt idx="3">
                  <c:v>4-5.99MW</c:v>
                </c:pt>
                <c:pt idx="4">
                  <c:v>6-7MW</c:v>
                </c:pt>
                <c:pt idx="5">
                  <c:v>7+</c:v>
                </c:pt>
              </c:strCache>
            </c:strRef>
          </c:cat>
          <c:val>
            <c:numRef>
              <c:f>'Order and Service summary'!$V$3:$V$8</c:f>
              <c:numCache>
                <c:formatCode>0</c:formatCode>
                <c:ptCount val="6"/>
                <c:pt idx="0">
                  <c:v>15</c:v>
                </c:pt>
                <c:pt idx="1">
                  <c:v>1642.9636363636364</c:v>
                </c:pt>
                <c:pt idx="2">
                  <c:v>1136.6095740008777</c:v>
                </c:pt>
                <c:pt idx="3">
                  <c:v>0</c:v>
                </c:pt>
              </c:numCache>
            </c:numRef>
          </c:val>
          <c:extLst>
            <c:ext xmlns:c16="http://schemas.microsoft.com/office/drawing/2014/chart" uri="{C3380CC4-5D6E-409C-BE32-E72D297353CC}">
              <c16:uniqueId val="{00000004-276F-4025-B2F8-C00ECC13F013}"/>
            </c:ext>
          </c:extLst>
        </c:ser>
        <c:ser>
          <c:idx val="5"/>
          <c:order val="5"/>
          <c:tx>
            <c:strRef>
              <c:f>'Order and Service summary'!$W$2</c:f>
              <c:strCache>
                <c:ptCount val="1"/>
                <c:pt idx="0">
                  <c:v>2017</c:v>
                </c:pt>
              </c:strCache>
            </c:strRef>
          </c:tx>
          <c:spPr>
            <a:solidFill>
              <a:schemeClr val="accent6"/>
            </a:solidFill>
            <a:ln>
              <a:noFill/>
            </a:ln>
            <a:effectLst/>
          </c:spPr>
          <c:invertIfNegative val="0"/>
          <c:cat>
            <c:strRef>
              <c:f>'Order and Service summary'!$Q$3:$Q$8</c:f>
              <c:strCache>
                <c:ptCount val="6"/>
                <c:pt idx="0">
                  <c:v>&gt;2MW</c:v>
                </c:pt>
                <c:pt idx="1">
                  <c:v>2-2.99MW</c:v>
                </c:pt>
                <c:pt idx="2">
                  <c:v>3-3.99MW</c:v>
                </c:pt>
                <c:pt idx="3">
                  <c:v>4-5.99MW</c:v>
                </c:pt>
                <c:pt idx="4">
                  <c:v>6-7MW</c:v>
                </c:pt>
                <c:pt idx="5">
                  <c:v>7+</c:v>
                </c:pt>
              </c:strCache>
            </c:strRef>
          </c:cat>
          <c:val>
            <c:numRef>
              <c:f>'Order and Service summary'!$W$3:$W$8</c:f>
              <c:numCache>
                <c:formatCode>0</c:formatCode>
                <c:ptCount val="6"/>
                <c:pt idx="0">
                  <c:v>0</c:v>
                </c:pt>
                <c:pt idx="1">
                  <c:v>1729.8636363636365</c:v>
                </c:pt>
                <c:pt idx="2">
                  <c:v>1261.2067355476966</c:v>
                </c:pt>
                <c:pt idx="3">
                  <c:v>164.5</c:v>
                </c:pt>
              </c:numCache>
            </c:numRef>
          </c:val>
          <c:extLst>
            <c:ext xmlns:c16="http://schemas.microsoft.com/office/drawing/2014/chart" uri="{C3380CC4-5D6E-409C-BE32-E72D297353CC}">
              <c16:uniqueId val="{00000005-276F-4025-B2F8-C00ECC13F013}"/>
            </c:ext>
          </c:extLst>
        </c:ser>
        <c:ser>
          <c:idx val="6"/>
          <c:order val="6"/>
          <c:tx>
            <c:strRef>
              <c:f>'Order and Service summary'!$X$2</c:f>
              <c:strCache>
                <c:ptCount val="1"/>
                <c:pt idx="0">
                  <c:v>2018</c:v>
                </c:pt>
              </c:strCache>
            </c:strRef>
          </c:tx>
          <c:spPr>
            <a:solidFill>
              <a:schemeClr val="accent1">
                <a:lumMod val="60000"/>
              </a:schemeClr>
            </a:solidFill>
            <a:ln>
              <a:noFill/>
            </a:ln>
            <a:effectLst/>
          </c:spPr>
          <c:invertIfNegative val="0"/>
          <c:cat>
            <c:strRef>
              <c:f>'Order and Service summary'!$Q$3:$Q$8</c:f>
              <c:strCache>
                <c:ptCount val="6"/>
                <c:pt idx="0">
                  <c:v>&gt;2MW</c:v>
                </c:pt>
                <c:pt idx="1">
                  <c:v>2-2.99MW</c:v>
                </c:pt>
                <c:pt idx="2">
                  <c:v>3-3.99MW</c:v>
                </c:pt>
                <c:pt idx="3">
                  <c:v>4-5.99MW</c:v>
                </c:pt>
                <c:pt idx="4">
                  <c:v>6-7MW</c:v>
                </c:pt>
                <c:pt idx="5">
                  <c:v>7+</c:v>
                </c:pt>
              </c:strCache>
            </c:strRef>
          </c:cat>
          <c:val>
            <c:numRef>
              <c:f>'Order and Service summary'!$X$3:$X$8</c:f>
              <c:numCache>
                <c:formatCode>0</c:formatCode>
                <c:ptCount val="6"/>
                <c:pt idx="0" formatCode="General">
                  <c:v>0</c:v>
                </c:pt>
                <c:pt idx="1">
                  <c:v>1460</c:v>
                </c:pt>
                <c:pt idx="2">
                  <c:v>1311.9334535284192</c:v>
                </c:pt>
                <c:pt idx="3">
                  <c:v>725.0595238095234</c:v>
                </c:pt>
              </c:numCache>
            </c:numRef>
          </c:val>
          <c:extLst>
            <c:ext xmlns:c16="http://schemas.microsoft.com/office/drawing/2014/chart" uri="{C3380CC4-5D6E-409C-BE32-E72D297353CC}">
              <c16:uniqueId val="{00000006-276F-4025-B2F8-C00ECC13F013}"/>
            </c:ext>
          </c:extLst>
        </c:ser>
        <c:ser>
          <c:idx val="7"/>
          <c:order val="7"/>
          <c:tx>
            <c:strRef>
              <c:f>'Order and Service summary'!$Y$2</c:f>
              <c:strCache>
                <c:ptCount val="1"/>
                <c:pt idx="0">
                  <c:v>2019</c:v>
                </c:pt>
              </c:strCache>
            </c:strRef>
          </c:tx>
          <c:spPr>
            <a:solidFill>
              <a:schemeClr val="accent2">
                <a:lumMod val="60000"/>
              </a:schemeClr>
            </a:solidFill>
            <a:ln>
              <a:noFill/>
            </a:ln>
            <a:effectLst/>
          </c:spPr>
          <c:invertIfNegative val="0"/>
          <c:cat>
            <c:strRef>
              <c:f>'Order and Service summary'!$Q$3:$Q$8</c:f>
              <c:strCache>
                <c:ptCount val="6"/>
                <c:pt idx="0">
                  <c:v>&gt;2MW</c:v>
                </c:pt>
                <c:pt idx="1">
                  <c:v>2-2.99MW</c:v>
                </c:pt>
                <c:pt idx="2">
                  <c:v>3-3.99MW</c:v>
                </c:pt>
                <c:pt idx="3">
                  <c:v>4-5.99MW</c:v>
                </c:pt>
                <c:pt idx="4">
                  <c:v>6-7MW</c:v>
                </c:pt>
                <c:pt idx="5">
                  <c:v>7+</c:v>
                </c:pt>
              </c:strCache>
            </c:strRef>
          </c:cat>
          <c:val>
            <c:numRef>
              <c:f>'Order and Service summary'!$Y$3:$Y$8</c:f>
              <c:numCache>
                <c:formatCode>0</c:formatCode>
                <c:ptCount val="6"/>
                <c:pt idx="0">
                  <c:v>0</c:v>
                </c:pt>
                <c:pt idx="1">
                  <c:v>1590.8181818181818</c:v>
                </c:pt>
                <c:pt idx="2">
                  <c:v>429.3381642512079</c:v>
                </c:pt>
                <c:pt idx="3">
                  <c:v>1435.7674418604649</c:v>
                </c:pt>
              </c:numCache>
            </c:numRef>
          </c:val>
          <c:extLst>
            <c:ext xmlns:c16="http://schemas.microsoft.com/office/drawing/2014/chart" uri="{C3380CC4-5D6E-409C-BE32-E72D297353CC}">
              <c16:uniqueId val="{00000000-DDD6-4C2D-BF15-9D190BF70EE0}"/>
            </c:ext>
          </c:extLst>
        </c:ser>
        <c:ser>
          <c:idx val="8"/>
          <c:order val="8"/>
          <c:tx>
            <c:strRef>
              <c:f>'Order and Service summary'!$Z$2</c:f>
              <c:strCache>
                <c:ptCount val="1"/>
                <c:pt idx="0">
                  <c:v>2020</c:v>
                </c:pt>
              </c:strCache>
            </c:strRef>
          </c:tx>
          <c:spPr>
            <a:solidFill>
              <a:schemeClr val="accent3">
                <a:lumMod val="60000"/>
              </a:schemeClr>
            </a:solidFill>
            <a:ln>
              <a:noFill/>
            </a:ln>
            <a:effectLst/>
          </c:spPr>
          <c:invertIfNegative val="0"/>
          <c:cat>
            <c:strRef>
              <c:f>'Order and Service summary'!$Q$3:$Q$8</c:f>
              <c:strCache>
                <c:ptCount val="6"/>
                <c:pt idx="0">
                  <c:v>&gt;2MW</c:v>
                </c:pt>
                <c:pt idx="1">
                  <c:v>2-2.99MW</c:v>
                </c:pt>
                <c:pt idx="2">
                  <c:v>3-3.99MW</c:v>
                </c:pt>
                <c:pt idx="3">
                  <c:v>4-5.99MW</c:v>
                </c:pt>
                <c:pt idx="4">
                  <c:v>6-7MW</c:v>
                </c:pt>
                <c:pt idx="5">
                  <c:v>7+</c:v>
                </c:pt>
              </c:strCache>
            </c:strRef>
          </c:cat>
          <c:val>
            <c:numRef>
              <c:f>'Order and Service summary'!$Z$3:$Z$8</c:f>
              <c:numCache>
                <c:formatCode>0</c:formatCode>
                <c:ptCount val="6"/>
                <c:pt idx="0">
                  <c:v>0</c:v>
                </c:pt>
                <c:pt idx="1">
                  <c:v>723</c:v>
                </c:pt>
                <c:pt idx="2" formatCode="General">
                  <c:v>2485</c:v>
                </c:pt>
                <c:pt idx="3" formatCode="General">
                  <c:v>7134</c:v>
                </c:pt>
                <c:pt idx="4" formatCode="General">
                  <c:v>1313</c:v>
                </c:pt>
              </c:numCache>
            </c:numRef>
          </c:val>
          <c:extLst>
            <c:ext xmlns:c16="http://schemas.microsoft.com/office/drawing/2014/chart" uri="{C3380CC4-5D6E-409C-BE32-E72D297353CC}">
              <c16:uniqueId val="{00000001-DDD6-4C2D-BF15-9D190BF70EE0}"/>
            </c:ext>
          </c:extLst>
        </c:ser>
        <c:ser>
          <c:idx val="9"/>
          <c:order val="9"/>
          <c:tx>
            <c:strRef>
              <c:f>'Order and Service summary'!$AA$2</c:f>
              <c:strCache>
                <c:ptCount val="1"/>
                <c:pt idx="0">
                  <c:v>2021</c:v>
                </c:pt>
              </c:strCache>
            </c:strRef>
          </c:tx>
          <c:spPr>
            <a:solidFill>
              <a:schemeClr val="accent4">
                <a:lumMod val="60000"/>
              </a:schemeClr>
            </a:solidFill>
            <a:ln>
              <a:noFill/>
            </a:ln>
            <a:effectLst/>
          </c:spPr>
          <c:invertIfNegative val="0"/>
          <c:cat>
            <c:strRef>
              <c:f>'Order and Service summary'!$Q$3:$Q$8</c:f>
              <c:strCache>
                <c:ptCount val="6"/>
                <c:pt idx="0">
                  <c:v>&gt;2MW</c:v>
                </c:pt>
                <c:pt idx="1">
                  <c:v>2-2.99MW</c:v>
                </c:pt>
                <c:pt idx="2">
                  <c:v>3-3.99MW</c:v>
                </c:pt>
                <c:pt idx="3">
                  <c:v>4-5.99MW</c:v>
                </c:pt>
                <c:pt idx="4">
                  <c:v>6-7MW</c:v>
                </c:pt>
                <c:pt idx="5">
                  <c:v>7+</c:v>
                </c:pt>
              </c:strCache>
            </c:strRef>
          </c:cat>
          <c:val>
            <c:numRef>
              <c:f>'Order and Service summary'!$AA$3:$AA$8</c:f>
              <c:numCache>
                <c:formatCode>General</c:formatCode>
                <c:ptCount val="6"/>
                <c:pt idx="0" formatCode="0">
                  <c:v>0</c:v>
                </c:pt>
                <c:pt idx="1">
                  <c:v>1008</c:v>
                </c:pt>
                <c:pt idx="2">
                  <c:v>811</c:v>
                </c:pt>
                <c:pt idx="3">
                  <c:v>4446</c:v>
                </c:pt>
                <c:pt idx="4">
                  <c:v>3284</c:v>
                </c:pt>
                <c:pt idx="5">
                  <c:v>733</c:v>
                </c:pt>
              </c:numCache>
            </c:numRef>
          </c:val>
          <c:extLst>
            <c:ext xmlns:c16="http://schemas.microsoft.com/office/drawing/2014/chart" uri="{C3380CC4-5D6E-409C-BE32-E72D297353CC}">
              <c16:uniqueId val="{00000002-DDD6-4C2D-BF15-9D190BF70EE0}"/>
            </c:ext>
          </c:extLst>
        </c:ser>
        <c:ser>
          <c:idx val="10"/>
          <c:order val="10"/>
          <c:tx>
            <c:strRef>
              <c:f>'Order and Service summary'!$AB$2</c:f>
              <c:strCache>
                <c:ptCount val="1"/>
                <c:pt idx="0">
                  <c:v>2022</c:v>
                </c:pt>
              </c:strCache>
            </c:strRef>
          </c:tx>
          <c:spPr>
            <a:solidFill>
              <a:schemeClr val="accent5">
                <a:lumMod val="60000"/>
              </a:schemeClr>
            </a:solidFill>
            <a:ln>
              <a:noFill/>
            </a:ln>
            <a:effectLst/>
          </c:spPr>
          <c:invertIfNegative val="0"/>
          <c:cat>
            <c:strRef>
              <c:f>'Order and Service summary'!$Q$3:$Q$8</c:f>
              <c:strCache>
                <c:ptCount val="6"/>
                <c:pt idx="0">
                  <c:v>&gt;2MW</c:v>
                </c:pt>
                <c:pt idx="1">
                  <c:v>2-2.99MW</c:v>
                </c:pt>
                <c:pt idx="2">
                  <c:v>3-3.99MW</c:v>
                </c:pt>
                <c:pt idx="3">
                  <c:v>4-5.99MW</c:v>
                </c:pt>
                <c:pt idx="4">
                  <c:v>6-7MW</c:v>
                </c:pt>
                <c:pt idx="5">
                  <c:v>7+</c:v>
                </c:pt>
              </c:strCache>
            </c:strRef>
          </c:cat>
          <c:val>
            <c:numRef>
              <c:f>'Order and Service summary'!$AB$3:$AB$8</c:f>
              <c:numCache>
                <c:formatCode>General</c:formatCode>
                <c:ptCount val="6"/>
                <c:pt idx="0">
                  <c:v>0</c:v>
                </c:pt>
                <c:pt idx="1">
                  <c:v>224</c:v>
                </c:pt>
                <c:pt idx="2" formatCode="#,##0">
                  <c:v>123</c:v>
                </c:pt>
                <c:pt idx="3" formatCode="#,##0">
                  <c:v>4962</c:v>
                </c:pt>
                <c:pt idx="4" formatCode="#,##0">
                  <c:v>2588</c:v>
                </c:pt>
                <c:pt idx="5" formatCode="#,##0">
                  <c:v>650</c:v>
                </c:pt>
              </c:numCache>
            </c:numRef>
          </c:val>
          <c:extLst>
            <c:ext xmlns:c16="http://schemas.microsoft.com/office/drawing/2014/chart" uri="{C3380CC4-5D6E-409C-BE32-E72D297353CC}">
              <c16:uniqueId val="{00000003-DDD6-4C2D-BF15-9D190BF70EE0}"/>
            </c:ext>
          </c:extLst>
        </c:ser>
        <c:ser>
          <c:idx val="11"/>
          <c:order val="11"/>
          <c:tx>
            <c:strRef>
              <c:f>'Order and Service summary'!$AC$2</c:f>
              <c:strCache>
                <c:ptCount val="1"/>
                <c:pt idx="0">
                  <c:v>2023</c:v>
                </c:pt>
              </c:strCache>
            </c:strRef>
          </c:tx>
          <c:spPr>
            <a:solidFill>
              <a:schemeClr val="accent6">
                <a:lumMod val="60000"/>
              </a:schemeClr>
            </a:solidFill>
            <a:ln>
              <a:noFill/>
            </a:ln>
            <a:effectLst/>
          </c:spPr>
          <c:invertIfNegative val="0"/>
          <c:cat>
            <c:strRef>
              <c:f>'Order and Service summary'!$Q$3:$Q$8</c:f>
              <c:strCache>
                <c:ptCount val="6"/>
                <c:pt idx="0">
                  <c:v>&gt;2MW</c:v>
                </c:pt>
                <c:pt idx="1">
                  <c:v>2-2.99MW</c:v>
                </c:pt>
                <c:pt idx="2">
                  <c:v>3-3.99MW</c:v>
                </c:pt>
                <c:pt idx="3">
                  <c:v>4-5.99MW</c:v>
                </c:pt>
                <c:pt idx="4">
                  <c:v>6-7MW</c:v>
                </c:pt>
                <c:pt idx="5">
                  <c:v>7+</c:v>
                </c:pt>
              </c:strCache>
            </c:strRef>
          </c:cat>
          <c:val>
            <c:numRef>
              <c:f>'Order and Service summary'!$AC$3:$AC$8</c:f>
              <c:numCache>
                <c:formatCode>#,##0</c:formatCode>
                <c:ptCount val="6"/>
                <c:pt idx="0" formatCode="General">
                  <c:v>0</c:v>
                </c:pt>
                <c:pt idx="1">
                  <c:v>806</c:v>
                </c:pt>
                <c:pt idx="2">
                  <c:v>130</c:v>
                </c:pt>
                <c:pt idx="3">
                  <c:v>9281</c:v>
                </c:pt>
                <c:pt idx="4">
                  <c:v>1937</c:v>
                </c:pt>
                <c:pt idx="5">
                  <c:v>3168</c:v>
                </c:pt>
              </c:numCache>
            </c:numRef>
          </c:val>
          <c:extLst>
            <c:ext xmlns:c16="http://schemas.microsoft.com/office/drawing/2014/chart" uri="{C3380CC4-5D6E-409C-BE32-E72D297353CC}">
              <c16:uniqueId val="{00000004-DDD6-4C2D-BF15-9D190BF70EE0}"/>
            </c:ext>
          </c:extLst>
        </c:ser>
        <c:dLbls>
          <c:showLegendKey val="0"/>
          <c:showVal val="0"/>
          <c:showCatName val="0"/>
          <c:showSerName val="0"/>
          <c:showPercent val="0"/>
          <c:showBubbleSize val="0"/>
        </c:dLbls>
        <c:gapWidth val="219"/>
        <c:overlap val="-27"/>
        <c:axId val="189735432"/>
        <c:axId val="189735824"/>
      </c:barChart>
      <c:catAx>
        <c:axId val="189735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9735824"/>
        <c:crosses val="autoZero"/>
        <c:auto val="1"/>
        <c:lblAlgn val="ctr"/>
        <c:lblOffset val="100"/>
        <c:noMultiLvlLbl val="0"/>
      </c:catAx>
      <c:valAx>
        <c:axId val="189735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9735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Size split</a:t>
            </a:r>
          </a:p>
        </c:rich>
      </c:tx>
      <c:overlay val="0"/>
      <c:spPr>
        <a:noFill/>
        <a:ln>
          <a:noFill/>
        </a:ln>
        <a:effectLst/>
      </c:spPr>
    </c:title>
    <c:autoTitleDeleted val="0"/>
    <c:plotArea>
      <c:layout/>
      <c:doughnutChart>
        <c:varyColors val="1"/>
        <c:ser>
          <c:idx val="0"/>
          <c:order val="0"/>
          <c:tx>
            <c:strRef>
              <c:f>'Order and Service summary'!$T$2</c:f>
              <c:strCache>
                <c:ptCount val="1"/>
                <c:pt idx="0">
                  <c:v>2014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9B6-4D46-A504-A200490AEF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9B6-4D46-A504-A200490AEFD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29B6-4D46-A504-A200490AEFD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29B6-4D46-A504-A200490AEFDC}"/>
              </c:ext>
            </c:extLst>
          </c:dPt>
          <c:cat>
            <c:strRef>
              <c:f>'Order and Service summary'!$Q$3:$Q$8</c:f>
              <c:strCache>
                <c:ptCount val="6"/>
                <c:pt idx="0">
                  <c:v>&gt;2MW</c:v>
                </c:pt>
                <c:pt idx="1">
                  <c:v>2-2.99MW</c:v>
                </c:pt>
                <c:pt idx="2">
                  <c:v>3-3.99MW</c:v>
                </c:pt>
                <c:pt idx="3">
                  <c:v>4-5.99MW</c:v>
                </c:pt>
                <c:pt idx="4">
                  <c:v>6-7MW</c:v>
                </c:pt>
                <c:pt idx="5">
                  <c:v>7+</c:v>
                </c:pt>
              </c:strCache>
            </c:strRef>
          </c:cat>
          <c:val>
            <c:numRef>
              <c:f>'Order and Service summary'!$T$3:$T$8</c:f>
              <c:numCache>
                <c:formatCode>0</c:formatCode>
                <c:ptCount val="6"/>
                <c:pt idx="0">
                  <c:v>364.70588235294116</c:v>
                </c:pt>
                <c:pt idx="1">
                  <c:v>1080</c:v>
                </c:pt>
                <c:pt idx="2">
                  <c:v>481.48484848484878</c:v>
                </c:pt>
                <c:pt idx="3">
                  <c:v>0</c:v>
                </c:pt>
              </c:numCache>
            </c:numRef>
          </c:val>
          <c:extLst>
            <c:ext xmlns:c16="http://schemas.microsoft.com/office/drawing/2014/chart" uri="{C3380CC4-5D6E-409C-BE32-E72D297353CC}">
              <c16:uniqueId val="{00000008-29B6-4D46-A504-A200490AEFDC}"/>
            </c:ext>
          </c:extLst>
        </c:ser>
        <c:ser>
          <c:idx val="1"/>
          <c:order val="1"/>
          <c:tx>
            <c:strRef>
              <c:f>'Order and Service summary'!$U$2</c:f>
              <c:strCache>
                <c:ptCount val="1"/>
                <c:pt idx="0">
                  <c:v>2015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A-29B6-4D46-A504-A200490AEF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C-29B6-4D46-A504-A200490AEFD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E-29B6-4D46-A504-A200490AEFD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0-29B6-4D46-A504-A200490AEFDC}"/>
              </c:ext>
            </c:extLst>
          </c:dPt>
          <c:cat>
            <c:strRef>
              <c:f>'Order and Service summary'!$Q$3:$Q$8</c:f>
              <c:strCache>
                <c:ptCount val="6"/>
                <c:pt idx="0">
                  <c:v>&gt;2MW</c:v>
                </c:pt>
                <c:pt idx="1">
                  <c:v>2-2.99MW</c:v>
                </c:pt>
                <c:pt idx="2">
                  <c:v>3-3.99MW</c:v>
                </c:pt>
                <c:pt idx="3">
                  <c:v>4-5.99MW</c:v>
                </c:pt>
                <c:pt idx="4">
                  <c:v>6-7MW</c:v>
                </c:pt>
                <c:pt idx="5">
                  <c:v>7+</c:v>
                </c:pt>
              </c:strCache>
            </c:strRef>
          </c:cat>
          <c:val>
            <c:numRef>
              <c:f>'Order and Service summary'!$U$3:$U$8</c:f>
              <c:numCache>
                <c:formatCode>0</c:formatCode>
                <c:ptCount val="6"/>
                <c:pt idx="0">
                  <c:v>70</c:v>
                </c:pt>
                <c:pt idx="1">
                  <c:v>1470</c:v>
                </c:pt>
                <c:pt idx="2">
                  <c:v>1081.9378516657994</c:v>
                </c:pt>
                <c:pt idx="3">
                  <c:v>0</c:v>
                </c:pt>
              </c:numCache>
            </c:numRef>
          </c:val>
          <c:extLst>
            <c:ext xmlns:c16="http://schemas.microsoft.com/office/drawing/2014/chart" uri="{C3380CC4-5D6E-409C-BE32-E72D297353CC}">
              <c16:uniqueId val="{00000011-29B6-4D46-A504-A200490AEFDC}"/>
            </c:ext>
          </c:extLst>
        </c:ser>
        <c:ser>
          <c:idx val="2"/>
          <c:order val="2"/>
          <c:tx>
            <c:strRef>
              <c:f>'Order and Service summary'!$V$2</c:f>
              <c:strCache>
                <c:ptCount val="1"/>
                <c:pt idx="0">
                  <c:v>2016</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3-29B6-4D46-A504-A200490AEF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15-29B6-4D46-A504-A200490AEFD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17-29B6-4D46-A504-A200490AEFD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9-29B6-4D46-A504-A200490AEFDC}"/>
              </c:ext>
            </c:extLst>
          </c:dPt>
          <c:cat>
            <c:strRef>
              <c:f>'Order and Service summary'!$Q$3:$Q$8</c:f>
              <c:strCache>
                <c:ptCount val="6"/>
                <c:pt idx="0">
                  <c:v>&gt;2MW</c:v>
                </c:pt>
                <c:pt idx="1">
                  <c:v>2-2.99MW</c:v>
                </c:pt>
                <c:pt idx="2">
                  <c:v>3-3.99MW</c:v>
                </c:pt>
                <c:pt idx="3">
                  <c:v>4-5.99MW</c:v>
                </c:pt>
                <c:pt idx="4">
                  <c:v>6-7MW</c:v>
                </c:pt>
                <c:pt idx="5">
                  <c:v>7+</c:v>
                </c:pt>
              </c:strCache>
            </c:strRef>
          </c:cat>
          <c:val>
            <c:numRef>
              <c:f>'Order and Service summary'!$V$3:$V$8</c:f>
              <c:numCache>
                <c:formatCode>0</c:formatCode>
                <c:ptCount val="6"/>
                <c:pt idx="0">
                  <c:v>15</c:v>
                </c:pt>
                <c:pt idx="1">
                  <c:v>1642.9636363636364</c:v>
                </c:pt>
                <c:pt idx="2">
                  <c:v>1136.6095740008777</c:v>
                </c:pt>
                <c:pt idx="3">
                  <c:v>0</c:v>
                </c:pt>
              </c:numCache>
            </c:numRef>
          </c:val>
          <c:extLst>
            <c:ext xmlns:c16="http://schemas.microsoft.com/office/drawing/2014/chart" uri="{C3380CC4-5D6E-409C-BE32-E72D297353CC}">
              <c16:uniqueId val="{0000001A-29B6-4D46-A504-A200490AEFDC}"/>
            </c:ext>
          </c:extLst>
        </c:ser>
        <c:ser>
          <c:idx val="3"/>
          <c:order val="3"/>
          <c:tx>
            <c:strRef>
              <c:f>'Order and Service summary'!$W$2</c:f>
              <c:strCache>
                <c:ptCount val="1"/>
                <c:pt idx="0">
                  <c:v>2017</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C-29B6-4D46-A504-A200490AEF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1E-29B6-4D46-A504-A200490AEFD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20-29B6-4D46-A504-A200490AEFD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22-29B6-4D46-A504-A200490AEFDC}"/>
              </c:ext>
            </c:extLst>
          </c:dPt>
          <c:cat>
            <c:strRef>
              <c:f>'Order and Service summary'!$Q$3:$Q$8</c:f>
              <c:strCache>
                <c:ptCount val="6"/>
                <c:pt idx="0">
                  <c:v>&gt;2MW</c:v>
                </c:pt>
                <c:pt idx="1">
                  <c:v>2-2.99MW</c:v>
                </c:pt>
                <c:pt idx="2">
                  <c:v>3-3.99MW</c:v>
                </c:pt>
                <c:pt idx="3">
                  <c:v>4-5.99MW</c:v>
                </c:pt>
                <c:pt idx="4">
                  <c:v>6-7MW</c:v>
                </c:pt>
                <c:pt idx="5">
                  <c:v>7+</c:v>
                </c:pt>
              </c:strCache>
            </c:strRef>
          </c:cat>
          <c:val>
            <c:numRef>
              <c:f>'Order and Service summary'!$W$3:$W$8</c:f>
              <c:numCache>
                <c:formatCode>0</c:formatCode>
                <c:ptCount val="6"/>
                <c:pt idx="0">
                  <c:v>0</c:v>
                </c:pt>
                <c:pt idx="1">
                  <c:v>1729.8636363636365</c:v>
                </c:pt>
                <c:pt idx="2">
                  <c:v>1261.2067355476966</c:v>
                </c:pt>
                <c:pt idx="3">
                  <c:v>164.5</c:v>
                </c:pt>
              </c:numCache>
            </c:numRef>
          </c:val>
          <c:extLst>
            <c:ext xmlns:c16="http://schemas.microsoft.com/office/drawing/2014/chart" uri="{C3380CC4-5D6E-409C-BE32-E72D297353CC}">
              <c16:uniqueId val="{00000023-29B6-4D46-A504-A200490AEFDC}"/>
            </c:ext>
          </c:extLst>
        </c:ser>
        <c:ser>
          <c:idx val="4"/>
          <c:order val="4"/>
          <c:tx>
            <c:strRef>
              <c:f>'Order and Service summary'!$X$2</c:f>
              <c:strCache>
                <c:ptCount val="1"/>
                <c:pt idx="0">
                  <c:v>2018</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25-29B6-4D46-A504-A200490AEF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27-29B6-4D46-A504-A200490AEFD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29-29B6-4D46-A504-A200490AEFD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2B-29B6-4D46-A504-A200490AEFDC}"/>
              </c:ext>
            </c:extLst>
          </c:dPt>
          <c:cat>
            <c:strRef>
              <c:f>'Order and Service summary'!$Q$3:$Q$8</c:f>
              <c:strCache>
                <c:ptCount val="6"/>
                <c:pt idx="0">
                  <c:v>&gt;2MW</c:v>
                </c:pt>
                <c:pt idx="1">
                  <c:v>2-2.99MW</c:v>
                </c:pt>
                <c:pt idx="2">
                  <c:v>3-3.99MW</c:v>
                </c:pt>
                <c:pt idx="3">
                  <c:v>4-5.99MW</c:v>
                </c:pt>
                <c:pt idx="4">
                  <c:v>6-7MW</c:v>
                </c:pt>
                <c:pt idx="5">
                  <c:v>7+</c:v>
                </c:pt>
              </c:strCache>
            </c:strRef>
          </c:cat>
          <c:val>
            <c:numRef>
              <c:f>'Order and Service summary'!$X$3:$X$8</c:f>
              <c:numCache>
                <c:formatCode>0</c:formatCode>
                <c:ptCount val="6"/>
                <c:pt idx="0" formatCode="General">
                  <c:v>0</c:v>
                </c:pt>
                <c:pt idx="1">
                  <c:v>1460</c:v>
                </c:pt>
                <c:pt idx="2">
                  <c:v>1311.9334535284192</c:v>
                </c:pt>
                <c:pt idx="3">
                  <c:v>725.0595238095234</c:v>
                </c:pt>
              </c:numCache>
            </c:numRef>
          </c:val>
          <c:extLst>
            <c:ext xmlns:c16="http://schemas.microsoft.com/office/drawing/2014/chart" uri="{C3380CC4-5D6E-409C-BE32-E72D297353CC}">
              <c16:uniqueId val="{0000002C-29B6-4D46-A504-A200490AEFDC}"/>
            </c:ext>
          </c:extLst>
        </c:ser>
        <c:ser>
          <c:idx val="5"/>
          <c:order val="5"/>
          <c:tx>
            <c:strRef>
              <c:f>'Order and Service summary'!$Y$2</c:f>
              <c:strCache>
                <c:ptCount val="1"/>
                <c:pt idx="0">
                  <c:v>2019</c:v>
                </c:pt>
              </c:strCache>
            </c:strRef>
          </c:tx>
          <c:cat>
            <c:strRef>
              <c:f>'Order and Service summary'!$Q$3:$Q$8</c:f>
              <c:strCache>
                <c:ptCount val="6"/>
                <c:pt idx="0">
                  <c:v>&gt;2MW</c:v>
                </c:pt>
                <c:pt idx="1">
                  <c:v>2-2.99MW</c:v>
                </c:pt>
                <c:pt idx="2">
                  <c:v>3-3.99MW</c:v>
                </c:pt>
                <c:pt idx="3">
                  <c:v>4-5.99MW</c:v>
                </c:pt>
                <c:pt idx="4">
                  <c:v>6-7MW</c:v>
                </c:pt>
                <c:pt idx="5">
                  <c:v>7+</c:v>
                </c:pt>
              </c:strCache>
            </c:strRef>
          </c:cat>
          <c:val>
            <c:numRef>
              <c:f>'Order and Service summary'!$Y$3:$Y$8</c:f>
              <c:numCache>
                <c:formatCode>0</c:formatCode>
                <c:ptCount val="6"/>
                <c:pt idx="0">
                  <c:v>0</c:v>
                </c:pt>
                <c:pt idx="1">
                  <c:v>1590.8181818181818</c:v>
                </c:pt>
                <c:pt idx="2">
                  <c:v>429.3381642512079</c:v>
                </c:pt>
                <c:pt idx="3">
                  <c:v>1435.7674418604649</c:v>
                </c:pt>
              </c:numCache>
            </c:numRef>
          </c:val>
          <c:extLst>
            <c:ext xmlns:c16="http://schemas.microsoft.com/office/drawing/2014/chart" uri="{C3380CC4-5D6E-409C-BE32-E72D297353CC}">
              <c16:uniqueId val="{0000002D-29B6-4D46-A504-A200490AEFDC}"/>
            </c:ext>
          </c:extLst>
        </c:ser>
        <c:ser>
          <c:idx val="6"/>
          <c:order val="6"/>
          <c:tx>
            <c:strRef>
              <c:f>'Order and Service summary'!$Z$2</c:f>
              <c:strCache>
                <c:ptCount val="1"/>
                <c:pt idx="0">
                  <c:v>2020</c:v>
                </c:pt>
              </c:strCache>
            </c:strRef>
          </c:tx>
          <c:cat>
            <c:strRef>
              <c:f>'Order and Service summary'!$Q$3:$Q$8</c:f>
              <c:strCache>
                <c:ptCount val="6"/>
                <c:pt idx="0">
                  <c:v>&gt;2MW</c:v>
                </c:pt>
                <c:pt idx="1">
                  <c:v>2-2.99MW</c:v>
                </c:pt>
                <c:pt idx="2">
                  <c:v>3-3.99MW</c:v>
                </c:pt>
                <c:pt idx="3">
                  <c:v>4-5.99MW</c:v>
                </c:pt>
                <c:pt idx="4">
                  <c:v>6-7MW</c:v>
                </c:pt>
                <c:pt idx="5">
                  <c:v>7+</c:v>
                </c:pt>
              </c:strCache>
            </c:strRef>
          </c:cat>
          <c:val>
            <c:numRef>
              <c:f>'Order and Service summary'!$Z$3:$Z$8</c:f>
              <c:numCache>
                <c:formatCode>0</c:formatCode>
                <c:ptCount val="6"/>
                <c:pt idx="0">
                  <c:v>0</c:v>
                </c:pt>
                <c:pt idx="1">
                  <c:v>723</c:v>
                </c:pt>
                <c:pt idx="2" formatCode="General">
                  <c:v>2485</c:v>
                </c:pt>
                <c:pt idx="3" formatCode="General">
                  <c:v>7134</c:v>
                </c:pt>
                <c:pt idx="4" formatCode="General">
                  <c:v>1313</c:v>
                </c:pt>
              </c:numCache>
            </c:numRef>
          </c:val>
          <c:extLst>
            <c:ext xmlns:c16="http://schemas.microsoft.com/office/drawing/2014/chart" uri="{C3380CC4-5D6E-409C-BE32-E72D297353CC}">
              <c16:uniqueId val="{00000028-A509-4B67-8FB0-2CA5CFAE5E81}"/>
            </c:ext>
          </c:extLst>
        </c:ser>
        <c:ser>
          <c:idx val="7"/>
          <c:order val="7"/>
          <c:tx>
            <c:strRef>
              <c:f>'Order and Service summary'!$AA$2</c:f>
              <c:strCache>
                <c:ptCount val="1"/>
                <c:pt idx="0">
                  <c:v>2021</c:v>
                </c:pt>
              </c:strCache>
            </c:strRef>
          </c:tx>
          <c:cat>
            <c:strRef>
              <c:f>'Order and Service summary'!$Q$3:$Q$8</c:f>
              <c:strCache>
                <c:ptCount val="6"/>
                <c:pt idx="0">
                  <c:v>&gt;2MW</c:v>
                </c:pt>
                <c:pt idx="1">
                  <c:v>2-2.99MW</c:v>
                </c:pt>
                <c:pt idx="2">
                  <c:v>3-3.99MW</c:v>
                </c:pt>
                <c:pt idx="3">
                  <c:v>4-5.99MW</c:v>
                </c:pt>
                <c:pt idx="4">
                  <c:v>6-7MW</c:v>
                </c:pt>
                <c:pt idx="5">
                  <c:v>7+</c:v>
                </c:pt>
              </c:strCache>
            </c:strRef>
          </c:cat>
          <c:val>
            <c:numRef>
              <c:f>'Order and Service summary'!$AA$3:$AA$8</c:f>
              <c:numCache>
                <c:formatCode>General</c:formatCode>
                <c:ptCount val="6"/>
                <c:pt idx="0" formatCode="0">
                  <c:v>0</c:v>
                </c:pt>
                <c:pt idx="1">
                  <c:v>1008</c:v>
                </c:pt>
                <c:pt idx="2">
                  <c:v>811</c:v>
                </c:pt>
                <c:pt idx="3">
                  <c:v>4446</c:v>
                </c:pt>
                <c:pt idx="4">
                  <c:v>3284</c:v>
                </c:pt>
                <c:pt idx="5">
                  <c:v>733</c:v>
                </c:pt>
              </c:numCache>
            </c:numRef>
          </c:val>
          <c:extLst>
            <c:ext xmlns:c16="http://schemas.microsoft.com/office/drawing/2014/chart" uri="{C3380CC4-5D6E-409C-BE32-E72D297353CC}">
              <c16:uniqueId val="{00000029-A509-4B67-8FB0-2CA5CFAE5E81}"/>
            </c:ext>
          </c:extLst>
        </c:ser>
        <c:ser>
          <c:idx val="8"/>
          <c:order val="8"/>
          <c:tx>
            <c:strRef>
              <c:f>'Order and Service summary'!$AB$2</c:f>
              <c:strCache>
                <c:ptCount val="1"/>
                <c:pt idx="0">
                  <c:v>2022</c:v>
                </c:pt>
              </c:strCache>
            </c:strRef>
          </c:tx>
          <c:cat>
            <c:strRef>
              <c:f>'Order and Service summary'!$Q$3:$Q$8</c:f>
              <c:strCache>
                <c:ptCount val="6"/>
                <c:pt idx="0">
                  <c:v>&gt;2MW</c:v>
                </c:pt>
                <c:pt idx="1">
                  <c:v>2-2.99MW</c:v>
                </c:pt>
                <c:pt idx="2">
                  <c:v>3-3.99MW</c:v>
                </c:pt>
                <c:pt idx="3">
                  <c:v>4-5.99MW</c:v>
                </c:pt>
                <c:pt idx="4">
                  <c:v>6-7MW</c:v>
                </c:pt>
                <c:pt idx="5">
                  <c:v>7+</c:v>
                </c:pt>
              </c:strCache>
            </c:strRef>
          </c:cat>
          <c:val>
            <c:numRef>
              <c:f>'Order and Service summary'!$AB$3:$AB$8</c:f>
              <c:numCache>
                <c:formatCode>General</c:formatCode>
                <c:ptCount val="6"/>
                <c:pt idx="0">
                  <c:v>0</c:v>
                </c:pt>
                <c:pt idx="1">
                  <c:v>224</c:v>
                </c:pt>
                <c:pt idx="2" formatCode="#,##0">
                  <c:v>123</c:v>
                </c:pt>
                <c:pt idx="3" formatCode="#,##0">
                  <c:v>4962</c:v>
                </c:pt>
                <c:pt idx="4" formatCode="#,##0">
                  <c:v>2588</c:v>
                </c:pt>
                <c:pt idx="5" formatCode="#,##0">
                  <c:v>650</c:v>
                </c:pt>
              </c:numCache>
            </c:numRef>
          </c:val>
          <c:extLst>
            <c:ext xmlns:c16="http://schemas.microsoft.com/office/drawing/2014/chart" uri="{C3380CC4-5D6E-409C-BE32-E72D297353CC}">
              <c16:uniqueId val="{0000002A-A509-4B67-8FB0-2CA5CFAE5E81}"/>
            </c:ext>
          </c:extLst>
        </c:ser>
        <c:ser>
          <c:idx val="9"/>
          <c:order val="9"/>
          <c:tx>
            <c:strRef>
              <c:f>'Order and Service summary'!$AC$2</c:f>
              <c:strCache>
                <c:ptCount val="1"/>
                <c:pt idx="0">
                  <c:v>2023</c:v>
                </c:pt>
              </c:strCache>
            </c:strRef>
          </c:tx>
          <c:cat>
            <c:strRef>
              <c:f>'Order and Service summary'!$Q$3:$Q$8</c:f>
              <c:strCache>
                <c:ptCount val="6"/>
                <c:pt idx="0">
                  <c:v>&gt;2MW</c:v>
                </c:pt>
                <c:pt idx="1">
                  <c:v>2-2.99MW</c:v>
                </c:pt>
                <c:pt idx="2">
                  <c:v>3-3.99MW</c:v>
                </c:pt>
                <c:pt idx="3">
                  <c:v>4-5.99MW</c:v>
                </c:pt>
                <c:pt idx="4">
                  <c:v>6-7MW</c:v>
                </c:pt>
                <c:pt idx="5">
                  <c:v>7+</c:v>
                </c:pt>
              </c:strCache>
            </c:strRef>
          </c:cat>
          <c:val>
            <c:numRef>
              <c:f>'Order and Service summary'!$AC$3:$AC$8</c:f>
              <c:numCache>
                <c:formatCode>#,##0</c:formatCode>
                <c:ptCount val="6"/>
                <c:pt idx="0" formatCode="General">
                  <c:v>0</c:v>
                </c:pt>
                <c:pt idx="1">
                  <c:v>806</c:v>
                </c:pt>
                <c:pt idx="2">
                  <c:v>130</c:v>
                </c:pt>
                <c:pt idx="3">
                  <c:v>9281</c:v>
                </c:pt>
                <c:pt idx="4">
                  <c:v>1937</c:v>
                </c:pt>
                <c:pt idx="5">
                  <c:v>3168</c:v>
                </c:pt>
              </c:numCache>
            </c:numRef>
          </c:val>
          <c:extLst>
            <c:ext xmlns:c16="http://schemas.microsoft.com/office/drawing/2014/chart" uri="{C3380CC4-5D6E-409C-BE32-E72D297353CC}">
              <c16:uniqueId val="{0000002B-A509-4B67-8FB0-2CA5CFAE5E81}"/>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MWs of Energy based</a:t>
            </a:r>
            <a:r>
              <a:rPr lang="en-US" sz="1100" baseline="0"/>
              <a:t> (orange) vs Time based (blue) contracts</a:t>
            </a:r>
            <a:endParaRPr lang="en-US" sz="1100"/>
          </a:p>
        </c:rich>
      </c:tx>
      <c:overlay val="0"/>
      <c:spPr>
        <a:noFill/>
        <a:ln>
          <a:noFill/>
        </a:ln>
        <a:effectLst/>
      </c:spPr>
    </c:title>
    <c:autoTitleDeleted val="0"/>
    <c:plotArea>
      <c:layout>
        <c:manualLayout>
          <c:layoutTarget val="inner"/>
          <c:xMode val="edge"/>
          <c:yMode val="edge"/>
          <c:x val="0.2398019228088368"/>
          <c:y val="0.14015345745890809"/>
          <c:w val="0.63182377932969791"/>
          <c:h val="0.75145538708963233"/>
        </c:manualLayout>
      </c:layout>
      <c:doughnutChart>
        <c:varyColors val="1"/>
        <c:ser>
          <c:idx val="0"/>
          <c:order val="0"/>
          <c:tx>
            <c:strRef>
              <c:f>'Order and Service summary'!$AF$2</c:f>
              <c:strCache>
                <c:ptCount val="1"/>
                <c:pt idx="0">
                  <c:v>2014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24-4982-B87E-CF4DE32972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24-4982-B87E-CF4DE32972BE}"/>
              </c:ext>
            </c:extLst>
          </c:dPt>
          <c:dLbls>
            <c:dLbl>
              <c:idx val="0"/>
              <c:layout>
                <c:manualLayout>
                  <c:x val="0.1694444823984855"/>
                  <c:y val="0.2465259248849039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724-4982-B87E-CF4DE32972BE}"/>
                </c:ext>
              </c:extLst>
            </c:dLbl>
            <c:dLbl>
              <c:idx val="1"/>
              <c:layout>
                <c:manualLayout>
                  <c:x val="-0.18333333333333332"/>
                  <c:y val="-0.228758181707487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724-4982-B87E-CF4DE32972B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a-D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'Order and Service summary'!$AE$3:$AE$4</c:f>
              <c:strCache>
                <c:ptCount val="2"/>
                <c:pt idx="0">
                  <c:v>AOM4000</c:v>
                </c:pt>
                <c:pt idx="1">
                  <c:v>AOM5000</c:v>
                </c:pt>
              </c:strCache>
            </c:strRef>
          </c:cat>
          <c:val>
            <c:numRef>
              <c:f>'Order and Service summary'!$AF$3:$AF$4</c:f>
              <c:numCache>
                <c:formatCode>General</c:formatCode>
                <c:ptCount val="2"/>
                <c:pt idx="0">
                  <c:v>1234</c:v>
                </c:pt>
                <c:pt idx="1">
                  <c:v>2559</c:v>
                </c:pt>
              </c:numCache>
            </c:numRef>
          </c:val>
          <c:extLst>
            <c:ext xmlns:c16="http://schemas.microsoft.com/office/drawing/2014/chart" uri="{C3380CC4-5D6E-409C-BE32-E72D297353CC}">
              <c16:uniqueId val="{00000004-3724-4982-B87E-CF4DE32972BE}"/>
            </c:ext>
          </c:extLst>
        </c:ser>
        <c:ser>
          <c:idx val="1"/>
          <c:order val="1"/>
          <c:tx>
            <c:strRef>
              <c:f>'Order and Service summary'!$AG$2</c:f>
              <c:strCache>
                <c:ptCount val="1"/>
                <c:pt idx="0">
                  <c:v>2015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3724-4982-B87E-CF4DE32972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3724-4982-B87E-CF4DE32972BE}"/>
              </c:ext>
            </c:extLst>
          </c:dPt>
          <c:dLbls>
            <c:dLbl>
              <c:idx val="0"/>
              <c:layout>
                <c:manualLayout>
                  <c:x val="0.16780990871087692"/>
                  <c:y val="3.681246558811274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3724-4982-B87E-CF4DE32972BE}"/>
                </c:ext>
              </c:extLst>
            </c:dLbl>
            <c:dLbl>
              <c:idx val="1"/>
              <c:layout>
                <c:manualLayout>
                  <c:x val="-0.19444444444444445"/>
                  <c:y val="-3.20261454390481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3724-4982-B87E-CF4DE32972B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a-D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'Order and Service summary'!$AE$3:$AE$4</c:f>
              <c:strCache>
                <c:ptCount val="2"/>
                <c:pt idx="0">
                  <c:v>AOM4000</c:v>
                </c:pt>
                <c:pt idx="1">
                  <c:v>AOM5000</c:v>
                </c:pt>
              </c:strCache>
            </c:strRef>
          </c:cat>
          <c:val>
            <c:numRef>
              <c:f>'Order and Service summary'!$AG$3:$AG$4</c:f>
              <c:numCache>
                <c:formatCode>General</c:formatCode>
                <c:ptCount val="2"/>
                <c:pt idx="0">
                  <c:v>2363</c:v>
                </c:pt>
                <c:pt idx="1">
                  <c:v>3421</c:v>
                </c:pt>
              </c:numCache>
            </c:numRef>
          </c:val>
          <c:extLst>
            <c:ext xmlns:c16="http://schemas.microsoft.com/office/drawing/2014/chart" uri="{C3380CC4-5D6E-409C-BE32-E72D297353CC}">
              <c16:uniqueId val="{00000009-3724-4982-B87E-CF4DE32972BE}"/>
            </c:ext>
          </c:extLst>
        </c:ser>
        <c:ser>
          <c:idx val="2"/>
          <c:order val="2"/>
          <c:tx>
            <c:strRef>
              <c:f>'Order and Service summary'!$AH$2</c:f>
              <c:strCache>
                <c:ptCount val="1"/>
                <c:pt idx="0">
                  <c:v>2016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3724-4982-B87E-CF4DE32972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3724-4982-B87E-CF4DE32972BE}"/>
              </c:ext>
            </c:extLst>
          </c:dPt>
          <c:dLbls>
            <c:dLbl>
              <c:idx val="0"/>
              <c:layout>
                <c:manualLayout>
                  <c:x val="0.14673077966458739"/>
                  <c:y val="-6.19255960723367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724-4982-B87E-CF4DE32972BE}"/>
                </c:ext>
              </c:extLst>
            </c:dLbl>
            <c:dLbl>
              <c:idx val="1"/>
              <c:layout>
                <c:manualLayout>
                  <c:x val="-0.14444444444444446"/>
                  <c:y val="9.60784363171444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724-4982-B87E-CF4DE32972B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a-D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'Order and Service summary'!$AE$3:$AE$4</c:f>
              <c:strCache>
                <c:ptCount val="2"/>
                <c:pt idx="0">
                  <c:v>AOM4000</c:v>
                </c:pt>
                <c:pt idx="1">
                  <c:v>AOM5000</c:v>
                </c:pt>
              </c:strCache>
            </c:strRef>
          </c:cat>
          <c:val>
            <c:numRef>
              <c:f>'Order and Service summary'!$AH$3:$AH$4</c:f>
              <c:numCache>
                <c:formatCode>General</c:formatCode>
                <c:ptCount val="2"/>
                <c:pt idx="0">
                  <c:v>1849</c:v>
                </c:pt>
                <c:pt idx="1">
                  <c:v>3190</c:v>
                </c:pt>
              </c:numCache>
            </c:numRef>
          </c:val>
          <c:extLst>
            <c:ext xmlns:c16="http://schemas.microsoft.com/office/drawing/2014/chart" uri="{C3380CC4-5D6E-409C-BE32-E72D297353CC}">
              <c16:uniqueId val="{0000000E-3724-4982-B87E-CF4DE32972BE}"/>
            </c:ext>
          </c:extLst>
        </c:ser>
        <c:ser>
          <c:idx val="3"/>
          <c:order val="3"/>
          <c:tx>
            <c:strRef>
              <c:f>'Order and Service summary'!$AI$2</c:f>
              <c:strCache>
                <c:ptCount val="1"/>
                <c:pt idx="0">
                  <c:v>2017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3724-4982-B87E-CF4DE32972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3724-4982-B87E-CF4DE32972BE}"/>
              </c:ext>
            </c:extLst>
          </c:dPt>
          <c:dLbls>
            <c:dLbl>
              <c:idx val="0"/>
              <c:layout>
                <c:manualLayout>
                  <c:x val="7.9863556475237241E-2"/>
                  <c:y val="-0.1092357587135458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3724-4982-B87E-CF4DE32972BE}"/>
                </c:ext>
              </c:extLst>
            </c:dLbl>
            <c:dLbl>
              <c:idx val="1"/>
              <c:layout>
                <c:manualLayout>
                  <c:x val="-2.2222222222222223E-2"/>
                  <c:y val="0.1692810544635404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3724-4982-B87E-CF4DE32972B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a-D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'Order and Service summary'!$AE$3:$AE$4</c:f>
              <c:strCache>
                <c:ptCount val="2"/>
                <c:pt idx="0">
                  <c:v>AOM4000</c:v>
                </c:pt>
                <c:pt idx="1">
                  <c:v>AOM5000</c:v>
                </c:pt>
              </c:strCache>
            </c:strRef>
          </c:cat>
          <c:val>
            <c:numRef>
              <c:f>'Order and Service summary'!$AI$3:$AI$4</c:f>
              <c:numCache>
                <c:formatCode>General</c:formatCode>
                <c:ptCount val="2"/>
                <c:pt idx="0">
                  <c:v>1785</c:v>
                </c:pt>
                <c:pt idx="1">
                  <c:v>4551</c:v>
                </c:pt>
              </c:numCache>
            </c:numRef>
          </c:val>
          <c:extLst>
            <c:ext xmlns:c16="http://schemas.microsoft.com/office/drawing/2014/chart" uri="{C3380CC4-5D6E-409C-BE32-E72D297353CC}">
              <c16:uniqueId val="{00000013-3724-4982-B87E-CF4DE32972BE}"/>
            </c:ext>
          </c:extLst>
        </c:ser>
        <c:ser>
          <c:idx val="4"/>
          <c:order val="4"/>
          <c:tx>
            <c:strRef>
              <c:f>'Order and Service summary'!$AJ$2</c:f>
              <c:strCache>
                <c:ptCount val="1"/>
                <c:pt idx="0">
                  <c:v>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3724-4982-B87E-CF4DE32972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3724-4982-B87E-CF4DE32972BE}"/>
              </c:ext>
            </c:extLst>
          </c:dPt>
          <c:cat>
            <c:strRef>
              <c:f>'Order and Service summary'!$AE$3:$AE$4</c:f>
              <c:strCache>
                <c:ptCount val="2"/>
                <c:pt idx="0">
                  <c:v>AOM4000</c:v>
                </c:pt>
                <c:pt idx="1">
                  <c:v>AOM5000</c:v>
                </c:pt>
              </c:strCache>
            </c:strRef>
          </c:cat>
          <c:val>
            <c:numRef>
              <c:f>'Order and Service summary'!$AJ$3:$AJ$4</c:f>
              <c:numCache>
                <c:formatCode>General</c:formatCode>
                <c:ptCount val="2"/>
                <c:pt idx="0">
                  <c:v>1202.8</c:v>
                </c:pt>
                <c:pt idx="1">
                  <c:v>7360.4</c:v>
                </c:pt>
              </c:numCache>
            </c:numRef>
          </c:val>
          <c:extLst>
            <c:ext xmlns:c16="http://schemas.microsoft.com/office/drawing/2014/chart" uri="{C3380CC4-5D6E-409C-BE32-E72D297353CC}">
              <c16:uniqueId val="{00000018-3724-4982-B87E-CF4DE32972BE}"/>
            </c:ext>
          </c:extLst>
        </c:ser>
        <c:ser>
          <c:idx val="5"/>
          <c:order val="5"/>
          <c:tx>
            <c:strRef>
              <c:f>'Order and Service summary'!$AK$2</c:f>
              <c:strCache>
                <c:ptCount val="1"/>
                <c:pt idx="0">
                  <c:v>2019</c:v>
                </c:pt>
              </c:strCache>
            </c:strRef>
          </c:tx>
          <c:cat>
            <c:strRef>
              <c:f>'Order and Service summary'!$AE$3:$AE$4</c:f>
              <c:strCache>
                <c:ptCount val="2"/>
                <c:pt idx="0">
                  <c:v>AOM4000</c:v>
                </c:pt>
                <c:pt idx="1">
                  <c:v>AOM5000</c:v>
                </c:pt>
              </c:strCache>
            </c:strRef>
          </c:cat>
          <c:val>
            <c:numRef>
              <c:f>'Order and Service summary'!$AK$3:$AK$4</c:f>
              <c:numCache>
                <c:formatCode>General</c:formatCode>
                <c:ptCount val="2"/>
                <c:pt idx="0">
                  <c:v>2214</c:v>
                </c:pt>
                <c:pt idx="1">
                  <c:v>6601</c:v>
                </c:pt>
              </c:numCache>
            </c:numRef>
          </c:val>
          <c:extLst>
            <c:ext xmlns:c16="http://schemas.microsoft.com/office/drawing/2014/chart" uri="{C3380CC4-5D6E-409C-BE32-E72D297353CC}">
              <c16:uniqueId val="{00000015-1C4E-458B-85A9-EA1D343DF590}"/>
            </c:ext>
          </c:extLst>
        </c:ser>
        <c:ser>
          <c:idx val="6"/>
          <c:order val="6"/>
          <c:tx>
            <c:strRef>
              <c:f>'Order and Service summary'!$AL$2</c:f>
              <c:strCache>
                <c:ptCount val="1"/>
                <c:pt idx="0">
                  <c:v>2020</c:v>
                </c:pt>
              </c:strCache>
            </c:strRef>
          </c:tx>
          <c:cat>
            <c:strRef>
              <c:f>'Order and Service summary'!$AE$3:$AE$4</c:f>
              <c:strCache>
                <c:ptCount val="2"/>
                <c:pt idx="0">
                  <c:v>AOM4000</c:v>
                </c:pt>
                <c:pt idx="1">
                  <c:v>AOM5000</c:v>
                </c:pt>
              </c:strCache>
            </c:strRef>
          </c:cat>
          <c:val>
            <c:numRef>
              <c:f>'Order and Service summary'!$AL$3:$AL$4</c:f>
              <c:numCache>
                <c:formatCode>General</c:formatCode>
                <c:ptCount val="2"/>
                <c:pt idx="0">
                  <c:v>2087</c:v>
                </c:pt>
                <c:pt idx="1">
                  <c:v>9504</c:v>
                </c:pt>
              </c:numCache>
            </c:numRef>
          </c:val>
          <c:extLst>
            <c:ext xmlns:c16="http://schemas.microsoft.com/office/drawing/2014/chart" uri="{C3380CC4-5D6E-409C-BE32-E72D297353CC}">
              <c16:uniqueId val="{00000016-1C4E-458B-85A9-EA1D343DF590}"/>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'Order and Service summary'!$C$65</c:f>
              <c:strCache>
                <c:ptCount val="1"/>
                <c:pt idx="0">
                  <c:v>AOM4000</c:v>
                </c:pt>
              </c:strCache>
            </c:strRef>
          </c:tx>
          <c:spPr>
            <a:solidFill>
              <a:schemeClr val="accent1"/>
            </a:solidFill>
            <a:ln>
              <a:noFill/>
            </a:ln>
            <a:effectLst/>
          </c:spPr>
          <c:invertIfNegative val="0"/>
          <c:cat>
            <c:numRef>
              <c:f>'Order and Service summary'!$D$64:$H$64</c:f>
              <c:numCache>
                <c:formatCode>General</c:formatCode>
                <c:ptCount val="5"/>
                <c:pt idx="0">
                  <c:v>2014</c:v>
                </c:pt>
                <c:pt idx="1">
                  <c:v>2015</c:v>
                </c:pt>
                <c:pt idx="2">
                  <c:v>2016</c:v>
                </c:pt>
                <c:pt idx="3">
                  <c:v>2017</c:v>
                </c:pt>
                <c:pt idx="4">
                  <c:v>2018</c:v>
                </c:pt>
              </c:numCache>
            </c:numRef>
          </c:cat>
          <c:val>
            <c:numRef>
              <c:f>'Order and Service summary'!$D$65:$H$65</c:f>
              <c:numCache>
                <c:formatCode>General</c:formatCode>
                <c:ptCount val="5"/>
                <c:pt idx="0">
                  <c:v>0</c:v>
                </c:pt>
                <c:pt idx="1">
                  <c:v>438</c:v>
                </c:pt>
                <c:pt idx="2">
                  <c:v>0</c:v>
                </c:pt>
                <c:pt idx="3">
                  <c:v>200</c:v>
                </c:pt>
                <c:pt idx="4">
                  <c:v>0</c:v>
                </c:pt>
              </c:numCache>
            </c:numRef>
          </c:val>
          <c:extLst>
            <c:ext xmlns:c16="http://schemas.microsoft.com/office/drawing/2014/chart" uri="{C3380CC4-5D6E-409C-BE32-E72D297353CC}">
              <c16:uniqueId val="{00000000-2207-4957-9CB2-A8904D86CA31}"/>
            </c:ext>
          </c:extLst>
        </c:ser>
        <c:ser>
          <c:idx val="1"/>
          <c:order val="1"/>
          <c:tx>
            <c:strRef>
              <c:f>'Order and Service summary'!$C$66</c:f>
              <c:strCache>
                <c:ptCount val="1"/>
                <c:pt idx="0">
                  <c:v>AOM5000</c:v>
                </c:pt>
              </c:strCache>
            </c:strRef>
          </c:tx>
          <c:spPr>
            <a:solidFill>
              <a:schemeClr val="accent2"/>
            </a:solidFill>
            <a:ln>
              <a:noFill/>
            </a:ln>
            <a:effectLst/>
          </c:spPr>
          <c:invertIfNegative val="0"/>
          <c:cat>
            <c:numRef>
              <c:f>'Order and Service summary'!$D$64:$H$64</c:f>
              <c:numCache>
                <c:formatCode>General</c:formatCode>
                <c:ptCount val="5"/>
                <c:pt idx="0">
                  <c:v>2014</c:v>
                </c:pt>
                <c:pt idx="1">
                  <c:v>2015</c:v>
                </c:pt>
                <c:pt idx="2">
                  <c:v>2016</c:v>
                </c:pt>
                <c:pt idx="3">
                  <c:v>2017</c:v>
                </c:pt>
                <c:pt idx="4">
                  <c:v>2018</c:v>
                </c:pt>
              </c:numCache>
            </c:numRef>
          </c:cat>
          <c:val>
            <c:numRef>
              <c:f>'Order and Service summary'!$D$66:$H$66</c:f>
              <c:numCache>
                <c:formatCode>General</c:formatCode>
                <c:ptCount val="5"/>
                <c:pt idx="0">
                  <c:v>1978</c:v>
                </c:pt>
                <c:pt idx="1">
                  <c:v>2172</c:v>
                </c:pt>
                <c:pt idx="2">
                  <c:v>1008</c:v>
                </c:pt>
                <c:pt idx="3">
                  <c:v>1510</c:v>
                </c:pt>
                <c:pt idx="4">
                  <c:v>2599</c:v>
                </c:pt>
              </c:numCache>
            </c:numRef>
          </c:val>
          <c:extLst>
            <c:ext xmlns:c16="http://schemas.microsoft.com/office/drawing/2014/chart" uri="{C3380CC4-5D6E-409C-BE32-E72D297353CC}">
              <c16:uniqueId val="{00000001-2207-4957-9CB2-A8904D86CA31}"/>
            </c:ext>
          </c:extLst>
        </c:ser>
        <c:ser>
          <c:idx val="2"/>
          <c:order val="2"/>
          <c:tx>
            <c:strRef>
              <c:f>'Order and Service summary'!$C$67</c:f>
              <c:strCache>
                <c:ptCount val="1"/>
                <c:pt idx="0">
                  <c:v>No info</c:v>
                </c:pt>
              </c:strCache>
            </c:strRef>
          </c:tx>
          <c:spPr>
            <a:solidFill>
              <a:schemeClr val="accent3"/>
            </a:solidFill>
            <a:ln>
              <a:noFill/>
            </a:ln>
            <a:effectLst/>
          </c:spPr>
          <c:invertIfNegative val="0"/>
          <c:cat>
            <c:numRef>
              <c:f>'Order and Service summary'!$D$64:$H$64</c:f>
              <c:numCache>
                <c:formatCode>General</c:formatCode>
                <c:ptCount val="5"/>
                <c:pt idx="0">
                  <c:v>2014</c:v>
                </c:pt>
                <c:pt idx="1">
                  <c:v>2015</c:v>
                </c:pt>
                <c:pt idx="2">
                  <c:v>2016</c:v>
                </c:pt>
                <c:pt idx="3">
                  <c:v>2017</c:v>
                </c:pt>
                <c:pt idx="4">
                  <c:v>2018</c:v>
                </c:pt>
              </c:numCache>
            </c:numRef>
          </c:cat>
          <c:val>
            <c:numRef>
              <c:f>'Order and Service summary'!$D$67:$H$67</c:f>
              <c:numCache>
                <c:formatCode>General</c:formatCode>
                <c:ptCount val="5"/>
                <c:pt idx="0">
                  <c:v>0</c:v>
                </c:pt>
                <c:pt idx="1">
                  <c:v>258</c:v>
                </c:pt>
                <c:pt idx="2">
                  <c:v>2276</c:v>
                </c:pt>
                <c:pt idx="3">
                  <c:v>1206</c:v>
                </c:pt>
                <c:pt idx="4">
                  <c:v>1252</c:v>
                </c:pt>
              </c:numCache>
            </c:numRef>
          </c:val>
          <c:extLst>
            <c:ext xmlns:c16="http://schemas.microsoft.com/office/drawing/2014/chart" uri="{C3380CC4-5D6E-409C-BE32-E72D297353CC}">
              <c16:uniqueId val="{00000002-2207-4957-9CB2-A8904D86CA31}"/>
            </c:ext>
          </c:extLst>
        </c:ser>
        <c:dLbls>
          <c:showLegendKey val="0"/>
          <c:showVal val="0"/>
          <c:showCatName val="0"/>
          <c:showSerName val="0"/>
          <c:showPercent val="0"/>
          <c:showBubbleSize val="0"/>
        </c:dLbls>
        <c:gapWidth val="219"/>
        <c:overlap val="-27"/>
        <c:axId val="239576376"/>
        <c:axId val="239576768"/>
      </c:barChart>
      <c:lineChart>
        <c:grouping val="standard"/>
        <c:varyColors val="0"/>
        <c:ser>
          <c:idx val="3"/>
          <c:order val="3"/>
          <c:tx>
            <c:strRef>
              <c:f>'Order and Service summary'!$C$68</c:f>
              <c:strCache>
                <c:ptCount val="1"/>
                <c:pt idx="0">
                  <c:v>total</c:v>
                </c:pt>
              </c:strCache>
            </c:strRef>
          </c:tx>
          <c:spPr>
            <a:ln w="28575" cap="rnd">
              <a:solidFill>
                <a:schemeClr val="accent4"/>
              </a:solidFill>
              <a:round/>
            </a:ln>
            <a:effectLst/>
          </c:spPr>
          <c:marker>
            <c:symbol val="none"/>
          </c:marker>
          <c:cat>
            <c:numRef>
              <c:f>'Order and Service summary'!$D$64:$H$64</c:f>
              <c:numCache>
                <c:formatCode>General</c:formatCode>
                <c:ptCount val="5"/>
                <c:pt idx="0">
                  <c:v>2014</c:v>
                </c:pt>
                <c:pt idx="1">
                  <c:v>2015</c:v>
                </c:pt>
                <c:pt idx="2">
                  <c:v>2016</c:v>
                </c:pt>
                <c:pt idx="3">
                  <c:v>2017</c:v>
                </c:pt>
                <c:pt idx="4">
                  <c:v>2018</c:v>
                </c:pt>
              </c:numCache>
            </c:numRef>
          </c:cat>
          <c:val>
            <c:numRef>
              <c:f>'Order and Service summary'!$D$68:$H$68</c:f>
              <c:numCache>
                <c:formatCode>General</c:formatCode>
                <c:ptCount val="5"/>
                <c:pt idx="0">
                  <c:v>1978</c:v>
                </c:pt>
                <c:pt idx="1">
                  <c:v>2868</c:v>
                </c:pt>
                <c:pt idx="2">
                  <c:v>3284</c:v>
                </c:pt>
                <c:pt idx="3">
                  <c:v>2916</c:v>
                </c:pt>
                <c:pt idx="4">
                  <c:v>3851</c:v>
                </c:pt>
              </c:numCache>
            </c:numRef>
          </c:val>
          <c:smooth val="0"/>
          <c:extLst>
            <c:ext xmlns:c16="http://schemas.microsoft.com/office/drawing/2014/chart" uri="{C3380CC4-5D6E-409C-BE32-E72D297353CC}">
              <c16:uniqueId val="{00000003-2207-4957-9CB2-A8904D86CA31}"/>
            </c:ext>
          </c:extLst>
        </c:ser>
        <c:dLbls>
          <c:showLegendKey val="0"/>
          <c:showVal val="0"/>
          <c:showCatName val="0"/>
          <c:showSerName val="0"/>
          <c:showPercent val="0"/>
          <c:showBubbleSize val="0"/>
        </c:dLbls>
        <c:marker val="1"/>
        <c:smooth val="0"/>
        <c:axId val="239576376"/>
        <c:axId val="239576768"/>
      </c:lineChart>
      <c:catAx>
        <c:axId val="239576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39576768"/>
        <c:crosses val="autoZero"/>
        <c:auto val="1"/>
        <c:lblAlgn val="ctr"/>
        <c:lblOffset val="100"/>
        <c:noMultiLvlLbl val="0"/>
      </c:catAx>
      <c:valAx>
        <c:axId val="23957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39576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Indian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'Order and Service summary'!$Q$61</c:f>
              <c:strCache>
                <c:ptCount val="1"/>
                <c:pt idx="0">
                  <c:v>AOM4000</c:v>
                </c:pt>
              </c:strCache>
            </c:strRef>
          </c:tx>
          <c:spPr>
            <a:solidFill>
              <a:schemeClr val="accent1"/>
            </a:solidFill>
            <a:ln>
              <a:noFill/>
            </a:ln>
            <a:effectLst/>
          </c:spPr>
          <c:invertIfNegative val="0"/>
          <c:cat>
            <c:numRef>
              <c:f>'Order and Service summary'!$R$60:$V$60</c:f>
              <c:numCache>
                <c:formatCode>General</c:formatCode>
                <c:ptCount val="5"/>
                <c:pt idx="0">
                  <c:v>2015</c:v>
                </c:pt>
                <c:pt idx="1">
                  <c:v>2016</c:v>
                </c:pt>
                <c:pt idx="2">
                  <c:v>2017</c:v>
                </c:pt>
                <c:pt idx="3">
                  <c:v>2018</c:v>
                </c:pt>
                <c:pt idx="4">
                  <c:v>2019</c:v>
                </c:pt>
              </c:numCache>
            </c:numRef>
          </c:cat>
          <c:val>
            <c:numRef>
              <c:f>'Order and Service summary'!$R$61:$V$61</c:f>
              <c:numCache>
                <c:formatCode>General</c:formatCode>
                <c:ptCount val="5"/>
                <c:pt idx="0">
                  <c:v>0</c:v>
                </c:pt>
                <c:pt idx="1">
                  <c:v>0</c:v>
                </c:pt>
                <c:pt idx="2">
                  <c:v>350</c:v>
                </c:pt>
                <c:pt idx="3">
                  <c:v>0</c:v>
                </c:pt>
                <c:pt idx="4">
                  <c:v>0</c:v>
                </c:pt>
              </c:numCache>
            </c:numRef>
          </c:val>
          <c:extLst>
            <c:ext xmlns:c16="http://schemas.microsoft.com/office/drawing/2014/chart" uri="{C3380CC4-5D6E-409C-BE32-E72D297353CC}">
              <c16:uniqueId val="{00000000-0C1D-4E7E-997C-A110B19C6C7F}"/>
            </c:ext>
          </c:extLst>
        </c:ser>
        <c:ser>
          <c:idx val="1"/>
          <c:order val="1"/>
          <c:tx>
            <c:strRef>
              <c:f>'Order and Service summary'!$Q$62</c:f>
              <c:strCache>
                <c:ptCount val="1"/>
                <c:pt idx="0">
                  <c:v>AOM5000</c:v>
                </c:pt>
              </c:strCache>
            </c:strRef>
          </c:tx>
          <c:spPr>
            <a:solidFill>
              <a:schemeClr val="accent2"/>
            </a:solidFill>
            <a:ln>
              <a:noFill/>
            </a:ln>
            <a:effectLst/>
          </c:spPr>
          <c:invertIfNegative val="0"/>
          <c:cat>
            <c:numRef>
              <c:f>'Order and Service summary'!$R$60:$V$60</c:f>
              <c:numCache>
                <c:formatCode>General</c:formatCode>
                <c:ptCount val="5"/>
                <c:pt idx="0">
                  <c:v>2015</c:v>
                </c:pt>
                <c:pt idx="1">
                  <c:v>2016</c:v>
                </c:pt>
                <c:pt idx="2">
                  <c:v>2017</c:v>
                </c:pt>
                <c:pt idx="3">
                  <c:v>2018</c:v>
                </c:pt>
                <c:pt idx="4">
                  <c:v>2019</c:v>
                </c:pt>
              </c:numCache>
            </c:numRef>
          </c:cat>
          <c:val>
            <c:numRef>
              <c:f>'Order and Service summary'!$R$62:$V$62</c:f>
              <c:numCache>
                <c:formatCode>General</c:formatCode>
                <c:ptCount val="5"/>
                <c:pt idx="0">
                  <c:v>74</c:v>
                </c:pt>
                <c:pt idx="1">
                  <c:v>0</c:v>
                </c:pt>
                <c:pt idx="2">
                  <c:v>216</c:v>
                </c:pt>
                <c:pt idx="3">
                  <c:v>322</c:v>
                </c:pt>
                <c:pt idx="4">
                  <c:v>101</c:v>
                </c:pt>
              </c:numCache>
            </c:numRef>
          </c:val>
          <c:extLst>
            <c:ext xmlns:c16="http://schemas.microsoft.com/office/drawing/2014/chart" uri="{C3380CC4-5D6E-409C-BE32-E72D297353CC}">
              <c16:uniqueId val="{00000001-0C1D-4E7E-997C-A110B19C6C7F}"/>
            </c:ext>
          </c:extLst>
        </c:ser>
        <c:ser>
          <c:idx val="2"/>
          <c:order val="2"/>
          <c:tx>
            <c:strRef>
              <c:f>'Order and Service summary'!$Q$63</c:f>
              <c:strCache>
                <c:ptCount val="1"/>
                <c:pt idx="0">
                  <c:v>No info</c:v>
                </c:pt>
              </c:strCache>
            </c:strRef>
          </c:tx>
          <c:spPr>
            <a:solidFill>
              <a:schemeClr val="accent3"/>
            </a:solidFill>
            <a:ln>
              <a:noFill/>
            </a:ln>
            <a:effectLst/>
          </c:spPr>
          <c:invertIfNegative val="0"/>
          <c:cat>
            <c:numRef>
              <c:f>'Order and Service summary'!$R$60:$V$60</c:f>
              <c:numCache>
                <c:formatCode>General</c:formatCode>
                <c:ptCount val="5"/>
                <c:pt idx="0">
                  <c:v>2015</c:v>
                </c:pt>
                <c:pt idx="1">
                  <c:v>2016</c:v>
                </c:pt>
                <c:pt idx="2">
                  <c:v>2017</c:v>
                </c:pt>
                <c:pt idx="3">
                  <c:v>2018</c:v>
                </c:pt>
                <c:pt idx="4">
                  <c:v>2019</c:v>
                </c:pt>
              </c:numCache>
            </c:numRef>
          </c:cat>
          <c:val>
            <c:numRef>
              <c:f>'Order and Service summary'!$R$63:$V$63</c:f>
              <c:numCache>
                <c:formatCode>General</c:formatCode>
                <c:ptCount val="5"/>
                <c:pt idx="0">
                  <c:v>0</c:v>
                </c:pt>
                <c:pt idx="1">
                  <c:v>0</c:v>
                </c:pt>
                <c:pt idx="2">
                  <c:v>0</c:v>
                </c:pt>
                <c:pt idx="3">
                  <c:v>100</c:v>
                </c:pt>
                <c:pt idx="4">
                  <c:v>0</c:v>
                </c:pt>
              </c:numCache>
            </c:numRef>
          </c:val>
          <c:extLst>
            <c:ext xmlns:c16="http://schemas.microsoft.com/office/drawing/2014/chart" uri="{C3380CC4-5D6E-409C-BE32-E72D297353CC}">
              <c16:uniqueId val="{00000002-0C1D-4E7E-997C-A110B19C6C7F}"/>
            </c:ext>
          </c:extLst>
        </c:ser>
        <c:dLbls>
          <c:showLegendKey val="0"/>
          <c:showVal val="0"/>
          <c:showCatName val="0"/>
          <c:showSerName val="0"/>
          <c:showPercent val="0"/>
          <c:showBubbleSize val="0"/>
        </c:dLbls>
        <c:gapWidth val="219"/>
        <c:overlap val="-27"/>
        <c:axId val="239577552"/>
        <c:axId val="239577944"/>
      </c:barChart>
      <c:lineChart>
        <c:grouping val="standard"/>
        <c:varyColors val="0"/>
        <c:ser>
          <c:idx val="3"/>
          <c:order val="3"/>
          <c:tx>
            <c:strRef>
              <c:f>'Order and Service summary'!$Q$64</c:f>
              <c:strCache>
                <c:ptCount val="1"/>
                <c:pt idx="0">
                  <c:v>total</c:v>
                </c:pt>
              </c:strCache>
            </c:strRef>
          </c:tx>
          <c:spPr>
            <a:ln w="28575" cap="rnd">
              <a:solidFill>
                <a:schemeClr val="accent4"/>
              </a:solidFill>
              <a:round/>
            </a:ln>
            <a:effectLst/>
          </c:spPr>
          <c:marker>
            <c:symbol val="none"/>
          </c:marker>
          <c:cat>
            <c:numRef>
              <c:f>'Order and Service summary'!$R$60:$V$60</c:f>
              <c:numCache>
                <c:formatCode>General</c:formatCode>
                <c:ptCount val="5"/>
                <c:pt idx="0">
                  <c:v>2015</c:v>
                </c:pt>
                <c:pt idx="1">
                  <c:v>2016</c:v>
                </c:pt>
                <c:pt idx="2">
                  <c:v>2017</c:v>
                </c:pt>
                <c:pt idx="3">
                  <c:v>2018</c:v>
                </c:pt>
                <c:pt idx="4">
                  <c:v>2019</c:v>
                </c:pt>
              </c:numCache>
            </c:numRef>
          </c:cat>
          <c:val>
            <c:numRef>
              <c:f>'Order and Service summary'!$R$64:$V$64</c:f>
              <c:numCache>
                <c:formatCode>General</c:formatCode>
                <c:ptCount val="5"/>
                <c:pt idx="0">
                  <c:v>74</c:v>
                </c:pt>
                <c:pt idx="1">
                  <c:v>0</c:v>
                </c:pt>
                <c:pt idx="2">
                  <c:v>566</c:v>
                </c:pt>
                <c:pt idx="3">
                  <c:v>422</c:v>
                </c:pt>
                <c:pt idx="4">
                  <c:v>101</c:v>
                </c:pt>
              </c:numCache>
            </c:numRef>
          </c:val>
          <c:smooth val="0"/>
          <c:extLst>
            <c:ext xmlns:c16="http://schemas.microsoft.com/office/drawing/2014/chart" uri="{C3380CC4-5D6E-409C-BE32-E72D297353CC}">
              <c16:uniqueId val="{00000003-0C1D-4E7E-997C-A110B19C6C7F}"/>
            </c:ext>
          </c:extLst>
        </c:ser>
        <c:dLbls>
          <c:showLegendKey val="0"/>
          <c:showVal val="0"/>
          <c:showCatName val="0"/>
          <c:showSerName val="0"/>
          <c:showPercent val="0"/>
          <c:showBubbleSize val="0"/>
        </c:dLbls>
        <c:marker val="1"/>
        <c:smooth val="0"/>
        <c:axId val="239577552"/>
        <c:axId val="239577944"/>
      </c:lineChart>
      <c:catAx>
        <c:axId val="23957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39577944"/>
        <c:crosses val="autoZero"/>
        <c:auto val="1"/>
        <c:lblAlgn val="ctr"/>
        <c:lblOffset val="100"/>
        <c:noMultiLvlLbl val="0"/>
      </c:catAx>
      <c:valAx>
        <c:axId val="239577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39577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length of contract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'Order and Service summary'!$Q$33</c:f>
              <c:strCache>
                <c:ptCount val="1"/>
                <c:pt idx="0">
                  <c:v>AOM4000</c:v>
                </c:pt>
              </c:strCache>
            </c:strRef>
          </c:tx>
          <c:spPr>
            <a:solidFill>
              <a:schemeClr val="accent1"/>
            </a:solidFill>
            <a:ln>
              <a:noFill/>
            </a:ln>
            <a:effectLst/>
          </c:spPr>
          <c:invertIfNegative val="0"/>
          <c:cat>
            <c:numRef>
              <c:f>'Order and Service summary'!$R$32:$Z$32</c:f>
              <c:numCache>
                <c:formatCode>General</c:formatCode>
                <c:ptCount val="9"/>
                <c:pt idx="0">
                  <c:v>2014</c:v>
                </c:pt>
                <c:pt idx="1">
                  <c:v>2015</c:v>
                </c:pt>
                <c:pt idx="2">
                  <c:v>2016</c:v>
                </c:pt>
                <c:pt idx="3">
                  <c:v>2017</c:v>
                </c:pt>
                <c:pt idx="4">
                  <c:v>2018</c:v>
                </c:pt>
                <c:pt idx="5">
                  <c:v>2019</c:v>
                </c:pt>
                <c:pt idx="6">
                  <c:v>2020</c:v>
                </c:pt>
                <c:pt idx="7">
                  <c:v>2021</c:v>
                </c:pt>
                <c:pt idx="8">
                  <c:v>2022</c:v>
                </c:pt>
              </c:numCache>
            </c:numRef>
          </c:cat>
          <c:val>
            <c:numRef>
              <c:f>'Order and Service summary'!$R$33:$Z$33</c:f>
              <c:numCache>
                <c:formatCode>0.0</c:formatCode>
                <c:ptCount val="9"/>
                <c:pt idx="0">
                  <c:v>7.7647058823529411</c:v>
                </c:pt>
                <c:pt idx="1">
                  <c:v>7.7931034482758621</c:v>
                </c:pt>
                <c:pt idx="2">
                  <c:v>10.24</c:v>
                </c:pt>
                <c:pt idx="3">
                  <c:v>11.375</c:v>
                </c:pt>
                <c:pt idx="4">
                  <c:v>10.214285714285714</c:v>
                </c:pt>
                <c:pt idx="5">
                  <c:v>13.571428571428571</c:v>
                </c:pt>
                <c:pt idx="6">
                  <c:v>12.75</c:v>
                </c:pt>
                <c:pt idx="7">
                  <c:v>18.125</c:v>
                </c:pt>
                <c:pt idx="8">
                  <c:v>14.5</c:v>
                </c:pt>
              </c:numCache>
            </c:numRef>
          </c:val>
          <c:extLst>
            <c:ext xmlns:c16="http://schemas.microsoft.com/office/drawing/2014/chart" uri="{C3380CC4-5D6E-409C-BE32-E72D297353CC}">
              <c16:uniqueId val="{00000000-A0C0-43E4-92CD-D86EA44992BB}"/>
            </c:ext>
          </c:extLst>
        </c:ser>
        <c:ser>
          <c:idx val="1"/>
          <c:order val="1"/>
          <c:tx>
            <c:strRef>
              <c:f>'Order and Service summary'!$Q$34</c:f>
              <c:strCache>
                <c:ptCount val="1"/>
                <c:pt idx="0">
                  <c:v>AOM5000</c:v>
                </c:pt>
              </c:strCache>
            </c:strRef>
          </c:tx>
          <c:spPr>
            <a:solidFill>
              <a:schemeClr val="accent2"/>
            </a:solidFill>
            <a:ln>
              <a:noFill/>
            </a:ln>
            <a:effectLst/>
          </c:spPr>
          <c:invertIfNegative val="0"/>
          <c:cat>
            <c:numRef>
              <c:f>'Order and Service summary'!$R$32:$Z$32</c:f>
              <c:numCache>
                <c:formatCode>General</c:formatCode>
                <c:ptCount val="9"/>
                <c:pt idx="0">
                  <c:v>2014</c:v>
                </c:pt>
                <c:pt idx="1">
                  <c:v>2015</c:v>
                </c:pt>
                <c:pt idx="2">
                  <c:v>2016</c:v>
                </c:pt>
                <c:pt idx="3">
                  <c:v>2017</c:v>
                </c:pt>
                <c:pt idx="4">
                  <c:v>2018</c:v>
                </c:pt>
                <c:pt idx="5">
                  <c:v>2019</c:v>
                </c:pt>
                <c:pt idx="6">
                  <c:v>2020</c:v>
                </c:pt>
                <c:pt idx="7">
                  <c:v>2021</c:v>
                </c:pt>
                <c:pt idx="8">
                  <c:v>2022</c:v>
                </c:pt>
              </c:numCache>
            </c:numRef>
          </c:cat>
          <c:val>
            <c:numRef>
              <c:f>'Order and Service summary'!$R$34:$Z$34</c:f>
              <c:numCache>
                <c:formatCode>0.0</c:formatCode>
                <c:ptCount val="9"/>
                <c:pt idx="0">
                  <c:v>8.875</c:v>
                </c:pt>
                <c:pt idx="1">
                  <c:v>10.029411764705882</c:v>
                </c:pt>
                <c:pt idx="2">
                  <c:v>10.199999999999999</c:v>
                </c:pt>
                <c:pt idx="3">
                  <c:v>13.916666666666666</c:v>
                </c:pt>
                <c:pt idx="4">
                  <c:v>15.196078431372548</c:v>
                </c:pt>
                <c:pt idx="5">
                  <c:v>18.914893617021278</c:v>
                </c:pt>
                <c:pt idx="6">
                  <c:v>18.109589041095891</c:v>
                </c:pt>
                <c:pt idx="7">
                  <c:v>18.886792452830189</c:v>
                </c:pt>
                <c:pt idx="8">
                  <c:v>21.591836734693878</c:v>
                </c:pt>
              </c:numCache>
            </c:numRef>
          </c:val>
          <c:extLst>
            <c:ext xmlns:c16="http://schemas.microsoft.com/office/drawing/2014/chart" uri="{C3380CC4-5D6E-409C-BE32-E72D297353CC}">
              <c16:uniqueId val="{00000001-A0C0-43E4-92CD-D86EA44992BB}"/>
            </c:ext>
          </c:extLst>
        </c:ser>
        <c:dLbls>
          <c:showLegendKey val="0"/>
          <c:showVal val="0"/>
          <c:showCatName val="0"/>
          <c:showSerName val="0"/>
          <c:showPercent val="0"/>
          <c:showBubbleSize val="0"/>
        </c:dLbls>
        <c:gapWidth val="219"/>
        <c:overlap val="-27"/>
        <c:axId val="239959952"/>
        <c:axId val="239960344"/>
      </c:barChart>
      <c:catAx>
        <c:axId val="23995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39960344"/>
        <c:crosses val="autoZero"/>
        <c:auto val="1"/>
        <c:lblAlgn val="ctr"/>
        <c:lblOffset val="100"/>
        <c:noMultiLvlLbl val="0"/>
      </c:catAx>
      <c:valAx>
        <c:axId val="239960344"/>
        <c:scaling>
          <c:orientation val="minMax"/>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39959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Service contract type and legnth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'Order and Service summary'!$P$79</c:f>
              <c:strCache>
                <c:ptCount val="1"/>
                <c:pt idx="0">
                  <c:v>0-5</c:v>
                </c:pt>
              </c:strCache>
            </c:strRef>
          </c:tx>
          <c:spPr>
            <a:solidFill>
              <a:schemeClr val="accent2">
                <a:lumMod val="50000"/>
              </a:schemeClr>
            </a:solidFill>
            <a:ln>
              <a:noFill/>
            </a:ln>
            <a:effectLst/>
          </c:spPr>
          <c:invertIfNegative val="0"/>
          <c:cat>
            <c:multiLvlStrRef>
              <c:f>'Order and Service summary'!$Q$77:$AH$78</c:f>
              <c:multiLvlStrCache>
                <c:ptCount val="18"/>
                <c:lvl>
                  <c:pt idx="0">
                    <c:v>AOM4000</c:v>
                  </c:pt>
                  <c:pt idx="1">
                    <c:v>AOM5000</c:v>
                  </c:pt>
                  <c:pt idx="2">
                    <c:v>AOM4000</c:v>
                  </c:pt>
                  <c:pt idx="3">
                    <c:v>AOM5000</c:v>
                  </c:pt>
                  <c:pt idx="4">
                    <c:v>AOM4000</c:v>
                  </c:pt>
                  <c:pt idx="5">
                    <c:v>AOM5000</c:v>
                  </c:pt>
                  <c:pt idx="6">
                    <c:v>AOM4000</c:v>
                  </c:pt>
                  <c:pt idx="7">
                    <c:v>AOM5000</c:v>
                  </c:pt>
                  <c:pt idx="8">
                    <c:v>AOM4000</c:v>
                  </c:pt>
                  <c:pt idx="9">
                    <c:v>AOM5000</c:v>
                  </c:pt>
                  <c:pt idx="10">
                    <c:v>AOM4000</c:v>
                  </c:pt>
                  <c:pt idx="11">
                    <c:v>AOM5000</c:v>
                  </c:pt>
                  <c:pt idx="12">
                    <c:v>AOM4000</c:v>
                  </c:pt>
                  <c:pt idx="13">
                    <c:v>AOM5000</c:v>
                  </c:pt>
                  <c:pt idx="14">
                    <c:v>AOM4000</c:v>
                  </c:pt>
                  <c:pt idx="15">
                    <c:v>AOM5000</c:v>
                  </c:pt>
                  <c:pt idx="16">
                    <c:v>AOM4000</c:v>
                  </c:pt>
                  <c:pt idx="17">
                    <c:v>AOM5000</c:v>
                  </c:pt>
                </c:lvl>
                <c:lvl>
                  <c:pt idx="0">
                    <c:v>2014</c:v>
                  </c:pt>
                  <c:pt idx="1">
                    <c:v>2014</c:v>
                  </c:pt>
                  <c:pt idx="2">
                    <c:v>2015</c:v>
                  </c:pt>
                  <c:pt idx="3">
                    <c:v>2015</c:v>
                  </c:pt>
                  <c:pt idx="4">
                    <c:v>2016</c:v>
                  </c:pt>
                  <c:pt idx="5">
                    <c:v>2016</c:v>
                  </c:pt>
                  <c:pt idx="6">
                    <c:v>2017</c:v>
                  </c:pt>
                  <c:pt idx="7">
                    <c:v>2017</c:v>
                  </c:pt>
                  <c:pt idx="8">
                    <c:v>2018</c:v>
                  </c:pt>
                  <c:pt idx="9">
                    <c:v>2018</c:v>
                  </c:pt>
                  <c:pt idx="10">
                    <c:v>2019</c:v>
                  </c:pt>
                  <c:pt idx="11">
                    <c:v>2019</c:v>
                  </c:pt>
                  <c:pt idx="12">
                    <c:v>2020</c:v>
                  </c:pt>
                  <c:pt idx="13">
                    <c:v>2020</c:v>
                  </c:pt>
                  <c:pt idx="14">
                    <c:v>2021</c:v>
                  </c:pt>
                  <c:pt idx="15">
                    <c:v>2021</c:v>
                  </c:pt>
                  <c:pt idx="16">
                    <c:v>2022</c:v>
                  </c:pt>
                  <c:pt idx="17">
                    <c:v>2022</c:v>
                  </c:pt>
                </c:lvl>
              </c:multiLvlStrCache>
            </c:multiLvlStrRef>
          </c:cat>
          <c:val>
            <c:numRef>
              <c:f>'Order and Service summary'!$Q$79:$AH$79</c:f>
              <c:numCache>
                <c:formatCode>General</c:formatCode>
                <c:ptCount val="18"/>
                <c:pt idx="0">
                  <c:v>606</c:v>
                </c:pt>
                <c:pt idx="1">
                  <c:v>1177</c:v>
                </c:pt>
                <c:pt idx="2">
                  <c:v>33</c:v>
                </c:pt>
                <c:pt idx="3">
                  <c:v>0</c:v>
                </c:pt>
                <c:pt idx="4">
                  <c:v>438</c:v>
                </c:pt>
                <c:pt idx="5">
                  <c:v>1880</c:v>
                </c:pt>
                <c:pt idx="6">
                  <c:v>297</c:v>
                </c:pt>
                <c:pt idx="7">
                  <c:v>726</c:v>
                </c:pt>
                <c:pt idx="8">
                  <c:v>580</c:v>
                </c:pt>
                <c:pt idx="9">
                  <c:v>1808</c:v>
                </c:pt>
                <c:pt idx="10">
                  <c:v>324</c:v>
                </c:pt>
                <c:pt idx="11">
                  <c:v>417</c:v>
                </c:pt>
                <c:pt idx="12">
                  <c:v>993</c:v>
                </c:pt>
                <c:pt idx="13">
                  <c:v>399</c:v>
                </c:pt>
                <c:pt idx="14">
                  <c:v>0</c:v>
                </c:pt>
                <c:pt idx="15">
                  <c:v>0</c:v>
                </c:pt>
                <c:pt idx="16">
                  <c:v>0</c:v>
                </c:pt>
                <c:pt idx="17">
                  <c:v>0</c:v>
                </c:pt>
              </c:numCache>
            </c:numRef>
          </c:val>
          <c:extLst>
            <c:ext xmlns:c16="http://schemas.microsoft.com/office/drawing/2014/chart" uri="{C3380CC4-5D6E-409C-BE32-E72D297353CC}">
              <c16:uniqueId val="{00000000-6AC9-400E-883B-10BD14D5E58D}"/>
            </c:ext>
          </c:extLst>
        </c:ser>
        <c:ser>
          <c:idx val="1"/>
          <c:order val="1"/>
          <c:tx>
            <c:strRef>
              <c:f>'Order and Service summary'!$P$80</c:f>
              <c:strCache>
                <c:ptCount val="1"/>
                <c:pt idx="0">
                  <c:v>5-10</c:v>
                </c:pt>
              </c:strCache>
            </c:strRef>
          </c:tx>
          <c:spPr>
            <a:solidFill>
              <a:schemeClr val="accent2"/>
            </a:solidFill>
            <a:ln>
              <a:noFill/>
            </a:ln>
            <a:effectLst/>
          </c:spPr>
          <c:invertIfNegative val="0"/>
          <c:cat>
            <c:multiLvlStrRef>
              <c:f>'Order and Service summary'!$Q$77:$AH$78</c:f>
              <c:multiLvlStrCache>
                <c:ptCount val="18"/>
                <c:lvl>
                  <c:pt idx="0">
                    <c:v>AOM4000</c:v>
                  </c:pt>
                  <c:pt idx="1">
                    <c:v>AOM5000</c:v>
                  </c:pt>
                  <c:pt idx="2">
                    <c:v>AOM4000</c:v>
                  </c:pt>
                  <c:pt idx="3">
                    <c:v>AOM5000</c:v>
                  </c:pt>
                  <c:pt idx="4">
                    <c:v>AOM4000</c:v>
                  </c:pt>
                  <c:pt idx="5">
                    <c:v>AOM5000</c:v>
                  </c:pt>
                  <c:pt idx="6">
                    <c:v>AOM4000</c:v>
                  </c:pt>
                  <c:pt idx="7">
                    <c:v>AOM5000</c:v>
                  </c:pt>
                  <c:pt idx="8">
                    <c:v>AOM4000</c:v>
                  </c:pt>
                  <c:pt idx="9">
                    <c:v>AOM5000</c:v>
                  </c:pt>
                  <c:pt idx="10">
                    <c:v>AOM4000</c:v>
                  </c:pt>
                  <c:pt idx="11">
                    <c:v>AOM5000</c:v>
                  </c:pt>
                  <c:pt idx="12">
                    <c:v>AOM4000</c:v>
                  </c:pt>
                  <c:pt idx="13">
                    <c:v>AOM5000</c:v>
                  </c:pt>
                  <c:pt idx="14">
                    <c:v>AOM4000</c:v>
                  </c:pt>
                  <c:pt idx="15">
                    <c:v>AOM5000</c:v>
                  </c:pt>
                  <c:pt idx="16">
                    <c:v>AOM4000</c:v>
                  </c:pt>
                  <c:pt idx="17">
                    <c:v>AOM5000</c:v>
                  </c:pt>
                </c:lvl>
                <c:lvl>
                  <c:pt idx="0">
                    <c:v>2014</c:v>
                  </c:pt>
                  <c:pt idx="1">
                    <c:v>2014</c:v>
                  </c:pt>
                  <c:pt idx="2">
                    <c:v>2015</c:v>
                  </c:pt>
                  <c:pt idx="3">
                    <c:v>2015</c:v>
                  </c:pt>
                  <c:pt idx="4">
                    <c:v>2016</c:v>
                  </c:pt>
                  <c:pt idx="5">
                    <c:v>2016</c:v>
                  </c:pt>
                  <c:pt idx="6">
                    <c:v>2017</c:v>
                  </c:pt>
                  <c:pt idx="7">
                    <c:v>2017</c:v>
                  </c:pt>
                  <c:pt idx="8">
                    <c:v>2018</c:v>
                  </c:pt>
                  <c:pt idx="9">
                    <c:v>2018</c:v>
                  </c:pt>
                  <c:pt idx="10">
                    <c:v>2019</c:v>
                  </c:pt>
                  <c:pt idx="11">
                    <c:v>2019</c:v>
                  </c:pt>
                  <c:pt idx="12">
                    <c:v>2020</c:v>
                  </c:pt>
                  <c:pt idx="13">
                    <c:v>2020</c:v>
                  </c:pt>
                  <c:pt idx="14">
                    <c:v>2021</c:v>
                  </c:pt>
                  <c:pt idx="15">
                    <c:v>2021</c:v>
                  </c:pt>
                  <c:pt idx="16">
                    <c:v>2022</c:v>
                  </c:pt>
                  <c:pt idx="17">
                    <c:v>2022</c:v>
                  </c:pt>
                </c:lvl>
              </c:multiLvlStrCache>
            </c:multiLvlStrRef>
          </c:cat>
          <c:val>
            <c:numRef>
              <c:f>'Order and Service summary'!$Q$80:$AH$80</c:f>
              <c:numCache>
                <c:formatCode>General</c:formatCode>
                <c:ptCount val="18"/>
                <c:pt idx="0">
                  <c:v>201</c:v>
                </c:pt>
                <c:pt idx="1">
                  <c:v>1092</c:v>
                </c:pt>
                <c:pt idx="2">
                  <c:v>0</c:v>
                </c:pt>
                <c:pt idx="3">
                  <c:v>0</c:v>
                </c:pt>
                <c:pt idx="4">
                  <c:v>521</c:v>
                </c:pt>
                <c:pt idx="5">
                  <c:v>365</c:v>
                </c:pt>
                <c:pt idx="6">
                  <c:v>447</c:v>
                </c:pt>
                <c:pt idx="7">
                  <c:v>765</c:v>
                </c:pt>
                <c:pt idx="8">
                  <c:v>0</c:v>
                </c:pt>
                <c:pt idx="9">
                  <c:v>1594</c:v>
                </c:pt>
                <c:pt idx="10">
                  <c:v>98</c:v>
                </c:pt>
                <c:pt idx="11">
                  <c:v>2040</c:v>
                </c:pt>
                <c:pt idx="12">
                  <c:v>327</c:v>
                </c:pt>
                <c:pt idx="13">
                  <c:v>1615</c:v>
                </c:pt>
                <c:pt idx="14">
                  <c:v>0</c:v>
                </c:pt>
                <c:pt idx="15">
                  <c:v>0</c:v>
                </c:pt>
                <c:pt idx="16">
                  <c:v>0</c:v>
                </c:pt>
                <c:pt idx="17">
                  <c:v>0</c:v>
                </c:pt>
              </c:numCache>
            </c:numRef>
          </c:val>
          <c:extLst>
            <c:ext xmlns:c16="http://schemas.microsoft.com/office/drawing/2014/chart" uri="{C3380CC4-5D6E-409C-BE32-E72D297353CC}">
              <c16:uniqueId val="{00000001-6AC9-400E-883B-10BD14D5E58D}"/>
            </c:ext>
          </c:extLst>
        </c:ser>
        <c:ser>
          <c:idx val="2"/>
          <c:order val="2"/>
          <c:tx>
            <c:strRef>
              <c:f>'Order and Service summary'!$P$81</c:f>
              <c:strCache>
                <c:ptCount val="1"/>
                <c:pt idx="0">
                  <c:v>10-15</c:v>
                </c:pt>
              </c:strCache>
            </c:strRef>
          </c:tx>
          <c:spPr>
            <a:solidFill>
              <a:schemeClr val="accent3"/>
            </a:solidFill>
            <a:ln>
              <a:noFill/>
            </a:ln>
            <a:effectLst/>
          </c:spPr>
          <c:invertIfNegative val="0"/>
          <c:cat>
            <c:multiLvlStrRef>
              <c:f>'Order and Service summary'!$Q$77:$AH$78</c:f>
              <c:multiLvlStrCache>
                <c:ptCount val="18"/>
                <c:lvl>
                  <c:pt idx="0">
                    <c:v>AOM4000</c:v>
                  </c:pt>
                  <c:pt idx="1">
                    <c:v>AOM5000</c:v>
                  </c:pt>
                  <c:pt idx="2">
                    <c:v>AOM4000</c:v>
                  </c:pt>
                  <c:pt idx="3">
                    <c:v>AOM5000</c:v>
                  </c:pt>
                  <c:pt idx="4">
                    <c:v>AOM4000</c:v>
                  </c:pt>
                  <c:pt idx="5">
                    <c:v>AOM5000</c:v>
                  </c:pt>
                  <c:pt idx="6">
                    <c:v>AOM4000</c:v>
                  </c:pt>
                  <c:pt idx="7">
                    <c:v>AOM5000</c:v>
                  </c:pt>
                  <c:pt idx="8">
                    <c:v>AOM4000</c:v>
                  </c:pt>
                  <c:pt idx="9">
                    <c:v>AOM5000</c:v>
                  </c:pt>
                  <c:pt idx="10">
                    <c:v>AOM4000</c:v>
                  </c:pt>
                  <c:pt idx="11">
                    <c:v>AOM5000</c:v>
                  </c:pt>
                  <c:pt idx="12">
                    <c:v>AOM4000</c:v>
                  </c:pt>
                  <c:pt idx="13">
                    <c:v>AOM5000</c:v>
                  </c:pt>
                  <c:pt idx="14">
                    <c:v>AOM4000</c:v>
                  </c:pt>
                  <c:pt idx="15">
                    <c:v>AOM5000</c:v>
                  </c:pt>
                  <c:pt idx="16">
                    <c:v>AOM4000</c:v>
                  </c:pt>
                  <c:pt idx="17">
                    <c:v>AOM5000</c:v>
                  </c:pt>
                </c:lvl>
                <c:lvl>
                  <c:pt idx="0">
                    <c:v>2014</c:v>
                  </c:pt>
                  <c:pt idx="1">
                    <c:v>2014</c:v>
                  </c:pt>
                  <c:pt idx="2">
                    <c:v>2015</c:v>
                  </c:pt>
                  <c:pt idx="3">
                    <c:v>2015</c:v>
                  </c:pt>
                  <c:pt idx="4">
                    <c:v>2016</c:v>
                  </c:pt>
                  <c:pt idx="5">
                    <c:v>2016</c:v>
                  </c:pt>
                  <c:pt idx="6">
                    <c:v>2017</c:v>
                  </c:pt>
                  <c:pt idx="7">
                    <c:v>2017</c:v>
                  </c:pt>
                  <c:pt idx="8">
                    <c:v>2018</c:v>
                  </c:pt>
                  <c:pt idx="9">
                    <c:v>2018</c:v>
                  </c:pt>
                  <c:pt idx="10">
                    <c:v>2019</c:v>
                  </c:pt>
                  <c:pt idx="11">
                    <c:v>2019</c:v>
                  </c:pt>
                  <c:pt idx="12">
                    <c:v>2020</c:v>
                  </c:pt>
                  <c:pt idx="13">
                    <c:v>2020</c:v>
                  </c:pt>
                  <c:pt idx="14">
                    <c:v>2021</c:v>
                  </c:pt>
                  <c:pt idx="15">
                    <c:v>2021</c:v>
                  </c:pt>
                  <c:pt idx="16">
                    <c:v>2022</c:v>
                  </c:pt>
                  <c:pt idx="17">
                    <c:v>2022</c:v>
                  </c:pt>
                </c:lvl>
              </c:multiLvlStrCache>
            </c:multiLvlStrRef>
          </c:cat>
          <c:val>
            <c:numRef>
              <c:f>'Order and Service summary'!$Q$81:$AH$81</c:f>
              <c:numCache>
                <c:formatCode>General</c:formatCode>
                <c:ptCount val="18"/>
                <c:pt idx="0">
                  <c:v>427</c:v>
                </c:pt>
                <c:pt idx="1">
                  <c:v>290</c:v>
                </c:pt>
                <c:pt idx="2">
                  <c:v>0</c:v>
                </c:pt>
                <c:pt idx="3">
                  <c:v>0</c:v>
                </c:pt>
                <c:pt idx="4">
                  <c:v>323</c:v>
                </c:pt>
                <c:pt idx="5">
                  <c:v>351</c:v>
                </c:pt>
                <c:pt idx="6">
                  <c:v>310</c:v>
                </c:pt>
                <c:pt idx="7">
                  <c:v>966</c:v>
                </c:pt>
                <c:pt idx="8">
                  <c:v>154</c:v>
                </c:pt>
                <c:pt idx="9">
                  <c:v>946.39999999999964</c:v>
                </c:pt>
                <c:pt idx="10">
                  <c:v>783</c:v>
                </c:pt>
                <c:pt idx="11">
                  <c:v>522</c:v>
                </c:pt>
                <c:pt idx="12">
                  <c:v>46</c:v>
                </c:pt>
                <c:pt idx="13">
                  <c:v>1189</c:v>
                </c:pt>
                <c:pt idx="14">
                  <c:v>0</c:v>
                </c:pt>
                <c:pt idx="15">
                  <c:v>0</c:v>
                </c:pt>
                <c:pt idx="16">
                  <c:v>0</c:v>
                </c:pt>
                <c:pt idx="17">
                  <c:v>0</c:v>
                </c:pt>
              </c:numCache>
            </c:numRef>
          </c:val>
          <c:extLst>
            <c:ext xmlns:c16="http://schemas.microsoft.com/office/drawing/2014/chart" uri="{C3380CC4-5D6E-409C-BE32-E72D297353CC}">
              <c16:uniqueId val="{00000002-6AC9-400E-883B-10BD14D5E58D}"/>
            </c:ext>
          </c:extLst>
        </c:ser>
        <c:ser>
          <c:idx val="3"/>
          <c:order val="3"/>
          <c:tx>
            <c:strRef>
              <c:f>'Order and Service summary'!$P$82</c:f>
              <c:strCache>
                <c:ptCount val="1"/>
                <c:pt idx="0">
                  <c:v>15-20</c:v>
                </c:pt>
              </c:strCache>
            </c:strRef>
          </c:tx>
          <c:spPr>
            <a:solidFill>
              <a:schemeClr val="accent4"/>
            </a:solidFill>
            <a:ln>
              <a:noFill/>
            </a:ln>
            <a:effectLst/>
          </c:spPr>
          <c:invertIfNegative val="0"/>
          <c:cat>
            <c:multiLvlStrRef>
              <c:f>'Order and Service summary'!$Q$77:$AH$78</c:f>
              <c:multiLvlStrCache>
                <c:ptCount val="18"/>
                <c:lvl>
                  <c:pt idx="0">
                    <c:v>AOM4000</c:v>
                  </c:pt>
                  <c:pt idx="1">
                    <c:v>AOM5000</c:v>
                  </c:pt>
                  <c:pt idx="2">
                    <c:v>AOM4000</c:v>
                  </c:pt>
                  <c:pt idx="3">
                    <c:v>AOM5000</c:v>
                  </c:pt>
                  <c:pt idx="4">
                    <c:v>AOM4000</c:v>
                  </c:pt>
                  <c:pt idx="5">
                    <c:v>AOM5000</c:v>
                  </c:pt>
                  <c:pt idx="6">
                    <c:v>AOM4000</c:v>
                  </c:pt>
                  <c:pt idx="7">
                    <c:v>AOM5000</c:v>
                  </c:pt>
                  <c:pt idx="8">
                    <c:v>AOM4000</c:v>
                  </c:pt>
                  <c:pt idx="9">
                    <c:v>AOM5000</c:v>
                  </c:pt>
                  <c:pt idx="10">
                    <c:v>AOM4000</c:v>
                  </c:pt>
                  <c:pt idx="11">
                    <c:v>AOM5000</c:v>
                  </c:pt>
                  <c:pt idx="12">
                    <c:v>AOM4000</c:v>
                  </c:pt>
                  <c:pt idx="13">
                    <c:v>AOM5000</c:v>
                  </c:pt>
                  <c:pt idx="14">
                    <c:v>AOM4000</c:v>
                  </c:pt>
                  <c:pt idx="15">
                    <c:v>AOM5000</c:v>
                  </c:pt>
                  <c:pt idx="16">
                    <c:v>AOM4000</c:v>
                  </c:pt>
                  <c:pt idx="17">
                    <c:v>AOM5000</c:v>
                  </c:pt>
                </c:lvl>
                <c:lvl>
                  <c:pt idx="0">
                    <c:v>2014</c:v>
                  </c:pt>
                  <c:pt idx="1">
                    <c:v>2014</c:v>
                  </c:pt>
                  <c:pt idx="2">
                    <c:v>2015</c:v>
                  </c:pt>
                  <c:pt idx="3">
                    <c:v>2015</c:v>
                  </c:pt>
                  <c:pt idx="4">
                    <c:v>2016</c:v>
                  </c:pt>
                  <c:pt idx="5">
                    <c:v>2016</c:v>
                  </c:pt>
                  <c:pt idx="6">
                    <c:v>2017</c:v>
                  </c:pt>
                  <c:pt idx="7">
                    <c:v>2017</c:v>
                  </c:pt>
                  <c:pt idx="8">
                    <c:v>2018</c:v>
                  </c:pt>
                  <c:pt idx="9">
                    <c:v>2018</c:v>
                  </c:pt>
                  <c:pt idx="10">
                    <c:v>2019</c:v>
                  </c:pt>
                  <c:pt idx="11">
                    <c:v>2019</c:v>
                  </c:pt>
                  <c:pt idx="12">
                    <c:v>2020</c:v>
                  </c:pt>
                  <c:pt idx="13">
                    <c:v>2020</c:v>
                  </c:pt>
                  <c:pt idx="14">
                    <c:v>2021</c:v>
                  </c:pt>
                  <c:pt idx="15">
                    <c:v>2021</c:v>
                  </c:pt>
                  <c:pt idx="16">
                    <c:v>2022</c:v>
                  </c:pt>
                  <c:pt idx="17">
                    <c:v>2022</c:v>
                  </c:pt>
                </c:lvl>
              </c:multiLvlStrCache>
            </c:multiLvlStrRef>
          </c:cat>
          <c:val>
            <c:numRef>
              <c:f>'Order and Service summary'!$Q$82:$AH$82</c:f>
              <c:numCache>
                <c:formatCode>General</c:formatCode>
                <c:ptCount val="18"/>
                <c:pt idx="0">
                  <c:v>0</c:v>
                </c:pt>
                <c:pt idx="1">
                  <c:v>0</c:v>
                </c:pt>
                <c:pt idx="2">
                  <c:v>0</c:v>
                </c:pt>
                <c:pt idx="3">
                  <c:v>0</c:v>
                </c:pt>
                <c:pt idx="4">
                  <c:v>536</c:v>
                </c:pt>
                <c:pt idx="5">
                  <c:v>172</c:v>
                </c:pt>
                <c:pt idx="6">
                  <c:v>255</c:v>
                </c:pt>
                <c:pt idx="7">
                  <c:v>1236</c:v>
                </c:pt>
                <c:pt idx="8">
                  <c:v>131.79999999999995</c:v>
                </c:pt>
                <c:pt idx="9">
                  <c:v>1092</c:v>
                </c:pt>
                <c:pt idx="10">
                  <c:v>763</c:v>
                </c:pt>
                <c:pt idx="11">
                  <c:v>1067</c:v>
                </c:pt>
                <c:pt idx="12">
                  <c:v>653</c:v>
                </c:pt>
                <c:pt idx="13">
                  <c:v>3255</c:v>
                </c:pt>
                <c:pt idx="14">
                  <c:v>0</c:v>
                </c:pt>
                <c:pt idx="15">
                  <c:v>0</c:v>
                </c:pt>
                <c:pt idx="16">
                  <c:v>0</c:v>
                </c:pt>
                <c:pt idx="17">
                  <c:v>0</c:v>
                </c:pt>
              </c:numCache>
            </c:numRef>
          </c:val>
          <c:extLst>
            <c:ext xmlns:c16="http://schemas.microsoft.com/office/drawing/2014/chart" uri="{C3380CC4-5D6E-409C-BE32-E72D297353CC}">
              <c16:uniqueId val="{00000003-6AC9-400E-883B-10BD14D5E58D}"/>
            </c:ext>
          </c:extLst>
        </c:ser>
        <c:ser>
          <c:idx val="4"/>
          <c:order val="4"/>
          <c:tx>
            <c:strRef>
              <c:f>'Order and Service summary'!$P$83</c:f>
              <c:strCache>
                <c:ptCount val="1"/>
                <c:pt idx="0">
                  <c:v>20+</c:v>
                </c:pt>
              </c:strCache>
            </c:strRef>
          </c:tx>
          <c:spPr>
            <a:solidFill>
              <a:schemeClr val="accent5"/>
            </a:solidFill>
            <a:ln>
              <a:noFill/>
            </a:ln>
            <a:effectLst/>
          </c:spPr>
          <c:invertIfNegative val="0"/>
          <c:cat>
            <c:multiLvlStrRef>
              <c:f>'Order and Service summary'!$Q$77:$AH$78</c:f>
              <c:multiLvlStrCache>
                <c:ptCount val="18"/>
                <c:lvl>
                  <c:pt idx="0">
                    <c:v>AOM4000</c:v>
                  </c:pt>
                  <c:pt idx="1">
                    <c:v>AOM5000</c:v>
                  </c:pt>
                  <c:pt idx="2">
                    <c:v>AOM4000</c:v>
                  </c:pt>
                  <c:pt idx="3">
                    <c:v>AOM5000</c:v>
                  </c:pt>
                  <c:pt idx="4">
                    <c:v>AOM4000</c:v>
                  </c:pt>
                  <c:pt idx="5">
                    <c:v>AOM5000</c:v>
                  </c:pt>
                  <c:pt idx="6">
                    <c:v>AOM4000</c:v>
                  </c:pt>
                  <c:pt idx="7">
                    <c:v>AOM5000</c:v>
                  </c:pt>
                  <c:pt idx="8">
                    <c:v>AOM4000</c:v>
                  </c:pt>
                  <c:pt idx="9">
                    <c:v>AOM5000</c:v>
                  </c:pt>
                  <c:pt idx="10">
                    <c:v>AOM4000</c:v>
                  </c:pt>
                  <c:pt idx="11">
                    <c:v>AOM5000</c:v>
                  </c:pt>
                  <c:pt idx="12">
                    <c:v>AOM4000</c:v>
                  </c:pt>
                  <c:pt idx="13">
                    <c:v>AOM5000</c:v>
                  </c:pt>
                  <c:pt idx="14">
                    <c:v>AOM4000</c:v>
                  </c:pt>
                  <c:pt idx="15">
                    <c:v>AOM5000</c:v>
                  </c:pt>
                  <c:pt idx="16">
                    <c:v>AOM4000</c:v>
                  </c:pt>
                  <c:pt idx="17">
                    <c:v>AOM5000</c:v>
                  </c:pt>
                </c:lvl>
                <c:lvl>
                  <c:pt idx="0">
                    <c:v>2014</c:v>
                  </c:pt>
                  <c:pt idx="1">
                    <c:v>2014</c:v>
                  </c:pt>
                  <c:pt idx="2">
                    <c:v>2015</c:v>
                  </c:pt>
                  <c:pt idx="3">
                    <c:v>2015</c:v>
                  </c:pt>
                  <c:pt idx="4">
                    <c:v>2016</c:v>
                  </c:pt>
                  <c:pt idx="5">
                    <c:v>2016</c:v>
                  </c:pt>
                  <c:pt idx="6">
                    <c:v>2017</c:v>
                  </c:pt>
                  <c:pt idx="7">
                    <c:v>2017</c:v>
                  </c:pt>
                  <c:pt idx="8">
                    <c:v>2018</c:v>
                  </c:pt>
                  <c:pt idx="9">
                    <c:v>2018</c:v>
                  </c:pt>
                  <c:pt idx="10">
                    <c:v>2019</c:v>
                  </c:pt>
                  <c:pt idx="11">
                    <c:v>2019</c:v>
                  </c:pt>
                  <c:pt idx="12">
                    <c:v>2020</c:v>
                  </c:pt>
                  <c:pt idx="13">
                    <c:v>2020</c:v>
                  </c:pt>
                  <c:pt idx="14">
                    <c:v>2021</c:v>
                  </c:pt>
                  <c:pt idx="15">
                    <c:v>2021</c:v>
                  </c:pt>
                  <c:pt idx="16">
                    <c:v>2022</c:v>
                  </c:pt>
                  <c:pt idx="17">
                    <c:v>2022</c:v>
                  </c:pt>
                </c:lvl>
              </c:multiLvlStrCache>
            </c:multiLvlStrRef>
          </c:cat>
          <c:val>
            <c:numRef>
              <c:f>'Order and Service summary'!$Q$83:$AH$83</c:f>
              <c:numCache>
                <c:formatCode>General</c:formatCode>
                <c:ptCount val="18"/>
                <c:pt idx="0">
                  <c:v>0</c:v>
                </c:pt>
                <c:pt idx="1">
                  <c:v>0</c:v>
                </c:pt>
                <c:pt idx="2">
                  <c:v>0</c:v>
                </c:pt>
                <c:pt idx="3">
                  <c:v>0</c:v>
                </c:pt>
                <c:pt idx="4">
                  <c:v>0</c:v>
                </c:pt>
                <c:pt idx="5">
                  <c:v>0</c:v>
                </c:pt>
                <c:pt idx="6">
                  <c:v>54</c:v>
                </c:pt>
                <c:pt idx="7">
                  <c:v>49</c:v>
                </c:pt>
                <c:pt idx="8">
                  <c:v>0</c:v>
                </c:pt>
                <c:pt idx="9">
                  <c:v>1402</c:v>
                </c:pt>
                <c:pt idx="10">
                  <c:v>246</c:v>
                </c:pt>
                <c:pt idx="11">
                  <c:v>2167</c:v>
                </c:pt>
                <c:pt idx="12">
                  <c:v>68</c:v>
                </c:pt>
                <c:pt idx="13">
                  <c:v>2125</c:v>
                </c:pt>
                <c:pt idx="14">
                  <c:v>0</c:v>
                </c:pt>
                <c:pt idx="15">
                  <c:v>0</c:v>
                </c:pt>
                <c:pt idx="16">
                  <c:v>0</c:v>
                </c:pt>
                <c:pt idx="17">
                  <c:v>0</c:v>
                </c:pt>
              </c:numCache>
            </c:numRef>
          </c:val>
          <c:extLst>
            <c:ext xmlns:c16="http://schemas.microsoft.com/office/drawing/2014/chart" uri="{C3380CC4-5D6E-409C-BE32-E72D297353CC}">
              <c16:uniqueId val="{00000004-6AC9-400E-883B-10BD14D5E58D}"/>
            </c:ext>
          </c:extLst>
        </c:ser>
        <c:ser>
          <c:idx val="5"/>
          <c:order val="5"/>
          <c:tx>
            <c:strRef>
              <c:f>'Order and Service summary'!$P$84</c:f>
              <c:strCache>
                <c:ptCount val="1"/>
                <c:pt idx="0">
                  <c:v>no info</c:v>
                </c:pt>
              </c:strCache>
            </c:strRef>
          </c:tx>
          <c:spPr>
            <a:solidFill>
              <a:schemeClr val="accent6"/>
            </a:solidFill>
            <a:ln>
              <a:noFill/>
            </a:ln>
            <a:effectLst/>
          </c:spPr>
          <c:invertIfNegative val="0"/>
          <c:cat>
            <c:multiLvlStrRef>
              <c:f>'Order and Service summary'!$Q$77:$AH$78</c:f>
              <c:multiLvlStrCache>
                <c:ptCount val="18"/>
                <c:lvl>
                  <c:pt idx="0">
                    <c:v>AOM4000</c:v>
                  </c:pt>
                  <c:pt idx="1">
                    <c:v>AOM5000</c:v>
                  </c:pt>
                  <c:pt idx="2">
                    <c:v>AOM4000</c:v>
                  </c:pt>
                  <c:pt idx="3">
                    <c:v>AOM5000</c:v>
                  </c:pt>
                  <c:pt idx="4">
                    <c:v>AOM4000</c:v>
                  </c:pt>
                  <c:pt idx="5">
                    <c:v>AOM5000</c:v>
                  </c:pt>
                  <c:pt idx="6">
                    <c:v>AOM4000</c:v>
                  </c:pt>
                  <c:pt idx="7">
                    <c:v>AOM5000</c:v>
                  </c:pt>
                  <c:pt idx="8">
                    <c:v>AOM4000</c:v>
                  </c:pt>
                  <c:pt idx="9">
                    <c:v>AOM5000</c:v>
                  </c:pt>
                  <c:pt idx="10">
                    <c:v>AOM4000</c:v>
                  </c:pt>
                  <c:pt idx="11">
                    <c:v>AOM5000</c:v>
                  </c:pt>
                  <c:pt idx="12">
                    <c:v>AOM4000</c:v>
                  </c:pt>
                  <c:pt idx="13">
                    <c:v>AOM5000</c:v>
                  </c:pt>
                  <c:pt idx="14">
                    <c:v>AOM4000</c:v>
                  </c:pt>
                  <c:pt idx="15">
                    <c:v>AOM5000</c:v>
                  </c:pt>
                  <c:pt idx="16">
                    <c:v>AOM4000</c:v>
                  </c:pt>
                  <c:pt idx="17">
                    <c:v>AOM5000</c:v>
                  </c:pt>
                </c:lvl>
                <c:lvl>
                  <c:pt idx="0">
                    <c:v>2014</c:v>
                  </c:pt>
                  <c:pt idx="1">
                    <c:v>2014</c:v>
                  </c:pt>
                  <c:pt idx="2">
                    <c:v>2015</c:v>
                  </c:pt>
                  <c:pt idx="3">
                    <c:v>2015</c:v>
                  </c:pt>
                  <c:pt idx="4">
                    <c:v>2016</c:v>
                  </c:pt>
                  <c:pt idx="5">
                    <c:v>2016</c:v>
                  </c:pt>
                  <c:pt idx="6">
                    <c:v>2017</c:v>
                  </c:pt>
                  <c:pt idx="7">
                    <c:v>2017</c:v>
                  </c:pt>
                  <c:pt idx="8">
                    <c:v>2018</c:v>
                  </c:pt>
                  <c:pt idx="9">
                    <c:v>2018</c:v>
                  </c:pt>
                  <c:pt idx="10">
                    <c:v>2019</c:v>
                  </c:pt>
                  <c:pt idx="11">
                    <c:v>2019</c:v>
                  </c:pt>
                  <c:pt idx="12">
                    <c:v>2020</c:v>
                  </c:pt>
                  <c:pt idx="13">
                    <c:v>2020</c:v>
                  </c:pt>
                  <c:pt idx="14">
                    <c:v>2021</c:v>
                  </c:pt>
                  <c:pt idx="15">
                    <c:v>2021</c:v>
                  </c:pt>
                  <c:pt idx="16">
                    <c:v>2022</c:v>
                  </c:pt>
                  <c:pt idx="17">
                    <c:v>2022</c:v>
                  </c:pt>
                </c:lvl>
              </c:multiLvlStrCache>
            </c:multiLvlStrRef>
          </c:cat>
          <c:val>
            <c:numRef>
              <c:f>'Order and Service summary'!$Q$84:$AH$84</c:f>
              <c:numCache>
                <c:formatCode>General</c:formatCode>
                <c:ptCount val="18"/>
                <c:pt idx="0">
                  <c:v>0</c:v>
                </c:pt>
                <c:pt idx="1">
                  <c:v>0</c:v>
                </c:pt>
                <c:pt idx="2">
                  <c:v>2330</c:v>
                </c:pt>
                <c:pt idx="3">
                  <c:v>3421</c:v>
                </c:pt>
                <c:pt idx="4">
                  <c:v>31</c:v>
                </c:pt>
                <c:pt idx="5">
                  <c:v>422</c:v>
                </c:pt>
                <c:pt idx="6">
                  <c:v>422</c:v>
                </c:pt>
                <c:pt idx="7">
                  <c:v>809</c:v>
                </c:pt>
                <c:pt idx="8">
                  <c:v>337</c:v>
                </c:pt>
                <c:pt idx="9">
                  <c:v>518</c:v>
                </c:pt>
                <c:pt idx="10">
                  <c:v>0</c:v>
                </c:pt>
                <c:pt idx="11">
                  <c:v>388</c:v>
                </c:pt>
                <c:pt idx="12">
                  <c:v>0</c:v>
                </c:pt>
                <c:pt idx="13">
                  <c:v>921</c:v>
                </c:pt>
                <c:pt idx="14">
                  <c:v>587</c:v>
                </c:pt>
                <c:pt idx="15">
                  <c:v>8612</c:v>
                </c:pt>
                <c:pt idx="16">
                  <c:v>568</c:v>
                </c:pt>
                <c:pt idx="17">
                  <c:v>7190</c:v>
                </c:pt>
              </c:numCache>
            </c:numRef>
          </c:val>
          <c:extLst>
            <c:ext xmlns:c16="http://schemas.microsoft.com/office/drawing/2014/chart" uri="{C3380CC4-5D6E-409C-BE32-E72D297353CC}">
              <c16:uniqueId val="{00000005-6AC9-400E-883B-10BD14D5E58D}"/>
            </c:ext>
          </c:extLst>
        </c:ser>
        <c:dLbls>
          <c:showLegendKey val="0"/>
          <c:showVal val="0"/>
          <c:showCatName val="0"/>
          <c:showSerName val="0"/>
          <c:showPercent val="0"/>
          <c:showBubbleSize val="0"/>
        </c:dLbls>
        <c:gapWidth val="219"/>
        <c:axId val="239961128"/>
        <c:axId val="239961520"/>
      </c:barChart>
      <c:catAx>
        <c:axId val="239961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39961520"/>
        <c:crosses val="autoZero"/>
        <c:auto val="1"/>
        <c:lblAlgn val="ctr"/>
        <c:lblOffset val="100"/>
        <c:noMultiLvlLbl val="0"/>
      </c:catAx>
      <c:valAx>
        <c:axId val="23996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39961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length</a:t>
            </a:r>
            <a:r>
              <a:rPr lang="en-US" baseline="0"/>
              <a:t> of Indian Service contracts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'Order and Service summary'!$Q$61</c:f>
              <c:strCache>
                <c:ptCount val="1"/>
                <c:pt idx="0">
                  <c:v>AOM4000</c:v>
                </c:pt>
              </c:strCache>
            </c:strRef>
          </c:tx>
          <c:spPr>
            <a:solidFill>
              <a:schemeClr val="accent1"/>
            </a:solidFill>
            <a:ln>
              <a:noFill/>
            </a:ln>
            <a:effectLst/>
          </c:spPr>
          <c:invertIfNegative val="0"/>
          <c:cat>
            <c:numRef>
              <c:f>'Order and Service summary'!$R$55:$V$55</c:f>
              <c:numCache>
                <c:formatCode>General</c:formatCode>
                <c:ptCount val="5"/>
                <c:pt idx="0">
                  <c:v>2015</c:v>
                </c:pt>
                <c:pt idx="1">
                  <c:v>2016</c:v>
                </c:pt>
                <c:pt idx="2">
                  <c:v>2017</c:v>
                </c:pt>
                <c:pt idx="3">
                  <c:v>2018</c:v>
                </c:pt>
                <c:pt idx="4">
                  <c:v>2019</c:v>
                </c:pt>
              </c:numCache>
            </c:numRef>
          </c:cat>
          <c:val>
            <c:numRef>
              <c:f>'Order and Service summary'!$R$56:$V$56</c:f>
              <c:numCache>
                <c:formatCode>General</c:formatCode>
                <c:ptCount val="5"/>
                <c:pt idx="2">
                  <c:v>10</c:v>
                </c:pt>
              </c:numCache>
            </c:numRef>
          </c:val>
          <c:extLst>
            <c:ext xmlns:c16="http://schemas.microsoft.com/office/drawing/2014/chart" uri="{C3380CC4-5D6E-409C-BE32-E72D297353CC}">
              <c16:uniqueId val="{00000000-8D12-41DA-A5ED-998453F9345D}"/>
            </c:ext>
          </c:extLst>
        </c:ser>
        <c:ser>
          <c:idx val="1"/>
          <c:order val="1"/>
          <c:tx>
            <c:strRef>
              <c:f>'Order and Service summary'!$Q$62</c:f>
              <c:strCache>
                <c:ptCount val="1"/>
                <c:pt idx="0">
                  <c:v>AOM5000</c:v>
                </c:pt>
              </c:strCache>
            </c:strRef>
          </c:tx>
          <c:spPr>
            <a:solidFill>
              <a:schemeClr val="accent2"/>
            </a:solidFill>
            <a:ln>
              <a:noFill/>
            </a:ln>
            <a:effectLst/>
          </c:spPr>
          <c:invertIfNegative val="0"/>
          <c:cat>
            <c:numRef>
              <c:f>'Order and Service summary'!$R$55:$V$55</c:f>
              <c:numCache>
                <c:formatCode>General</c:formatCode>
                <c:ptCount val="5"/>
                <c:pt idx="0">
                  <c:v>2015</c:v>
                </c:pt>
                <c:pt idx="1">
                  <c:v>2016</c:v>
                </c:pt>
                <c:pt idx="2">
                  <c:v>2017</c:v>
                </c:pt>
                <c:pt idx="3">
                  <c:v>2018</c:v>
                </c:pt>
                <c:pt idx="4">
                  <c:v>2019</c:v>
                </c:pt>
              </c:numCache>
            </c:numRef>
          </c:cat>
          <c:val>
            <c:numRef>
              <c:f>'Order and Service summary'!$R$57:$V$57</c:f>
              <c:numCache>
                <c:formatCode>General</c:formatCode>
                <c:ptCount val="5"/>
                <c:pt idx="0">
                  <c:v>10</c:v>
                </c:pt>
                <c:pt idx="2">
                  <c:v>15</c:v>
                </c:pt>
                <c:pt idx="3">
                  <c:v>11.666666666666666</c:v>
                </c:pt>
                <c:pt idx="4">
                  <c:v>15</c:v>
                </c:pt>
              </c:numCache>
            </c:numRef>
          </c:val>
          <c:extLst>
            <c:ext xmlns:c16="http://schemas.microsoft.com/office/drawing/2014/chart" uri="{C3380CC4-5D6E-409C-BE32-E72D297353CC}">
              <c16:uniqueId val="{00000001-8D12-41DA-A5ED-998453F9345D}"/>
            </c:ext>
          </c:extLst>
        </c:ser>
        <c:dLbls>
          <c:showLegendKey val="0"/>
          <c:showVal val="0"/>
          <c:showCatName val="0"/>
          <c:showSerName val="0"/>
          <c:showPercent val="0"/>
          <c:showBubbleSize val="0"/>
        </c:dLbls>
        <c:gapWidth val="219"/>
        <c:overlap val="-27"/>
        <c:axId val="239962304"/>
        <c:axId val="239962696"/>
      </c:barChart>
      <c:catAx>
        <c:axId val="23996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39962696"/>
        <c:crosses val="autoZero"/>
        <c:auto val="1"/>
        <c:lblAlgn val="ctr"/>
        <c:lblOffset val="100"/>
        <c:noMultiLvlLbl val="0"/>
      </c:catAx>
      <c:valAx>
        <c:axId val="239962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39962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Germany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'Order and Service summary'!$C$86</c:f>
              <c:strCache>
                <c:ptCount val="1"/>
                <c:pt idx="0">
                  <c:v>AOM4000</c:v>
                </c:pt>
              </c:strCache>
            </c:strRef>
          </c:tx>
          <c:spPr>
            <a:solidFill>
              <a:schemeClr val="accent1"/>
            </a:solidFill>
            <a:ln>
              <a:noFill/>
            </a:ln>
            <a:effectLst/>
          </c:spPr>
          <c:invertIfNegative val="0"/>
          <c:cat>
            <c:numRef>
              <c:f>'Order and Service summary'!$D$85:$H$85</c:f>
              <c:numCache>
                <c:formatCode>General</c:formatCode>
                <c:ptCount val="5"/>
                <c:pt idx="0">
                  <c:v>2014</c:v>
                </c:pt>
                <c:pt idx="1">
                  <c:v>2015</c:v>
                </c:pt>
                <c:pt idx="2">
                  <c:v>2016</c:v>
                </c:pt>
                <c:pt idx="3">
                  <c:v>2017</c:v>
                </c:pt>
                <c:pt idx="4">
                  <c:v>2018</c:v>
                </c:pt>
              </c:numCache>
            </c:numRef>
          </c:cat>
          <c:val>
            <c:numRef>
              <c:f>'Order and Service summary'!$D$86:$H$86</c:f>
              <c:numCache>
                <c:formatCode>General</c:formatCode>
                <c:ptCount val="5"/>
                <c:pt idx="0">
                  <c:v>79</c:v>
                </c:pt>
                <c:pt idx="1">
                  <c:v>26</c:v>
                </c:pt>
                <c:pt idx="2">
                  <c:v>76</c:v>
                </c:pt>
                <c:pt idx="3">
                  <c:v>53</c:v>
                </c:pt>
                <c:pt idx="4">
                  <c:v>58.800000000000004</c:v>
                </c:pt>
              </c:numCache>
            </c:numRef>
          </c:val>
          <c:extLst>
            <c:ext xmlns:c16="http://schemas.microsoft.com/office/drawing/2014/chart" uri="{C3380CC4-5D6E-409C-BE32-E72D297353CC}">
              <c16:uniqueId val="{00000000-E685-4DDE-84FE-56C9ADA0A4DD}"/>
            </c:ext>
          </c:extLst>
        </c:ser>
        <c:ser>
          <c:idx val="1"/>
          <c:order val="1"/>
          <c:tx>
            <c:strRef>
              <c:f>'Order and Service summary'!$C$87</c:f>
              <c:strCache>
                <c:ptCount val="1"/>
                <c:pt idx="0">
                  <c:v>AOM5000</c:v>
                </c:pt>
              </c:strCache>
            </c:strRef>
          </c:tx>
          <c:spPr>
            <a:solidFill>
              <a:schemeClr val="accent2"/>
            </a:solidFill>
            <a:ln>
              <a:noFill/>
            </a:ln>
            <a:effectLst/>
          </c:spPr>
          <c:invertIfNegative val="0"/>
          <c:cat>
            <c:numRef>
              <c:f>'Order and Service summary'!$D$85:$H$85</c:f>
              <c:numCache>
                <c:formatCode>General</c:formatCode>
                <c:ptCount val="5"/>
                <c:pt idx="0">
                  <c:v>2014</c:v>
                </c:pt>
                <c:pt idx="1">
                  <c:v>2015</c:v>
                </c:pt>
                <c:pt idx="2">
                  <c:v>2016</c:v>
                </c:pt>
                <c:pt idx="3">
                  <c:v>2017</c:v>
                </c:pt>
                <c:pt idx="4">
                  <c:v>2018</c:v>
                </c:pt>
              </c:numCache>
            </c:numRef>
          </c:cat>
          <c:val>
            <c:numRef>
              <c:f>'Order and Service summary'!$D$87:$H$87</c:f>
              <c:numCache>
                <c:formatCode>General</c:formatCode>
                <c:ptCount val="5"/>
                <c:pt idx="0">
                  <c:v>99</c:v>
                </c:pt>
                <c:pt idx="1">
                  <c:v>126</c:v>
                </c:pt>
                <c:pt idx="2">
                  <c:v>83</c:v>
                </c:pt>
                <c:pt idx="3">
                  <c:v>125</c:v>
                </c:pt>
                <c:pt idx="4">
                  <c:v>21</c:v>
                </c:pt>
              </c:numCache>
            </c:numRef>
          </c:val>
          <c:extLst>
            <c:ext xmlns:c16="http://schemas.microsoft.com/office/drawing/2014/chart" uri="{C3380CC4-5D6E-409C-BE32-E72D297353CC}">
              <c16:uniqueId val="{00000001-E685-4DDE-84FE-56C9ADA0A4DD}"/>
            </c:ext>
          </c:extLst>
        </c:ser>
        <c:ser>
          <c:idx val="2"/>
          <c:order val="2"/>
          <c:tx>
            <c:strRef>
              <c:f>'Order and Service summary'!$C$88</c:f>
              <c:strCache>
                <c:ptCount val="1"/>
                <c:pt idx="0">
                  <c:v>No info</c:v>
                </c:pt>
              </c:strCache>
            </c:strRef>
          </c:tx>
          <c:spPr>
            <a:solidFill>
              <a:schemeClr val="accent3"/>
            </a:solidFill>
            <a:ln>
              <a:noFill/>
            </a:ln>
            <a:effectLst/>
          </c:spPr>
          <c:invertIfNegative val="0"/>
          <c:cat>
            <c:numRef>
              <c:f>'Order and Service summary'!$D$85:$H$85</c:f>
              <c:numCache>
                <c:formatCode>General</c:formatCode>
                <c:ptCount val="5"/>
                <c:pt idx="0">
                  <c:v>2014</c:v>
                </c:pt>
                <c:pt idx="1">
                  <c:v>2015</c:v>
                </c:pt>
                <c:pt idx="2">
                  <c:v>2016</c:v>
                </c:pt>
                <c:pt idx="3">
                  <c:v>2017</c:v>
                </c:pt>
                <c:pt idx="4">
                  <c:v>2018</c:v>
                </c:pt>
              </c:numCache>
            </c:numRef>
          </c:cat>
          <c:val>
            <c:numRef>
              <c:f>'Order and Service summary'!$D$88:$H$88</c:f>
              <c:numCache>
                <c:formatCode>General</c:formatCode>
                <c:ptCount val="5"/>
                <c:pt idx="0">
                  <c:v>0</c:v>
                </c:pt>
                <c:pt idx="1">
                  <c:v>0</c:v>
                </c:pt>
                <c:pt idx="2">
                  <c:v>0</c:v>
                </c:pt>
                <c:pt idx="3">
                  <c:v>41</c:v>
                </c:pt>
                <c:pt idx="4">
                  <c:v>0</c:v>
                </c:pt>
              </c:numCache>
            </c:numRef>
          </c:val>
          <c:extLst>
            <c:ext xmlns:c16="http://schemas.microsoft.com/office/drawing/2014/chart" uri="{C3380CC4-5D6E-409C-BE32-E72D297353CC}">
              <c16:uniqueId val="{00000002-E685-4DDE-84FE-56C9ADA0A4DD}"/>
            </c:ext>
          </c:extLst>
        </c:ser>
        <c:dLbls>
          <c:showLegendKey val="0"/>
          <c:showVal val="0"/>
          <c:showCatName val="0"/>
          <c:showSerName val="0"/>
          <c:showPercent val="0"/>
          <c:showBubbleSize val="0"/>
        </c:dLbls>
        <c:gapWidth val="219"/>
        <c:overlap val="-27"/>
        <c:axId val="240392200"/>
        <c:axId val="240392592"/>
      </c:barChart>
      <c:lineChart>
        <c:grouping val="standard"/>
        <c:varyColors val="0"/>
        <c:ser>
          <c:idx val="3"/>
          <c:order val="3"/>
          <c:tx>
            <c:strRef>
              <c:f>'Order and Service summary'!$C$89</c:f>
              <c:strCache>
                <c:ptCount val="1"/>
                <c:pt idx="0">
                  <c:v>total</c:v>
                </c:pt>
              </c:strCache>
            </c:strRef>
          </c:tx>
          <c:spPr>
            <a:ln w="28575" cap="rnd">
              <a:solidFill>
                <a:schemeClr val="accent4"/>
              </a:solidFill>
              <a:round/>
            </a:ln>
            <a:effectLst/>
          </c:spPr>
          <c:marker>
            <c:symbol val="none"/>
          </c:marker>
          <c:cat>
            <c:numRef>
              <c:f>'Order and Service summary'!$D$85:$H$85</c:f>
              <c:numCache>
                <c:formatCode>General</c:formatCode>
                <c:ptCount val="5"/>
                <c:pt idx="0">
                  <c:v>2014</c:v>
                </c:pt>
                <c:pt idx="1">
                  <c:v>2015</c:v>
                </c:pt>
                <c:pt idx="2">
                  <c:v>2016</c:v>
                </c:pt>
                <c:pt idx="3">
                  <c:v>2017</c:v>
                </c:pt>
                <c:pt idx="4">
                  <c:v>2018</c:v>
                </c:pt>
              </c:numCache>
            </c:numRef>
          </c:cat>
          <c:val>
            <c:numRef>
              <c:f>'Order and Service summary'!$D$89:$H$89</c:f>
              <c:numCache>
                <c:formatCode>General</c:formatCode>
                <c:ptCount val="5"/>
                <c:pt idx="0">
                  <c:v>178</c:v>
                </c:pt>
                <c:pt idx="1">
                  <c:v>152</c:v>
                </c:pt>
                <c:pt idx="2">
                  <c:v>159</c:v>
                </c:pt>
                <c:pt idx="3">
                  <c:v>219</c:v>
                </c:pt>
                <c:pt idx="4">
                  <c:v>79.800000000000011</c:v>
                </c:pt>
              </c:numCache>
            </c:numRef>
          </c:val>
          <c:smooth val="0"/>
          <c:extLst>
            <c:ext xmlns:c16="http://schemas.microsoft.com/office/drawing/2014/chart" uri="{C3380CC4-5D6E-409C-BE32-E72D297353CC}">
              <c16:uniqueId val="{00000003-E685-4DDE-84FE-56C9ADA0A4DD}"/>
            </c:ext>
          </c:extLst>
        </c:ser>
        <c:dLbls>
          <c:showLegendKey val="0"/>
          <c:showVal val="0"/>
          <c:showCatName val="0"/>
          <c:showSerName val="0"/>
          <c:showPercent val="0"/>
          <c:showBubbleSize val="0"/>
        </c:dLbls>
        <c:marker val="1"/>
        <c:smooth val="0"/>
        <c:axId val="240392200"/>
        <c:axId val="240392592"/>
      </c:lineChart>
      <c:catAx>
        <c:axId val="240392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0392592"/>
        <c:crosses val="autoZero"/>
        <c:auto val="1"/>
        <c:lblAlgn val="ctr"/>
        <c:lblOffset val="100"/>
        <c:noMultiLvlLbl val="0"/>
      </c:catAx>
      <c:valAx>
        <c:axId val="24039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0392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'Order and Service summary'!$AH$67</c:f>
              <c:strCache>
                <c:ptCount val="1"/>
                <c:pt idx="0">
                  <c:v>2017</c:v>
                </c:pt>
              </c:strCache>
            </c:strRef>
          </c:tx>
          <c:spPr>
            <a:solidFill>
              <a:schemeClr val="accent1"/>
            </a:solidFill>
            <a:ln>
              <a:noFill/>
            </a:ln>
            <a:effectLst/>
          </c:spPr>
          <c:invertIfNegative val="0"/>
          <c:cat>
            <c:strRef>
              <c:f>'Order and Service summary'!$AG$68:$AG$71</c:f>
              <c:strCache>
                <c:ptCount val="4"/>
                <c:pt idx="0">
                  <c:v>AOM 2000</c:v>
                </c:pt>
                <c:pt idx="1">
                  <c:v>AOM3000</c:v>
                </c:pt>
                <c:pt idx="2">
                  <c:v>AOM4000</c:v>
                </c:pt>
                <c:pt idx="3">
                  <c:v>AOM5000</c:v>
                </c:pt>
              </c:strCache>
            </c:strRef>
          </c:cat>
          <c:val>
            <c:numRef>
              <c:f>'Order and Service summary'!$AH$68:$AH$71</c:f>
              <c:numCache>
                <c:formatCode>General</c:formatCode>
                <c:ptCount val="4"/>
                <c:pt idx="0">
                  <c:v>1.3</c:v>
                </c:pt>
                <c:pt idx="1">
                  <c:v>3.4</c:v>
                </c:pt>
                <c:pt idx="2">
                  <c:v>33.700000000000003</c:v>
                </c:pt>
                <c:pt idx="3">
                  <c:v>61.6</c:v>
                </c:pt>
              </c:numCache>
            </c:numRef>
          </c:val>
          <c:extLst>
            <c:ext xmlns:c16="http://schemas.microsoft.com/office/drawing/2014/chart" uri="{C3380CC4-5D6E-409C-BE32-E72D297353CC}">
              <c16:uniqueId val="{00000000-4710-4476-AFA9-2AB8E5579CD5}"/>
            </c:ext>
          </c:extLst>
        </c:ser>
        <c:ser>
          <c:idx val="1"/>
          <c:order val="1"/>
          <c:tx>
            <c:strRef>
              <c:f>'Order and Service summary'!$AI$67</c:f>
              <c:strCache>
                <c:ptCount val="1"/>
                <c:pt idx="0">
                  <c:v>2016</c:v>
                </c:pt>
              </c:strCache>
            </c:strRef>
          </c:tx>
          <c:spPr>
            <a:solidFill>
              <a:schemeClr val="accent2"/>
            </a:solidFill>
            <a:ln>
              <a:noFill/>
            </a:ln>
            <a:effectLst/>
          </c:spPr>
          <c:invertIfNegative val="0"/>
          <c:cat>
            <c:strRef>
              <c:f>'Order and Service summary'!$AG$68:$AG$71</c:f>
              <c:strCache>
                <c:ptCount val="4"/>
                <c:pt idx="0">
                  <c:v>AOM 2000</c:v>
                </c:pt>
                <c:pt idx="1">
                  <c:v>AOM3000</c:v>
                </c:pt>
                <c:pt idx="2">
                  <c:v>AOM4000</c:v>
                </c:pt>
                <c:pt idx="3">
                  <c:v>AOM5000</c:v>
                </c:pt>
              </c:strCache>
            </c:strRef>
          </c:cat>
          <c:val>
            <c:numRef>
              <c:f>'Order and Service summary'!$AI$68:$AI$71</c:f>
              <c:numCache>
                <c:formatCode>General</c:formatCode>
                <c:ptCount val="4"/>
                <c:pt idx="0">
                  <c:v>2.7</c:v>
                </c:pt>
                <c:pt idx="1">
                  <c:v>4.2</c:v>
                </c:pt>
                <c:pt idx="2">
                  <c:v>47</c:v>
                </c:pt>
                <c:pt idx="3">
                  <c:v>46.1</c:v>
                </c:pt>
              </c:numCache>
            </c:numRef>
          </c:val>
          <c:extLst>
            <c:ext xmlns:c16="http://schemas.microsoft.com/office/drawing/2014/chart" uri="{C3380CC4-5D6E-409C-BE32-E72D297353CC}">
              <c16:uniqueId val="{00000001-4710-4476-AFA9-2AB8E5579CD5}"/>
            </c:ext>
          </c:extLst>
        </c:ser>
        <c:ser>
          <c:idx val="2"/>
          <c:order val="2"/>
          <c:tx>
            <c:strRef>
              <c:f>'Order and Service summary'!$AJ$67</c:f>
              <c:strCache>
                <c:ptCount val="1"/>
                <c:pt idx="0">
                  <c:v>2015</c:v>
                </c:pt>
              </c:strCache>
            </c:strRef>
          </c:tx>
          <c:spPr>
            <a:solidFill>
              <a:schemeClr val="accent3"/>
            </a:solidFill>
            <a:ln>
              <a:noFill/>
            </a:ln>
            <a:effectLst/>
          </c:spPr>
          <c:invertIfNegative val="0"/>
          <c:cat>
            <c:strRef>
              <c:f>'Order and Service summary'!$AG$68:$AG$71</c:f>
              <c:strCache>
                <c:ptCount val="4"/>
                <c:pt idx="0">
                  <c:v>AOM 2000</c:v>
                </c:pt>
                <c:pt idx="1">
                  <c:v>AOM3000</c:v>
                </c:pt>
                <c:pt idx="2">
                  <c:v>AOM4000</c:v>
                </c:pt>
                <c:pt idx="3">
                  <c:v>AOM5000</c:v>
                </c:pt>
              </c:strCache>
            </c:strRef>
          </c:cat>
          <c:val>
            <c:numRef>
              <c:f>'Order and Service summary'!$AJ$68:$AJ$71</c:f>
              <c:numCache>
                <c:formatCode>General</c:formatCode>
                <c:ptCount val="4"/>
                <c:pt idx="0">
                  <c:v>4.3</c:v>
                </c:pt>
                <c:pt idx="1">
                  <c:v>6.4</c:v>
                </c:pt>
                <c:pt idx="2">
                  <c:v>42.3</c:v>
                </c:pt>
                <c:pt idx="3">
                  <c:v>47</c:v>
                </c:pt>
              </c:numCache>
            </c:numRef>
          </c:val>
          <c:extLst>
            <c:ext xmlns:c16="http://schemas.microsoft.com/office/drawing/2014/chart" uri="{C3380CC4-5D6E-409C-BE32-E72D297353CC}">
              <c16:uniqueId val="{00000002-4710-4476-AFA9-2AB8E5579CD5}"/>
            </c:ext>
          </c:extLst>
        </c:ser>
        <c:ser>
          <c:idx val="3"/>
          <c:order val="3"/>
          <c:tx>
            <c:strRef>
              <c:f>'Order and Service summary'!$AK$67</c:f>
              <c:strCache>
                <c:ptCount val="1"/>
                <c:pt idx="0">
                  <c:v>2014</c:v>
                </c:pt>
              </c:strCache>
            </c:strRef>
          </c:tx>
          <c:spPr>
            <a:solidFill>
              <a:schemeClr val="accent4"/>
            </a:solidFill>
            <a:ln>
              <a:noFill/>
            </a:ln>
            <a:effectLst/>
          </c:spPr>
          <c:invertIfNegative val="0"/>
          <c:cat>
            <c:strRef>
              <c:f>'Order and Service summary'!$AG$68:$AG$71</c:f>
              <c:strCache>
                <c:ptCount val="4"/>
                <c:pt idx="0">
                  <c:v>AOM 2000</c:v>
                </c:pt>
                <c:pt idx="1">
                  <c:v>AOM3000</c:v>
                </c:pt>
                <c:pt idx="2">
                  <c:v>AOM4000</c:v>
                </c:pt>
                <c:pt idx="3">
                  <c:v>AOM5000</c:v>
                </c:pt>
              </c:strCache>
            </c:strRef>
          </c:cat>
          <c:val>
            <c:numRef>
              <c:f>'Order and Service summary'!$AK$68:$AK$71</c:f>
              <c:numCache>
                <c:formatCode>General</c:formatCode>
                <c:ptCount val="4"/>
                <c:pt idx="0">
                  <c:v>0.2</c:v>
                </c:pt>
                <c:pt idx="1">
                  <c:v>1.3</c:v>
                </c:pt>
                <c:pt idx="2">
                  <c:v>40.9</c:v>
                </c:pt>
                <c:pt idx="3">
                  <c:v>57.6</c:v>
                </c:pt>
              </c:numCache>
            </c:numRef>
          </c:val>
          <c:extLst>
            <c:ext xmlns:c16="http://schemas.microsoft.com/office/drawing/2014/chart" uri="{C3380CC4-5D6E-409C-BE32-E72D297353CC}">
              <c16:uniqueId val="{00000003-4710-4476-AFA9-2AB8E5579CD5}"/>
            </c:ext>
          </c:extLst>
        </c:ser>
        <c:dLbls>
          <c:showLegendKey val="0"/>
          <c:showVal val="0"/>
          <c:showCatName val="0"/>
          <c:showSerName val="0"/>
          <c:showPercent val="0"/>
          <c:showBubbleSize val="0"/>
        </c:dLbls>
        <c:gapWidth val="219"/>
        <c:overlap val="-27"/>
        <c:axId val="240393376"/>
        <c:axId val="240393768"/>
      </c:barChart>
      <c:catAx>
        <c:axId val="24039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0393768"/>
        <c:crosses val="autoZero"/>
        <c:auto val="1"/>
        <c:lblAlgn val="ctr"/>
        <c:lblOffset val="100"/>
        <c:noMultiLvlLbl val="0"/>
      </c:catAx>
      <c:valAx>
        <c:axId val="240393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0393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doughnutChart>
        <c:varyColors val="1"/>
        <c:ser>
          <c:idx val="0"/>
          <c:order val="0"/>
          <c:tx>
            <c:strRef>
              <c:f>'Order and Service summary'!$AH$67</c:f>
              <c:strCache>
                <c:ptCount val="1"/>
                <c:pt idx="0">
                  <c:v>2017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7D-458C-AD9E-301818E9A6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7D-458C-AD9E-301818E9A6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7D-458C-AD9E-301818E9A6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7D-458C-AD9E-301818E9A6C1}"/>
              </c:ext>
            </c:extLst>
          </c:dPt>
          <c:cat>
            <c:strRef>
              <c:f>'Order and Service summary'!$AG$68:$AG$71</c:f>
              <c:strCache>
                <c:ptCount val="4"/>
                <c:pt idx="0">
                  <c:v>AOM 2000</c:v>
                </c:pt>
                <c:pt idx="1">
                  <c:v>AOM3000</c:v>
                </c:pt>
                <c:pt idx="2">
                  <c:v>AOM4000</c:v>
                </c:pt>
                <c:pt idx="3">
                  <c:v>AOM5000</c:v>
                </c:pt>
              </c:strCache>
            </c:strRef>
          </c:cat>
          <c:val>
            <c:numRef>
              <c:f>'Order and Service summary'!$AH$68:$AH$71</c:f>
              <c:numCache>
                <c:formatCode>General</c:formatCode>
                <c:ptCount val="4"/>
                <c:pt idx="0">
                  <c:v>1.3</c:v>
                </c:pt>
                <c:pt idx="1">
                  <c:v>3.4</c:v>
                </c:pt>
                <c:pt idx="2">
                  <c:v>33.700000000000003</c:v>
                </c:pt>
                <c:pt idx="3">
                  <c:v>61.6</c:v>
                </c:pt>
              </c:numCache>
            </c:numRef>
          </c:val>
          <c:extLst>
            <c:ext xmlns:c16="http://schemas.microsoft.com/office/drawing/2014/chart" uri="{C3380CC4-5D6E-409C-BE32-E72D297353CC}">
              <c16:uniqueId val="{00000008-277D-458C-AD9E-301818E9A6C1}"/>
            </c:ext>
          </c:extLst>
        </c:ser>
        <c:ser>
          <c:idx val="1"/>
          <c:order val="1"/>
          <c:tx>
            <c:strRef>
              <c:f>'Order and Service summary'!$AI$67</c:f>
              <c:strCache>
                <c:ptCount val="1"/>
                <c:pt idx="0">
                  <c:v>2016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277D-458C-AD9E-301818E9A6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277D-458C-AD9E-301818E9A6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277D-458C-AD9E-301818E9A6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277D-458C-AD9E-301818E9A6C1}"/>
              </c:ext>
            </c:extLst>
          </c:dPt>
          <c:cat>
            <c:strRef>
              <c:f>'Order and Service summary'!$AG$68:$AG$71</c:f>
              <c:strCache>
                <c:ptCount val="4"/>
                <c:pt idx="0">
                  <c:v>AOM 2000</c:v>
                </c:pt>
                <c:pt idx="1">
                  <c:v>AOM3000</c:v>
                </c:pt>
                <c:pt idx="2">
                  <c:v>AOM4000</c:v>
                </c:pt>
                <c:pt idx="3">
                  <c:v>AOM5000</c:v>
                </c:pt>
              </c:strCache>
            </c:strRef>
          </c:cat>
          <c:val>
            <c:numRef>
              <c:f>'Order and Service summary'!$AI$68:$AI$71</c:f>
              <c:numCache>
                <c:formatCode>General</c:formatCode>
                <c:ptCount val="4"/>
                <c:pt idx="0">
                  <c:v>2.7</c:v>
                </c:pt>
                <c:pt idx="1">
                  <c:v>4.2</c:v>
                </c:pt>
                <c:pt idx="2">
                  <c:v>47</c:v>
                </c:pt>
                <c:pt idx="3">
                  <c:v>46.1</c:v>
                </c:pt>
              </c:numCache>
            </c:numRef>
          </c:val>
          <c:extLst>
            <c:ext xmlns:c16="http://schemas.microsoft.com/office/drawing/2014/chart" uri="{C3380CC4-5D6E-409C-BE32-E72D297353CC}">
              <c16:uniqueId val="{00000011-277D-458C-AD9E-301818E9A6C1}"/>
            </c:ext>
          </c:extLst>
        </c:ser>
        <c:ser>
          <c:idx val="2"/>
          <c:order val="2"/>
          <c:tx>
            <c:strRef>
              <c:f>'Order and Service summary'!$AJ$67</c:f>
              <c:strCache>
                <c:ptCount val="1"/>
                <c:pt idx="0">
                  <c:v>2015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277D-458C-AD9E-301818E9A6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277D-458C-AD9E-301818E9A6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277D-458C-AD9E-301818E9A6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277D-458C-AD9E-301818E9A6C1}"/>
              </c:ext>
            </c:extLst>
          </c:dPt>
          <c:cat>
            <c:strRef>
              <c:f>'Order and Service summary'!$AG$68:$AG$71</c:f>
              <c:strCache>
                <c:ptCount val="4"/>
                <c:pt idx="0">
                  <c:v>AOM 2000</c:v>
                </c:pt>
                <c:pt idx="1">
                  <c:v>AOM3000</c:v>
                </c:pt>
                <c:pt idx="2">
                  <c:v>AOM4000</c:v>
                </c:pt>
                <c:pt idx="3">
                  <c:v>AOM5000</c:v>
                </c:pt>
              </c:strCache>
            </c:strRef>
          </c:cat>
          <c:val>
            <c:numRef>
              <c:f>'Order and Service summary'!$AJ$68:$AJ$71</c:f>
              <c:numCache>
                <c:formatCode>General</c:formatCode>
                <c:ptCount val="4"/>
                <c:pt idx="0">
                  <c:v>4.3</c:v>
                </c:pt>
                <c:pt idx="1">
                  <c:v>6.4</c:v>
                </c:pt>
                <c:pt idx="2">
                  <c:v>42.3</c:v>
                </c:pt>
                <c:pt idx="3">
                  <c:v>47</c:v>
                </c:pt>
              </c:numCache>
            </c:numRef>
          </c:val>
          <c:extLst>
            <c:ext xmlns:c16="http://schemas.microsoft.com/office/drawing/2014/chart" uri="{C3380CC4-5D6E-409C-BE32-E72D297353CC}">
              <c16:uniqueId val="{0000001A-277D-458C-AD9E-301818E9A6C1}"/>
            </c:ext>
          </c:extLst>
        </c:ser>
        <c:ser>
          <c:idx val="3"/>
          <c:order val="3"/>
          <c:tx>
            <c:strRef>
              <c:f>'Order and Service summary'!$AK$67</c:f>
              <c:strCache>
                <c:ptCount val="1"/>
                <c:pt idx="0">
                  <c:v>2014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277D-458C-AD9E-301818E9A6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E-277D-458C-AD9E-301818E9A6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0-277D-458C-AD9E-301818E9A6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2-277D-458C-AD9E-301818E9A6C1}"/>
              </c:ext>
            </c:extLst>
          </c:dPt>
          <c:cat>
            <c:strRef>
              <c:f>'Order and Service summary'!$AG$68:$AG$71</c:f>
              <c:strCache>
                <c:ptCount val="4"/>
                <c:pt idx="0">
                  <c:v>AOM 2000</c:v>
                </c:pt>
                <c:pt idx="1">
                  <c:v>AOM3000</c:v>
                </c:pt>
                <c:pt idx="2">
                  <c:v>AOM4000</c:v>
                </c:pt>
                <c:pt idx="3">
                  <c:v>AOM5000</c:v>
                </c:pt>
              </c:strCache>
            </c:strRef>
          </c:cat>
          <c:val>
            <c:numRef>
              <c:f>'Order and Service summary'!$AK$68:$AK$71</c:f>
              <c:numCache>
                <c:formatCode>General</c:formatCode>
                <c:ptCount val="4"/>
                <c:pt idx="0">
                  <c:v>0.2</c:v>
                </c:pt>
                <c:pt idx="1">
                  <c:v>1.3</c:v>
                </c:pt>
                <c:pt idx="2">
                  <c:v>40.9</c:v>
                </c:pt>
                <c:pt idx="3">
                  <c:v>57.6</c:v>
                </c:pt>
              </c:numCache>
            </c:numRef>
          </c:val>
          <c:extLst>
            <c:ext xmlns:c16="http://schemas.microsoft.com/office/drawing/2014/chart" uri="{C3380CC4-5D6E-409C-BE32-E72D297353CC}">
              <c16:uniqueId val="{00000023-277D-458C-AD9E-301818E9A6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MWs of Energy based</a:t>
            </a:r>
            <a:r>
              <a:rPr lang="en-US" sz="1100" baseline="0"/>
              <a:t> (orange) vs Time based (blue) contracts</a:t>
            </a:r>
            <a:endParaRPr lang="en-US" sz="1100"/>
          </a:p>
        </c:rich>
      </c:tx>
      <c:overlay val="0"/>
      <c:spPr>
        <a:noFill/>
        <a:ln>
          <a:noFill/>
        </a:ln>
        <a:effectLst/>
      </c:spPr>
    </c:title>
    <c:autoTitleDeleted val="0"/>
    <c:plotArea>
      <c:layout>
        <c:manualLayout>
          <c:layoutTarget val="inner"/>
          <c:xMode val="edge"/>
          <c:yMode val="edge"/>
          <c:x val="0.29571059051727056"/>
          <c:y val="0.10360781740445665"/>
          <c:w val="0.37825377598858745"/>
          <c:h val="0.73259892189147124"/>
        </c:manualLayout>
      </c:layout>
      <c:doughnutChart>
        <c:varyColors val="1"/>
        <c:ser>
          <c:idx val="0"/>
          <c:order val="0"/>
          <c:tx>
            <c:strRef>
              <c:f>'Order and Service summary'!$AF$2</c:f>
              <c:strCache>
                <c:ptCount val="1"/>
                <c:pt idx="0">
                  <c:v>2014</c:v>
                </c:pt>
              </c:strCache>
            </c:strRef>
          </c:tx>
          <c:dLbls>
            <c:dLbl>
              <c:idx val="0"/>
              <c:layout>
                <c:manualLayout>
                  <c:x val="0.21138214765094226"/>
                  <c:y val="0.30345407350674569"/>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a-D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31061"/>
                        <a:gd name="adj2" fmla="val -273659"/>
                      </a:avLst>
                    </a:prstGeom>
                  </c15:spPr>
                </c:ext>
                <c:ext xmlns:c16="http://schemas.microsoft.com/office/drawing/2014/chart" uri="{C3380CC4-5D6E-409C-BE32-E72D297353CC}">
                  <c16:uniqueId val="{00000000-36BC-4F59-9F2E-5ADB9A9749D7}"/>
                </c:ext>
              </c:extLst>
            </c:dLbl>
            <c:dLbl>
              <c:idx val="1"/>
              <c:layout>
                <c:manualLayout>
                  <c:x val="-0.21951223025290159"/>
                  <c:y val="-0.2871393383719744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a-D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4497"/>
                        <a:gd name="adj2" fmla="val 230032"/>
                      </a:avLst>
                    </a:prstGeom>
                  </c15:spPr>
                </c:ext>
                <c:ext xmlns:c16="http://schemas.microsoft.com/office/drawing/2014/chart" uri="{C3380CC4-5D6E-409C-BE32-E72D297353CC}">
                  <c16:uniqueId val="{00000001-36BC-4F59-9F2E-5ADB9A9749D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a-D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'Order and Service summary'!$AE$11:$AE$12</c:f>
              <c:strCache>
                <c:ptCount val="2"/>
                <c:pt idx="0">
                  <c:v>AOM4000</c:v>
                </c:pt>
                <c:pt idx="1">
                  <c:v>AOM5000</c:v>
                </c:pt>
              </c:strCache>
            </c:strRef>
          </c:cat>
          <c:val>
            <c:numRef>
              <c:f>'Order and Service summary'!$AF$11:$AF$12</c:f>
              <c:numCache>
                <c:formatCode>0.00%</c:formatCode>
                <c:ptCount val="2"/>
                <c:pt idx="0">
                  <c:v>0.32533614553124174</c:v>
                </c:pt>
                <c:pt idx="1">
                  <c:v>0.67466385446875821</c:v>
                </c:pt>
              </c:numCache>
            </c:numRef>
          </c:val>
          <c:extLst>
            <c:ext xmlns:c16="http://schemas.microsoft.com/office/drawing/2014/chart" uri="{C3380CC4-5D6E-409C-BE32-E72D297353CC}">
              <c16:uniqueId val="{00000002-36BC-4F59-9F2E-5ADB9A9749D7}"/>
            </c:ext>
          </c:extLst>
        </c:ser>
        <c:ser>
          <c:idx val="1"/>
          <c:order val="1"/>
          <c:tx>
            <c:strRef>
              <c:f>'Order and Service summary'!$AG$2</c:f>
              <c:strCache>
                <c:ptCount val="1"/>
                <c:pt idx="0">
                  <c:v>2015</c:v>
                </c:pt>
              </c:strCache>
            </c:strRef>
          </c:tx>
          <c:dLbls>
            <c:dLbl>
              <c:idx val="0"/>
              <c:layout>
                <c:manualLayout>
                  <c:x val="0.15853661073820671"/>
                  <c:y val="0.1142031459433989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BC-4F59-9F2E-5ADB9A9749D7}"/>
                </c:ext>
              </c:extLst>
            </c:dLbl>
            <c:dLbl>
              <c:idx val="1"/>
              <c:layout>
                <c:manualLayout>
                  <c:x val="-0.1930894617965338"/>
                  <c:y val="-0.1435696691859872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6BC-4F59-9F2E-5ADB9A9749D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a-D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'Order and Service summary'!$AE$11:$AE$12</c:f>
              <c:strCache>
                <c:ptCount val="2"/>
                <c:pt idx="0">
                  <c:v>AOM4000</c:v>
                </c:pt>
                <c:pt idx="1">
                  <c:v>AOM5000</c:v>
                </c:pt>
              </c:strCache>
            </c:strRef>
          </c:cat>
          <c:val>
            <c:numRef>
              <c:f>'Order and Service summary'!$AG$11:$AG$12</c:f>
              <c:numCache>
                <c:formatCode>0.00%</c:formatCode>
                <c:ptCount val="2"/>
                <c:pt idx="0">
                  <c:v>0.40854080221300137</c:v>
                </c:pt>
                <c:pt idx="1">
                  <c:v>0.59145919778699863</c:v>
                </c:pt>
              </c:numCache>
            </c:numRef>
          </c:val>
          <c:extLst>
            <c:ext xmlns:c16="http://schemas.microsoft.com/office/drawing/2014/chart" uri="{C3380CC4-5D6E-409C-BE32-E72D297353CC}">
              <c16:uniqueId val="{00000005-36BC-4F59-9F2E-5ADB9A9749D7}"/>
            </c:ext>
          </c:extLst>
        </c:ser>
        <c:ser>
          <c:idx val="2"/>
          <c:order val="2"/>
          <c:tx>
            <c:strRef>
              <c:f>'Order and Service summary'!$AH$2</c:f>
              <c:strCache>
                <c:ptCount val="1"/>
                <c:pt idx="0">
                  <c:v>2016</c:v>
                </c:pt>
              </c:strCache>
            </c:strRef>
          </c:tx>
          <c:dLbls>
            <c:dLbl>
              <c:idx val="0"/>
              <c:layout>
                <c:manualLayout>
                  <c:x val="0.19512198244702347"/>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36BC-4F59-9F2E-5ADB9A9749D7}"/>
                </c:ext>
              </c:extLst>
            </c:dLbl>
            <c:dLbl>
              <c:idx val="1"/>
              <c:layout>
                <c:manualLayout>
                  <c:x val="-0.18495937919457447"/>
                  <c:y val="-5.220715243126807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6BC-4F59-9F2E-5ADB9A9749D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a-D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'Order and Service summary'!$AE$11:$AE$12</c:f>
              <c:strCache>
                <c:ptCount val="2"/>
                <c:pt idx="0">
                  <c:v>AOM4000</c:v>
                </c:pt>
                <c:pt idx="1">
                  <c:v>AOM5000</c:v>
                </c:pt>
              </c:strCache>
            </c:strRef>
          </c:cat>
          <c:val>
            <c:numRef>
              <c:f>'Order and Service summary'!$AH$11:$AH$12</c:f>
              <c:numCache>
                <c:formatCode>0.00%</c:formatCode>
                <c:ptCount val="2"/>
                <c:pt idx="0">
                  <c:v>0.36693788450089304</c:v>
                </c:pt>
                <c:pt idx="1">
                  <c:v>0.63306211549910696</c:v>
                </c:pt>
              </c:numCache>
            </c:numRef>
          </c:val>
          <c:extLst>
            <c:ext xmlns:c16="http://schemas.microsoft.com/office/drawing/2014/chart" uri="{C3380CC4-5D6E-409C-BE32-E72D297353CC}">
              <c16:uniqueId val="{00000008-36BC-4F59-9F2E-5ADB9A9749D7}"/>
            </c:ext>
          </c:extLst>
        </c:ser>
        <c:ser>
          <c:idx val="3"/>
          <c:order val="3"/>
          <c:tx>
            <c:strRef>
              <c:f>'Order and Service summary'!$AI$2</c:f>
              <c:strCache>
                <c:ptCount val="1"/>
                <c:pt idx="0">
                  <c:v>2017</c:v>
                </c:pt>
              </c:strCache>
            </c:strRef>
          </c:tx>
          <c:dLbls>
            <c:dLbl>
              <c:idx val="0"/>
              <c:layout>
                <c:manualLayout>
                  <c:x val="0.12195123902938977"/>
                  <c:y val="-6.199599351213084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6BC-4F59-9F2E-5ADB9A9749D7}"/>
                </c:ext>
              </c:extLst>
            </c:dLbl>
            <c:dLbl>
              <c:idx val="1"/>
              <c:layout>
                <c:manualLayout>
                  <c:x val="-0.19512198244702364"/>
                  <c:y val="3.915536432345105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36BC-4F59-9F2E-5ADB9A9749D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a-D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'Order and Service summary'!$AE$11:$AE$12</c:f>
              <c:strCache>
                <c:ptCount val="2"/>
                <c:pt idx="0">
                  <c:v>AOM4000</c:v>
                </c:pt>
                <c:pt idx="1">
                  <c:v>AOM5000</c:v>
                </c:pt>
              </c:strCache>
            </c:strRef>
          </c:cat>
          <c:val>
            <c:numRef>
              <c:f>'Order and Service summary'!$AI$11:$AI$12</c:f>
              <c:numCache>
                <c:formatCode>0.00%</c:formatCode>
                <c:ptCount val="2"/>
                <c:pt idx="0">
                  <c:v>0.33700000000000002</c:v>
                </c:pt>
                <c:pt idx="1">
                  <c:v>0.61599999999999999</c:v>
                </c:pt>
              </c:numCache>
            </c:numRef>
          </c:val>
          <c:extLst>
            <c:ext xmlns:c16="http://schemas.microsoft.com/office/drawing/2014/chart" uri="{C3380CC4-5D6E-409C-BE32-E72D297353CC}">
              <c16:uniqueId val="{0000000B-36BC-4F59-9F2E-5ADB9A9749D7}"/>
            </c:ext>
          </c:extLst>
        </c:ser>
        <c:ser>
          <c:idx val="4"/>
          <c:order val="4"/>
          <c:tx>
            <c:strRef>
              <c:f>'Order and Service summary'!$AJ$2</c:f>
              <c:strCache>
                <c:ptCount val="1"/>
                <c:pt idx="0">
                  <c:v>2018</c:v>
                </c:pt>
              </c:strCache>
            </c:strRef>
          </c:tx>
          <c:dLbls>
            <c:dLbl>
              <c:idx val="0"/>
              <c:layout>
                <c:manualLayout>
                  <c:x val="5.0813016262245665E-2"/>
                  <c:y val="-0.1469879766820785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36BC-4F59-9F2E-5ADB9A9749D7}"/>
                </c:ext>
              </c:extLst>
            </c:dLbl>
            <c:dLbl>
              <c:idx val="1"/>
              <c:layout>
                <c:manualLayout>
                  <c:x val="-0.15040652813624739"/>
                  <c:y val="0.12371791668396953"/>
                </c:manualLayout>
              </c:layout>
              <c:spPr>
                <a:solidFill>
                  <a:sysClr val="window" lastClr="FFFFFF"/>
                </a:solidFill>
                <a:ln w="9525" cap="flat" cmpd="sng" algn="ctr">
                  <a:solidFill>
                    <a:sysClr val="windowText" lastClr="000000">
                      <a:lumMod val="65000"/>
                      <a:lumOff val="35000"/>
                    </a:sysClr>
                  </a:solidFill>
                  <a:prstDash val="solid"/>
                  <a:round/>
                  <a:headEnd type="none" w="med" len="med"/>
                  <a:tailEnd type="none" w="med" len="med"/>
                </a:ln>
                <a:effectLst/>
              </c:spPr>
              <c:txPr>
                <a:bodyPr wrap="square" lIns="38100" tIns="19050" rIns="38100" bIns="19050" anchor="ctr">
                  <a:spAutoFit/>
                </a:bodyPr>
                <a:lstStyle/>
                <a:p>
                  <a:pPr>
                    <a:defRPr/>
                  </a:pPr>
                  <a:endParaRPr lang="da-D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97380"/>
                        <a:gd name="adj2" fmla="val -107358"/>
                      </a:avLst>
                    </a:prstGeom>
                  </c15:spPr>
                </c:ext>
                <c:ext xmlns:c16="http://schemas.microsoft.com/office/drawing/2014/chart" uri="{C3380CC4-5D6E-409C-BE32-E72D297353CC}">
                  <c16:uniqueId val="{0000000D-36BC-4F59-9F2E-5ADB9A9749D7}"/>
                </c:ext>
              </c:extLst>
            </c:dLbl>
            <c:spPr>
              <a:solidFill>
                <a:sysClr val="window" lastClr="FFFFFF"/>
              </a:solidFill>
              <a:ln>
                <a:solidFill>
                  <a:sysClr val="windowText" lastClr="000000">
                    <a:lumMod val="65000"/>
                    <a:lumOff val="35000"/>
                  </a:sysClr>
                </a:solidFill>
              </a:ln>
              <a:effectLst/>
            </c:sp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'Order and Service summary'!$AE$11:$AE$12</c:f>
              <c:strCache>
                <c:ptCount val="2"/>
                <c:pt idx="0">
                  <c:v>AOM4000</c:v>
                </c:pt>
                <c:pt idx="1">
                  <c:v>AOM5000</c:v>
                </c:pt>
              </c:strCache>
            </c:strRef>
          </c:cat>
          <c:val>
            <c:numRef>
              <c:f>'Order and Service summary'!$AJ$11:$AJ$12</c:f>
              <c:numCache>
                <c:formatCode>0.00%</c:formatCode>
                <c:ptCount val="2"/>
                <c:pt idx="0">
                  <c:v>0.32800000000000001</c:v>
                </c:pt>
                <c:pt idx="1">
                  <c:v>0.61599999999999999</c:v>
                </c:pt>
              </c:numCache>
            </c:numRef>
          </c:val>
          <c:extLst>
            <c:ext xmlns:c16="http://schemas.microsoft.com/office/drawing/2014/chart" uri="{C3380CC4-5D6E-409C-BE32-E72D297353CC}">
              <c16:uniqueId val="{0000000E-36BC-4F59-9F2E-5ADB9A9749D7}"/>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Ordered pr year of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'Order and Service summary'!$Q$3</c:f>
              <c:strCache>
                <c:ptCount val="1"/>
                <c:pt idx="0">
                  <c:v>&gt;2MW</c:v>
                </c:pt>
              </c:strCache>
            </c:strRef>
          </c:tx>
          <c:spPr>
            <a:solidFill>
              <a:schemeClr val="accent1"/>
            </a:solidFill>
            <a:ln>
              <a:noFill/>
            </a:ln>
            <a:effectLst/>
          </c:spPr>
          <c:invertIfNegative val="0"/>
          <c:cat>
            <c:numRef>
              <c:f>'Order and Service summary'!$R$2:$X$2</c:f>
              <c:numCache>
                <c:formatCode>General</c:formatCode>
                <c:ptCount val="7"/>
                <c:pt idx="0">
                  <c:v>2012</c:v>
                </c:pt>
                <c:pt idx="1">
                  <c:v>2013</c:v>
                </c:pt>
                <c:pt idx="2">
                  <c:v>2014</c:v>
                </c:pt>
                <c:pt idx="3">
                  <c:v>2015</c:v>
                </c:pt>
                <c:pt idx="4">
                  <c:v>2016</c:v>
                </c:pt>
                <c:pt idx="5">
                  <c:v>2017</c:v>
                </c:pt>
                <c:pt idx="6">
                  <c:v>2018</c:v>
                </c:pt>
              </c:numCache>
            </c:numRef>
          </c:cat>
          <c:val>
            <c:numRef>
              <c:f>'Order and Service summary'!$R$3:$X$3</c:f>
              <c:numCache>
                <c:formatCode>0</c:formatCode>
                <c:ptCount val="7"/>
                <c:pt idx="0">
                  <c:v>163</c:v>
                </c:pt>
                <c:pt idx="1">
                  <c:v>229.91111111111113</c:v>
                </c:pt>
                <c:pt idx="2">
                  <c:v>364.70588235294116</c:v>
                </c:pt>
                <c:pt idx="3">
                  <c:v>70</c:v>
                </c:pt>
                <c:pt idx="4">
                  <c:v>15</c:v>
                </c:pt>
                <c:pt idx="5">
                  <c:v>0</c:v>
                </c:pt>
                <c:pt idx="6" formatCode="General">
                  <c:v>0</c:v>
                </c:pt>
              </c:numCache>
            </c:numRef>
          </c:val>
          <c:extLst>
            <c:ext xmlns:c16="http://schemas.microsoft.com/office/drawing/2014/chart" uri="{C3380CC4-5D6E-409C-BE32-E72D297353CC}">
              <c16:uniqueId val="{00000000-591A-4FF9-92F7-B2FA41C22A53}"/>
            </c:ext>
          </c:extLst>
        </c:ser>
        <c:ser>
          <c:idx val="1"/>
          <c:order val="1"/>
          <c:tx>
            <c:strRef>
              <c:f>'Order and Service summary'!$Q$4</c:f>
              <c:strCache>
                <c:ptCount val="1"/>
                <c:pt idx="0">
                  <c:v>2-2.99MW</c:v>
                </c:pt>
              </c:strCache>
            </c:strRef>
          </c:tx>
          <c:spPr>
            <a:solidFill>
              <a:schemeClr val="accent2"/>
            </a:solidFill>
            <a:ln>
              <a:noFill/>
            </a:ln>
            <a:effectLst/>
          </c:spPr>
          <c:invertIfNegative val="0"/>
          <c:cat>
            <c:numRef>
              <c:f>'Order and Service summary'!$R$2:$X$2</c:f>
              <c:numCache>
                <c:formatCode>General</c:formatCode>
                <c:ptCount val="7"/>
                <c:pt idx="0">
                  <c:v>2012</c:v>
                </c:pt>
                <c:pt idx="1">
                  <c:v>2013</c:v>
                </c:pt>
                <c:pt idx="2">
                  <c:v>2014</c:v>
                </c:pt>
                <c:pt idx="3">
                  <c:v>2015</c:v>
                </c:pt>
                <c:pt idx="4">
                  <c:v>2016</c:v>
                </c:pt>
                <c:pt idx="5">
                  <c:v>2017</c:v>
                </c:pt>
                <c:pt idx="6">
                  <c:v>2018</c:v>
                </c:pt>
              </c:numCache>
            </c:numRef>
          </c:cat>
          <c:val>
            <c:numRef>
              <c:f>'Order and Service summary'!$R$4:$X$4</c:f>
              <c:numCache>
                <c:formatCode>0</c:formatCode>
                <c:ptCount val="7"/>
                <c:pt idx="0">
                  <c:v>237</c:v>
                </c:pt>
                <c:pt idx="1">
                  <c:v>1123.7</c:v>
                </c:pt>
                <c:pt idx="2">
                  <c:v>1080</c:v>
                </c:pt>
                <c:pt idx="3">
                  <c:v>1470</c:v>
                </c:pt>
                <c:pt idx="4">
                  <c:v>1642.9636363636364</c:v>
                </c:pt>
                <c:pt idx="5">
                  <c:v>1729.8636363636365</c:v>
                </c:pt>
                <c:pt idx="6">
                  <c:v>1460</c:v>
                </c:pt>
              </c:numCache>
            </c:numRef>
          </c:val>
          <c:extLst>
            <c:ext xmlns:c16="http://schemas.microsoft.com/office/drawing/2014/chart" uri="{C3380CC4-5D6E-409C-BE32-E72D297353CC}">
              <c16:uniqueId val="{00000001-591A-4FF9-92F7-B2FA41C22A53}"/>
            </c:ext>
          </c:extLst>
        </c:ser>
        <c:ser>
          <c:idx val="2"/>
          <c:order val="2"/>
          <c:tx>
            <c:strRef>
              <c:f>'Order and Service summary'!$Q$5</c:f>
              <c:strCache>
                <c:ptCount val="1"/>
                <c:pt idx="0">
                  <c:v>3-3.99MW</c:v>
                </c:pt>
              </c:strCache>
            </c:strRef>
          </c:tx>
          <c:spPr>
            <a:solidFill>
              <a:schemeClr val="accent3"/>
            </a:solidFill>
            <a:ln>
              <a:noFill/>
            </a:ln>
            <a:effectLst/>
          </c:spPr>
          <c:invertIfNegative val="0"/>
          <c:cat>
            <c:numRef>
              <c:f>'Order and Service summary'!$R$2:$X$2</c:f>
              <c:numCache>
                <c:formatCode>General</c:formatCode>
                <c:ptCount val="7"/>
                <c:pt idx="0">
                  <c:v>2012</c:v>
                </c:pt>
                <c:pt idx="1">
                  <c:v>2013</c:v>
                </c:pt>
                <c:pt idx="2">
                  <c:v>2014</c:v>
                </c:pt>
                <c:pt idx="3">
                  <c:v>2015</c:v>
                </c:pt>
                <c:pt idx="4">
                  <c:v>2016</c:v>
                </c:pt>
                <c:pt idx="5">
                  <c:v>2017</c:v>
                </c:pt>
                <c:pt idx="6">
                  <c:v>2018</c:v>
                </c:pt>
              </c:numCache>
            </c:numRef>
          </c:cat>
          <c:val>
            <c:numRef>
              <c:f>'Order and Service summary'!$R$5:$X$5</c:f>
              <c:numCache>
                <c:formatCode>0</c:formatCode>
                <c:ptCount val="7"/>
                <c:pt idx="0">
                  <c:v>323</c:v>
                </c:pt>
                <c:pt idx="1">
                  <c:v>511.89090909090925</c:v>
                </c:pt>
                <c:pt idx="2">
                  <c:v>481.48484848484878</c:v>
                </c:pt>
                <c:pt idx="3">
                  <c:v>1081.9378516657994</c:v>
                </c:pt>
                <c:pt idx="4">
                  <c:v>1136.6095740008777</c:v>
                </c:pt>
                <c:pt idx="5">
                  <c:v>1261.2067355476966</c:v>
                </c:pt>
                <c:pt idx="6">
                  <c:v>1311.9334535284192</c:v>
                </c:pt>
              </c:numCache>
            </c:numRef>
          </c:val>
          <c:extLst>
            <c:ext xmlns:c16="http://schemas.microsoft.com/office/drawing/2014/chart" uri="{C3380CC4-5D6E-409C-BE32-E72D297353CC}">
              <c16:uniqueId val="{00000002-591A-4FF9-92F7-B2FA41C22A53}"/>
            </c:ext>
          </c:extLst>
        </c:ser>
        <c:ser>
          <c:idx val="3"/>
          <c:order val="3"/>
          <c:tx>
            <c:strRef>
              <c:f>'Order and Service summary'!$Q$6</c:f>
              <c:strCache>
                <c:ptCount val="1"/>
                <c:pt idx="0">
                  <c:v>4-5.99MW</c:v>
                </c:pt>
              </c:strCache>
            </c:strRef>
          </c:tx>
          <c:spPr>
            <a:solidFill>
              <a:schemeClr val="accent4"/>
            </a:solidFill>
            <a:ln>
              <a:noFill/>
            </a:ln>
            <a:effectLst/>
          </c:spPr>
          <c:invertIfNegative val="0"/>
          <c:cat>
            <c:numRef>
              <c:f>'Order and Service summary'!$R$2:$X$2</c:f>
              <c:numCache>
                <c:formatCode>General</c:formatCode>
                <c:ptCount val="7"/>
                <c:pt idx="0">
                  <c:v>2012</c:v>
                </c:pt>
                <c:pt idx="1">
                  <c:v>2013</c:v>
                </c:pt>
                <c:pt idx="2">
                  <c:v>2014</c:v>
                </c:pt>
                <c:pt idx="3">
                  <c:v>2015</c:v>
                </c:pt>
                <c:pt idx="4">
                  <c:v>2016</c:v>
                </c:pt>
                <c:pt idx="5">
                  <c:v>2017</c:v>
                </c:pt>
                <c:pt idx="6">
                  <c:v>2018</c:v>
                </c:pt>
              </c:numCache>
            </c:numRef>
          </c:cat>
          <c:val>
            <c:numRef>
              <c:f>'Order and Service summary'!$R$6:$X$6</c:f>
              <c:numCache>
                <c:formatCode>General</c:formatCode>
                <c:ptCount val="7"/>
                <c:pt idx="0">
                  <c:v>0</c:v>
                </c:pt>
                <c:pt idx="1">
                  <c:v>0</c:v>
                </c:pt>
                <c:pt idx="2" formatCode="0">
                  <c:v>0</c:v>
                </c:pt>
                <c:pt idx="3" formatCode="0">
                  <c:v>0</c:v>
                </c:pt>
                <c:pt idx="4" formatCode="0">
                  <c:v>0</c:v>
                </c:pt>
                <c:pt idx="5" formatCode="0">
                  <c:v>164.5</c:v>
                </c:pt>
                <c:pt idx="6" formatCode="0">
                  <c:v>725.0595238095234</c:v>
                </c:pt>
              </c:numCache>
            </c:numRef>
          </c:val>
          <c:extLst>
            <c:ext xmlns:c16="http://schemas.microsoft.com/office/drawing/2014/chart" uri="{C3380CC4-5D6E-409C-BE32-E72D297353CC}">
              <c16:uniqueId val="{00000003-591A-4FF9-92F7-B2FA41C22A53}"/>
            </c:ext>
          </c:extLst>
        </c:ser>
        <c:dLbls>
          <c:showLegendKey val="0"/>
          <c:showVal val="0"/>
          <c:showCatName val="0"/>
          <c:showSerName val="0"/>
          <c:showPercent val="0"/>
          <c:showBubbleSize val="0"/>
        </c:dLbls>
        <c:gapWidth val="219"/>
        <c:overlap val="-27"/>
        <c:axId val="240395336"/>
        <c:axId val="240395728"/>
      </c:barChart>
      <c:catAx>
        <c:axId val="240395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0395728"/>
        <c:crosses val="autoZero"/>
        <c:auto val="1"/>
        <c:lblAlgn val="ctr"/>
        <c:lblOffset val="100"/>
        <c:noMultiLvlLbl val="0"/>
      </c:catAx>
      <c:valAx>
        <c:axId val="240395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0395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da-DK"/>
              <a:t>Site adaptation - Vestas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0"/>
          <c:order val="0"/>
          <c:tx>
            <c:strRef>
              <c:f>'Order and Service summary'!$R$116</c:f>
              <c:strCache>
                <c:ptCount val="1"/>
                <c:pt idx="0">
                  <c:v>multi turbine</c:v>
                </c:pt>
              </c:strCache>
            </c:strRef>
          </c:tx>
          <c:spPr>
            <a:ln w="28575" cap="rnd">
              <a:solidFill>
                <a:schemeClr val="accent1"/>
              </a:solidFill>
              <a:round/>
            </a:ln>
            <a:effectLst/>
          </c:spPr>
          <c:marker>
            <c:symbol val="none"/>
          </c:marker>
          <c:cat>
            <c:numRef>
              <c:f>'Order and Service summary'!$S$115:$AF$115</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'Order and Service summary'!$S$116:$AF$116</c:f>
              <c:numCache>
                <c:formatCode>0.0%</c:formatCode>
                <c:ptCount val="14"/>
                <c:pt idx="0">
                  <c:v>0.1111111111111111</c:v>
                </c:pt>
                <c:pt idx="1">
                  <c:v>0</c:v>
                </c:pt>
                <c:pt idx="2">
                  <c:v>0.13846153846153847</c:v>
                </c:pt>
                <c:pt idx="3">
                  <c:v>0</c:v>
                </c:pt>
                <c:pt idx="4">
                  <c:v>3.0303030303030304E-2</c:v>
                </c:pt>
                <c:pt idx="5">
                  <c:v>0.125</c:v>
                </c:pt>
                <c:pt idx="6">
                  <c:v>0.10869565217391304</c:v>
                </c:pt>
                <c:pt idx="7">
                  <c:v>4.2253521126760563E-2</c:v>
                </c:pt>
                <c:pt idx="8">
                  <c:v>0.1388888888888889</c:v>
                </c:pt>
                <c:pt idx="9">
                  <c:v>0.1111111111111111</c:v>
                </c:pt>
                <c:pt idx="10">
                  <c:v>6.5934065934065936E-2</c:v>
                </c:pt>
                <c:pt idx="11">
                  <c:v>0.10869565217391304</c:v>
                </c:pt>
                <c:pt idx="12">
                  <c:v>0.22500000000000001</c:v>
                </c:pt>
                <c:pt idx="13">
                  <c:v>0.21951219512195122</c:v>
                </c:pt>
              </c:numCache>
            </c:numRef>
          </c:val>
          <c:smooth val="0"/>
          <c:extLst>
            <c:ext xmlns:c16="http://schemas.microsoft.com/office/drawing/2014/chart" uri="{C3380CC4-5D6E-409C-BE32-E72D297353CC}">
              <c16:uniqueId val="{00000000-697D-412F-BFA4-DC900C1E7661}"/>
            </c:ext>
          </c:extLst>
        </c:ser>
        <c:ser>
          <c:idx val="1"/>
          <c:order val="1"/>
          <c:tx>
            <c:strRef>
              <c:f>'Order and Service summary'!$R$117</c:f>
              <c:strCache>
                <c:ptCount val="1"/>
                <c:pt idx="0">
                  <c:v>multi tower</c:v>
                </c:pt>
              </c:strCache>
            </c:strRef>
          </c:tx>
          <c:spPr>
            <a:ln w="28575" cap="rnd">
              <a:solidFill>
                <a:schemeClr val="accent2"/>
              </a:solidFill>
              <a:round/>
            </a:ln>
            <a:effectLst/>
          </c:spPr>
          <c:marker>
            <c:symbol val="none"/>
          </c:marker>
          <c:cat>
            <c:numRef>
              <c:f>'Order and Service summary'!$S$115:$AF$115</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'Order and Service summary'!$S$117:$AF$117</c:f>
              <c:numCache>
                <c:formatCode>0.0%</c:formatCode>
                <c:ptCount val="14"/>
                <c:pt idx="0">
                  <c:v>0</c:v>
                </c:pt>
                <c:pt idx="1">
                  <c:v>0</c:v>
                </c:pt>
                <c:pt idx="2">
                  <c:v>0</c:v>
                </c:pt>
                <c:pt idx="3">
                  <c:v>0</c:v>
                </c:pt>
                <c:pt idx="4">
                  <c:v>0</c:v>
                </c:pt>
                <c:pt idx="5">
                  <c:v>0</c:v>
                </c:pt>
                <c:pt idx="6">
                  <c:v>0</c:v>
                </c:pt>
                <c:pt idx="7">
                  <c:v>0</c:v>
                </c:pt>
                <c:pt idx="8">
                  <c:v>0</c:v>
                </c:pt>
                <c:pt idx="9">
                  <c:v>4.4444444444444446E-2</c:v>
                </c:pt>
                <c:pt idx="10">
                  <c:v>1.098901098901099E-2</c:v>
                </c:pt>
                <c:pt idx="11">
                  <c:v>2.1739130434782608E-2</c:v>
                </c:pt>
                <c:pt idx="12">
                  <c:v>2.5000000000000001E-2</c:v>
                </c:pt>
                <c:pt idx="13">
                  <c:v>1.2195121951219513E-2</c:v>
                </c:pt>
              </c:numCache>
            </c:numRef>
          </c:val>
          <c:smooth val="0"/>
          <c:extLst>
            <c:ext xmlns:c16="http://schemas.microsoft.com/office/drawing/2014/chart" uri="{C3380CC4-5D6E-409C-BE32-E72D297353CC}">
              <c16:uniqueId val="{00000001-697D-412F-BFA4-DC900C1E7661}"/>
            </c:ext>
          </c:extLst>
        </c:ser>
        <c:ser>
          <c:idx val="2"/>
          <c:order val="2"/>
          <c:tx>
            <c:strRef>
              <c:f>'Order and Service summary'!$R$118</c:f>
              <c:strCache>
                <c:ptCount val="1"/>
                <c:pt idx="0">
                  <c:v>Power optimization</c:v>
                </c:pt>
              </c:strCache>
            </c:strRef>
          </c:tx>
          <c:spPr>
            <a:ln w="28575" cap="rnd">
              <a:solidFill>
                <a:schemeClr val="accent3"/>
              </a:solidFill>
              <a:round/>
            </a:ln>
            <a:effectLst/>
          </c:spPr>
          <c:marker>
            <c:symbol val="none"/>
          </c:marker>
          <c:cat>
            <c:numRef>
              <c:f>'Order and Service summary'!$S$115:$AF$115</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'Order and Service summary'!$S$118:$AF$118</c:f>
              <c:numCache>
                <c:formatCode>0.0%</c:formatCode>
                <c:ptCount val="14"/>
                <c:pt idx="0">
                  <c:v>0</c:v>
                </c:pt>
                <c:pt idx="1">
                  <c:v>0</c:v>
                </c:pt>
                <c:pt idx="2">
                  <c:v>0</c:v>
                </c:pt>
                <c:pt idx="3">
                  <c:v>0</c:v>
                </c:pt>
                <c:pt idx="4">
                  <c:v>0</c:v>
                </c:pt>
                <c:pt idx="5">
                  <c:v>0</c:v>
                </c:pt>
                <c:pt idx="6">
                  <c:v>0</c:v>
                </c:pt>
                <c:pt idx="7">
                  <c:v>0</c:v>
                </c:pt>
                <c:pt idx="8">
                  <c:v>0.1111111111111111</c:v>
                </c:pt>
                <c:pt idx="9">
                  <c:v>0.24444444444444444</c:v>
                </c:pt>
                <c:pt idx="10">
                  <c:v>0.38461538461538464</c:v>
                </c:pt>
                <c:pt idx="11">
                  <c:v>0.19565217391304349</c:v>
                </c:pt>
                <c:pt idx="12">
                  <c:v>0.41666666666666669</c:v>
                </c:pt>
                <c:pt idx="13">
                  <c:v>0.26829268292682928</c:v>
                </c:pt>
              </c:numCache>
            </c:numRef>
          </c:val>
          <c:smooth val="0"/>
          <c:extLst>
            <c:ext xmlns:c16="http://schemas.microsoft.com/office/drawing/2014/chart" uri="{C3380CC4-5D6E-409C-BE32-E72D297353CC}">
              <c16:uniqueId val="{00000002-697D-412F-BFA4-DC900C1E7661}"/>
            </c:ext>
          </c:extLst>
        </c:ser>
        <c:dLbls>
          <c:showLegendKey val="0"/>
          <c:showVal val="0"/>
          <c:showCatName val="0"/>
          <c:showSerName val="0"/>
          <c:showPercent val="0"/>
          <c:showBubbleSize val="0"/>
        </c:dLbls>
        <c:smooth val="0"/>
        <c:axId val="1608542799"/>
        <c:axId val="1608541551"/>
      </c:lineChart>
      <c:catAx>
        <c:axId val="160854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da-DK"/>
          </a:p>
        </c:txPr>
        <c:crossAx val="1608541551"/>
        <c:crosses val="autoZero"/>
        <c:auto val="1"/>
        <c:lblAlgn val="ctr"/>
        <c:lblOffset val="100"/>
        <c:noMultiLvlLbl val="0"/>
      </c:catAx>
      <c:valAx>
        <c:axId val="16085415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da-DK"/>
          </a:p>
        </c:txPr>
        <c:crossAx val="1608542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da-DK"/>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0"/>
          <c:order val="0"/>
          <c:tx>
            <c:strRef>
              <c:f>'Order and Service summary'!$D$108</c:f>
              <c:strCache>
                <c:ptCount val="1"/>
                <c:pt idx="0">
                  <c:v>MW</c:v>
                </c:pt>
              </c:strCache>
            </c:strRef>
          </c:tx>
          <c:spPr>
            <a:ln w="28575" cap="rnd">
              <a:solidFill>
                <a:schemeClr val="accent1"/>
              </a:solidFill>
              <a:round/>
            </a:ln>
            <a:effectLst/>
          </c:spPr>
          <c:marker>
            <c:symbol val="none"/>
          </c:marker>
          <c:cat>
            <c:numRef>
              <c:f>'Order and Service summary'!$C$109:$C$124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'Order and Service summary'!$D$109:$D$124</c:f>
              <c:numCache>
                <c:formatCode>General</c:formatCode>
                <c:ptCount val="16"/>
                <c:pt idx="0">
                  <c:v>0</c:v>
                </c:pt>
                <c:pt idx="1">
                  <c:v>0</c:v>
                </c:pt>
                <c:pt idx="2">
                  <c:v>0</c:v>
                </c:pt>
                <c:pt idx="3">
                  <c:v>1331</c:v>
                </c:pt>
                <c:pt idx="4">
                  <c:v>317</c:v>
                </c:pt>
                <c:pt idx="5">
                  <c:v>291</c:v>
                </c:pt>
                <c:pt idx="6">
                  <c:v>758</c:v>
                </c:pt>
                <c:pt idx="7">
                  <c:v>399</c:v>
                </c:pt>
                <c:pt idx="8">
                  <c:v>520</c:v>
                </c:pt>
                <c:pt idx="9">
                  <c:v>102</c:v>
                </c:pt>
                <c:pt idx="10">
                  <c:v>198</c:v>
                </c:pt>
                <c:pt idx="11">
                  <c:v>296.39999999999998</c:v>
                </c:pt>
                <c:pt idx="12">
                  <c:v>394</c:v>
                </c:pt>
                <c:pt idx="13">
                  <c:v>824</c:v>
                </c:pt>
                <c:pt idx="14">
                  <c:v>248</c:v>
                </c:pt>
                <c:pt idx="15">
                  <c:v>497.2</c:v>
                </c:pt>
              </c:numCache>
            </c:numRef>
          </c:val>
          <c:smooth val="0"/>
          <c:extLst>
            <c:ext xmlns:c16="http://schemas.microsoft.com/office/drawing/2014/chart" uri="{C3380CC4-5D6E-409C-BE32-E72D297353CC}">
              <c16:uniqueId val="{00000000-D04D-4E47-8B7F-E5563F4BEDA8}"/>
            </c:ext>
          </c:extLst>
        </c:ser>
        <c:dLbls>
          <c:showLegendKey val="0"/>
          <c:showVal val="0"/>
          <c:showCatName val="0"/>
          <c:showSerName val="0"/>
          <c:showPercent val="0"/>
          <c:showBubbleSize val="0"/>
        </c:dLbls>
        <c:smooth val="0"/>
        <c:axId val="1088535359"/>
        <c:axId val="522473247"/>
      </c:lineChart>
      <c:catAx>
        <c:axId val="108853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522473247"/>
        <c:crosses val="autoZero"/>
        <c:auto val="1"/>
        <c:lblAlgn val="ctr"/>
        <c:lblOffset val="100"/>
        <c:noMultiLvlLbl val="0"/>
      </c:catAx>
      <c:valAx>
        <c:axId val="52247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0885353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'Market share'!$C$7</c:f>
              <c:strCache>
                <c:ptCount val="1"/>
                <c:pt idx="0">
                  <c:v>AF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'Market share'!$E$6:$J$6</c:f>
              <c:numCache>
                <c:formatCode>General</c:formatCode>
                <c:ptCount val="6"/>
                <c:pt idx="0">
                  <c:v>2025</c:v>
                </c:pt>
                <c:pt idx="1">
                  <c:v>2024</c:v>
                </c:pt>
                <c:pt idx="2">
                  <c:v>2023</c:v>
                </c:pt>
                <c:pt idx="3">
                  <c:v>2022</c:v>
                </c:pt>
                <c:pt idx="4">
                  <c:v>2021</c:v>
                </c:pt>
                <c:pt idx="5">
                  <c:v>2020</c:v>
                </c:pt>
              </c:numCache>
            </c:numRef>
          </c:cat>
          <c:val>
            <c:numRef>
              <c:f>'Market share'!$E$7:$J$7</c:f>
              <c:numCache>
                <c:formatCode>0.00%</c:formatCode>
                <c:ptCount val="6"/>
                <c:pt idx="1">
                  <c:v>2.7769721577726218E-2</c:v>
                </c:pt>
                <c:pt idx="2">
                  <c:v>3.5627742484773073E-2</c:v>
                </c:pt>
                <c:pt idx="5">
                  <c:v>2.0171295925718404E-2</c:v>
                </c:pt>
              </c:numCache>
            </c:numRef>
          </c:val>
          <c:extLst>
            <c:ext xmlns:c16="http://schemas.microsoft.com/office/drawing/2014/chart" uri="{C3380CC4-5D6E-409C-BE32-E72D297353CC}">
              <c16:uniqueId val="{00000000-931E-4245-AC31-CA0FDC827F89}"/>
            </c:ext>
          </c:extLst>
        </c:ser>
        <c:ser>
          <c:idx val="1"/>
          <c:order val="1"/>
          <c:tx>
            <c:strRef>
              <c:f>'Market share'!$C$8</c:f>
              <c:strCache>
                <c:ptCount val="1"/>
                <c:pt idx="0">
                  <c:v>AS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'Market share'!$E$6:$J$6</c:f>
              <c:numCache>
                <c:formatCode>General</c:formatCode>
                <c:ptCount val="6"/>
                <c:pt idx="0">
                  <c:v>2025</c:v>
                </c:pt>
                <c:pt idx="1">
                  <c:v>2024</c:v>
                </c:pt>
                <c:pt idx="2">
                  <c:v>2023</c:v>
                </c:pt>
                <c:pt idx="3">
                  <c:v>2022</c:v>
                </c:pt>
                <c:pt idx="4">
                  <c:v>2021</c:v>
                </c:pt>
                <c:pt idx="5">
                  <c:v>2020</c:v>
                </c:pt>
              </c:numCache>
            </c:numRef>
          </c:cat>
          <c:val>
            <c:numRef>
              <c:f>'Market share'!$E$8:$J$8</c:f>
              <c:numCache>
                <c:formatCode>0.00%</c:formatCode>
                <c:ptCount val="6"/>
                <c:pt idx="0">
                  <c:v>7.6372315035799526E-2</c:v>
                </c:pt>
                <c:pt idx="1">
                  <c:v>5.7497099767981438E-2</c:v>
                </c:pt>
                <c:pt idx="2">
                  <c:v>3.3204532058419022E-2</c:v>
                </c:pt>
                <c:pt idx="3">
                  <c:v>0.10445845004668534</c:v>
                </c:pt>
                <c:pt idx="4">
                  <c:v>6.1167390255668114E-2</c:v>
                </c:pt>
                <c:pt idx="5">
                  <c:v>0.20179300408228609</c:v>
                </c:pt>
              </c:numCache>
            </c:numRef>
          </c:val>
          <c:extLst>
            <c:ext xmlns:c16="http://schemas.microsoft.com/office/drawing/2014/chart" uri="{C3380CC4-5D6E-409C-BE32-E72D297353CC}">
              <c16:uniqueId val="{00000001-931E-4245-AC31-CA0FDC827F89}"/>
            </c:ext>
          </c:extLst>
        </c:ser>
        <c:ser>
          <c:idx val="2"/>
          <c:order val="2"/>
          <c:tx>
            <c:strRef>
              <c:f>'Market share'!$C$9</c:f>
              <c:strCache>
                <c:ptCount val="1"/>
                <c:pt idx="0">
                  <c:v>AU</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'Market share'!$E$6:$J$6</c:f>
              <c:numCache>
                <c:formatCode>General</c:formatCode>
                <c:ptCount val="6"/>
                <c:pt idx="0">
                  <c:v>2025</c:v>
                </c:pt>
                <c:pt idx="1">
                  <c:v>2024</c:v>
                </c:pt>
                <c:pt idx="2">
                  <c:v>2023</c:v>
                </c:pt>
                <c:pt idx="3">
                  <c:v>2022</c:v>
                </c:pt>
                <c:pt idx="4">
                  <c:v>2021</c:v>
                </c:pt>
                <c:pt idx="5">
                  <c:v>2020</c:v>
                </c:pt>
              </c:numCache>
            </c:numRef>
          </c:cat>
          <c:val>
            <c:numRef>
              <c:f>'Market share'!$E$9:$J$9</c:f>
              <c:numCache>
                <c:formatCode>0.00%</c:formatCode>
                <c:ptCount val="6"/>
                <c:pt idx="0">
                  <c:v>4.6269920702132573E-2</c:v>
                </c:pt>
                <c:pt idx="1">
                  <c:v>9.4765081206496515E-2</c:v>
                </c:pt>
                <c:pt idx="2">
                  <c:v>1.6635012116052131E-2</c:v>
                </c:pt>
                <c:pt idx="3">
                  <c:v>0.13153594771241831</c:v>
                </c:pt>
                <c:pt idx="4">
                  <c:v>7.641099855282199E-2</c:v>
                </c:pt>
                <c:pt idx="5">
                  <c:v>5.7712318898583206E-2</c:v>
                </c:pt>
              </c:numCache>
            </c:numRef>
          </c:val>
          <c:extLst>
            <c:ext xmlns:c16="http://schemas.microsoft.com/office/drawing/2014/chart" uri="{C3380CC4-5D6E-409C-BE32-E72D297353CC}">
              <c16:uniqueId val="{00000002-931E-4245-AC31-CA0FDC827F89}"/>
            </c:ext>
          </c:extLst>
        </c:ser>
        <c:ser>
          <c:idx val="3"/>
          <c:order val="3"/>
          <c:tx>
            <c:strRef>
              <c:f>'Market share'!$C$10</c:f>
              <c:strCache>
                <c:ptCount val="1"/>
                <c:pt idx="0">
                  <c:v>EU</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'Market share'!$E$6:$J$6</c:f>
              <c:numCache>
                <c:formatCode>General</c:formatCode>
                <c:ptCount val="6"/>
                <c:pt idx="0">
                  <c:v>2025</c:v>
                </c:pt>
                <c:pt idx="1">
                  <c:v>2024</c:v>
                </c:pt>
                <c:pt idx="2">
                  <c:v>2023</c:v>
                </c:pt>
                <c:pt idx="3">
                  <c:v>2022</c:v>
                </c:pt>
                <c:pt idx="4">
                  <c:v>2021</c:v>
                </c:pt>
                <c:pt idx="5">
                  <c:v>2020</c:v>
                </c:pt>
              </c:numCache>
            </c:numRef>
          </c:cat>
          <c:val>
            <c:numRef>
              <c:f>'Market share'!$E$10:$J$10</c:f>
              <c:numCache>
                <c:formatCode>0.00%</c:formatCode>
                <c:ptCount val="6"/>
                <c:pt idx="0">
                  <c:v>0.49973054122719224</c:v>
                </c:pt>
                <c:pt idx="1">
                  <c:v>0.50442285382830632</c:v>
                </c:pt>
                <c:pt idx="2">
                  <c:v>0.37016176566900255</c:v>
                </c:pt>
                <c:pt idx="3">
                  <c:v>0.29190009337068162</c:v>
                </c:pt>
                <c:pt idx="4">
                  <c:v>0.45036179450072361</c:v>
                </c:pt>
                <c:pt idx="5">
                  <c:v>0.36156247498599214</c:v>
                </c:pt>
              </c:numCache>
            </c:numRef>
          </c:val>
          <c:extLst>
            <c:ext xmlns:c16="http://schemas.microsoft.com/office/drawing/2014/chart" uri="{C3380CC4-5D6E-409C-BE32-E72D297353CC}">
              <c16:uniqueId val="{00000003-931E-4245-AC31-CA0FDC827F89}"/>
            </c:ext>
          </c:extLst>
        </c:ser>
        <c:ser>
          <c:idx val="4"/>
          <c:order val="4"/>
          <c:tx>
            <c:strRef>
              <c:f>'Market share'!$C$11</c:f>
              <c:strCache>
                <c:ptCount val="1"/>
                <c:pt idx="0">
                  <c:v>NA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'Market share'!$E$6:$J$6</c:f>
              <c:numCache>
                <c:formatCode>General</c:formatCode>
                <c:ptCount val="6"/>
                <c:pt idx="0">
                  <c:v>2025</c:v>
                </c:pt>
                <c:pt idx="1">
                  <c:v>2024</c:v>
                </c:pt>
                <c:pt idx="2">
                  <c:v>2023</c:v>
                </c:pt>
                <c:pt idx="3">
                  <c:v>2022</c:v>
                </c:pt>
                <c:pt idx="4">
                  <c:v>2021</c:v>
                </c:pt>
                <c:pt idx="5">
                  <c:v>2020</c:v>
                </c:pt>
              </c:numCache>
            </c:numRef>
          </c:cat>
          <c:val>
            <c:numRef>
              <c:f>'Market share'!$E$11:$J$11</c:f>
              <c:numCache>
                <c:formatCode>0.00%</c:formatCode>
                <c:ptCount val="6"/>
                <c:pt idx="0">
                  <c:v>0.27946724151204866</c:v>
                </c:pt>
                <c:pt idx="1">
                  <c:v>0.33642691415313225</c:v>
                </c:pt>
                <c:pt idx="2">
                  <c:v>0.46250573056519745</c:v>
                </c:pt>
                <c:pt idx="3">
                  <c:v>0.21930438842203548</c:v>
                </c:pt>
                <c:pt idx="4">
                  <c:v>0.28760250844187168</c:v>
                </c:pt>
                <c:pt idx="5">
                  <c:v>0.19618986632514207</c:v>
                </c:pt>
              </c:numCache>
            </c:numRef>
          </c:val>
          <c:extLst>
            <c:ext xmlns:c16="http://schemas.microsoft.com/office/drawing/2014/chart" uri="{C3380CC4-5D6E-409C-BE32-E72D297353CC}">
              <c16:uniqueId val="{00000004-931E-4245-AC31-CA0FDC827F89}"/>
            </c:ext>
          </c:extLst>
        </c:ser>
        <c:ser>
          <c:idx val="5"/>
          <c:order val="5"/>
          <c:tx>
            <c:strRef>
              <c:f>'Market share'!$C$12</c:f>
              <c:strCache>
                <c:ptCount val="1"/>
                <c:pt idx="0">
                  <c:v>SA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'Market share'!$E$6:$J$6</c:f>
              <c:numCache>
                <c:formatCode>General</c:formatCode>
                <c:ptCount val="6"/>
                <c:pt idx="0">
                  <c:v>2025</c:v>
                </c:pt>
                <c:pt idx="1">
                  <c:v>2024</c:v>
                </c:pt>
                <c:pt idx="2">
                  <c:v>2023</c:v>
                </c:pt>
                <c:pt idx="3">
                  <c:v>2022</c:v>
                </c:pt>
                <c:pt idx="4">
                  <c:v>2021</c:v>
                </c:pt>
                <c:pt idx="5">
                  <c:v>2020</c:v>
                </c:pt>
              </c:numCache>
            </c:numRef>
          </c:cat>
          <c:val>
            <c:numRef>
              <c:f>'Market share'!$E$12:$J$12</c:f>
              <c:numCache>
                <c:formatCode>0.00%</c:formatCode>
                <c:ptCount val="6"/>
                <c:pt idx="0">
                  <c:v>9.8159981522827011E-2</c:v>
                </c:pt>
                <c:pt idx="1">
                  <c:v>6.8880510440835268E-3</c:v>
                </c:pt>
                <c:pt idx="2">
                  <c:v>0.11749295959132884</c:v>
                </c:pt>
                <c:pt idx="3">
                  <c:v>0.25280112044817926</c:v>
                </c:pt>
                <c:pt idx="4">
                  <c:v>0.12445730824891461</c:v>
                </c:pt>
                <c:pt idx="5">
                  <c:v>0.16257103978227808</c:v>
                </c:pt>
              </c:numCache>
            </c:numRef>
          </c:val>
          <c:extLst>
            <c:ext xmlns:c16="http://schemas.microsoft.com/office/drawing/2014/chart" uri="{C3380CC4-5D6E-409C-BE32-E72D297353CC}">
              <c16:uniqueId val="{00000005-931E-4245-AC31-CA0FDC827F89}"/>
            </c:ext>
          </c:extLst>
        </c:ser>
        <c:dLbls>
          <c:dLblPos val="ctr"/>
          <c:showLegendKey val="0"/>
          <c:showVal val="1"/>
          <c:showCatName val="0"/>
          <c:showSerName val="0"/>
          <c:showPercent val="0"/>
          <c:showBubbleSize val="0"/>
        </c:dLbls>
        <c:gapWidth val="150"/>
        <c:overlap val="100"/>
        <c:axId val="264344143"/>
        <c:axId val="264353711"/>
      </c:barChart>
      <c:catAx>
        <c:axId val="26434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64353711"/>
        <c:crosses val="autoZero"/>
        <c:auto val="1"/>
        <c:lblAlgn val="ctr"/>
        <c:lblOffset val="100"/>
        <c:noMultiLvlLbl val="0"/>
      </c:catAx>
      <c:valAx>
        <c:axId val="2643537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64344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a:t>
            </a:r>
            <a:r>
              <a:rPr lang="en-US" baseline="0"/>
              <a:t> contract horizon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2024'!$D$210</c:f>
              <c:strCache>
                <c:ptCount val="1"/>
                <c:pt idx="0">
                  <c:v>AOM4000</c:v>
                </c:pt>
              </c:strCache>
            </c:strRef>
          </c:tx>
          <c:spPr>
            <a:solidFill>
              <a:schemeClr val="accent1"/>
            </a:solidFill>
            <a:ln>
              <a:noFill/>
            </a:ln>
            <a:effectLst/>
          </c:spPr>
          <c:invertIfNegative val="0"/>
          <c:cat>
            <c:strRef>
              <c:f>'OI 2024'!$C$211:$C$215</c:f>
              <c:strCache>
                <c:ptCount val="5"/>
                <c:pt idx="0">
                  <c:v>0-5</c:v>
                </c:pt>
                <c:pt idx="1">
                  <c:v>5-10</c:v>
                </c:pt>
                <c:pt idx="2">
                  <c:v>10-15</c:v>
                </c:pt>
                <c:pt idx="3">
                  <c:v>15-20</c:v>
                </c:pt>
                <c:pt idx="4">
                  <c:v>20+</c:v>
                </c:pt>
              </c:strCache>
            </c:strRef>
          </c:cat>
          <c:val>
            <c:numRef>
              <c:f>'OI 2024'!$D$211:$D$215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334B-44B6-8513-B11EAA0A0F49}"/>
            </c:ext>
          </c:extLst>
        </c:ser>
        <c:ser>
          <c:idx val="1"/>
          <c:order val="1"/>
          <c:tx>
            <c:strRef>
              <c:f>'OI 2024'!$E$210</c:f>
              <c:strCache>
                <c:ptCount val="1"/>
                <c:pt idx="0">
                  <c:v>AOM5000</c:v>
                </c:pt>
              </c:strCache>
            </c:strRef>
          </c:tx>
          <c:spPr>
            <a:solidFill>
              <a:schemeClr val="accent2"/>
            </a:solidFill>
            <a:ln>
              <a:noFill/>
            </a:ln>
            <a:effectLst/>
          </c:spPr>
          <c:invertIfNegative val="0"/>
          <c:cat>
            <c:strRef>
              <c:f>'OI 2024'!$C$211:$C$215</c:f>
              <c:strCache>
                <c:ptCount val="5"/>
                <c:pt idx="0">
                  <c:v>0-5</c:v>
                </c:pt>
                <c:pt idx="1">
                  <c:v>5-10</c:v>
                </c:pt>
                <c:pt idx="2">
                  <c:v>10-15</c:v>
                </c:pt>
                <c:pt idx="3">
                  <c:v>15-20</c:v>
                </c:pt>
                <c:pt idx="4">
                  <c:v>20+</c:v>
                </c:pt>
              </c:strCache>
            </c:strRef>
          </c:cat>
          <c:val>
            <c:numRef>
              <c:f>'OI 2024'!$E$211:$E$215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334B-44B6-8513-B11EAA0A0F49}"/>
            </c:ext>
          </c:extLst>
        </c:ser>
        <c:dLbls>
          <c:showLegendKey val="0"/>
          <c:showVal val="0"/>
          <c:showCatName val="0"/>
          <c:showSerName val="0"/>
          <c:showPercent val="0"/>
          <c:showBubbleSize val="0"/>
        </c:dLbls>
        <c:gapWidth val="219"/>
        <c:overlap val="-27"/>
        <c:axId val="241148936"/>
        <c:axId val="241149328"/>
      </c:barChart>
      <c:catAx>
        <c:axId val="24114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9328"/>
        <c:crosses val="autoZero"/>
        <c:auto val="1"/>
        <c:lblAlgn val="ctr"/>
        <c:lblOffset val="100"/>
        <c:noMultiLvlLbl val="0"/>
      </c:catAx>
      <c:valAx>
        <c:axId val="24114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Service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D8-49C2-AFF9-529CEDB93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D8-49C2-AFF9-529CEDB939E4}"/>
              </c:ext>
            </c:extLst>
          </c:dPt>
          <c:cat>
            <c:strRef>
              <c:f>'OI 2024'!$F$175:$G$175</c:f>
              <c:strCache>
                <c:ptCount val="2"/>
                <c:pt idx="0">
                  <c:v>AOM4000</c:v>
                </c:pt>
                <c:pt idx="1">
                  <c:v>AOM5000</c:v>
                </c:pt>
              </c:strCache>
            </c:strRef>
          </c:cat>
          <c:val>
            <c:numRef>
              <c:f>'OI 2024'!$F$204:$G$204</c:f>
              <c:numCache>
                <c:formatCode>General</c:formatCode>
                <c:ptCount val="2"/>
                <c:pt idx="0">
                  <c:v>456.5</c:v>
                </c:pt>
                <c:pt idx="1">
                  <c:v>8737.5</c:v>
                </c:pt>
              </c:numCache>
            </c:numRef>
          </c:val>
          <c:extLst>
            <c:ext xmlns:c16="http://schemas.microsoft.com/office/drawing/2014/chart" uri="{C3380CC4-5D6E-409C-BE32-E72D297353CC}">
              <c16:uniqueId val="{00000004-C0D8-49C2-AFF9-529CEDB939E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2024'!$I$177:$I$201</c:f>
              <c:strCache>
                <c:ptCount val="25"/>
                <c:pt idx="2">
                  <c:v>V110-2.0MW</c:v>
                </c:pt>
                <c:pt idx="3">
                  <c:v>V110-2.2MW</c:v>
                </c:pt>
                <c:pt idx="6">
                  <c:v>V117-4.2MW</c:v>
                </c:pt>
                <c:pt idx="7">
                  <c:v>V120-2.2MW</c:v>
                </c:pt>
                <c:pt idx="8">
                  <c:v>V126-3.45MW</c:v>
                </c:pt>
                <c:pt idx="9">
                  <c:v>V136-3.45MW</c:v>
                </c:pt>
                <c:pt idx="10">
                  <c:v>V136-4.2MW</c:v>
                </c:pt>
                <c:pt idx="11">
                  <c:v>V136-4.5MW</c:v>
                </c:pt>
                <c:pt idx="12">
                  <c:v>V150-4.2MW</c:v>
                </c:pt>
                <c:pt idx="13">
                  <c:v>V150-4.5MW</c:v>
                </c:pt>
                <c:pt idx="14">
                  <c:v>V136-3.6MW</c:v>
                </c:pt>
                <c:pt idx="15">
                  <c:v>V150-6.0MW</c:v>
                </c:pt>
                <c:pt idx="17">
                  <c:v>V162-6.4MW</c:v>
                </c:pt>
                <c:pt idx="18">
                  <c:v>V162-6.2MW</c:v>
                </c:pt>
                <c:pt idx="19">
                  <c:v>V162-7.2MW</c:v>
                </c:pt>
                <c:pt idx="20">
                  <c:v>V163-4.5MW</c:v>
                </c:pt>
                <c:pt idx="21">
                  <c:v>V162-6.0MW</c:v>
                </c:pt>
                <c:pt idx="22">
                  <c:v>v172-7.2MW</c:v>
                </c:pt>
                <c:pt idx="24">
                  <c:v>V236-15.0MW</c:v>
                </c:pt>
              </c:strCache>
            </c:strRef>
          </c:cat>
          <c:val>
            <c:numRef>
              <c:f>'OI 2024'!$J$177:$J$201</c:f>
              <c:numCache>
                <c:formatCode>0</c:formatCode>
                <c:ptCount val="25"/>
                <c:pt idx="2">
                  <c:v>17</c:v>
                </c:pt>
                <c:pt idx="3">
                  <c:v>72</c:v>
                </c:pt>
                <c:pt idx="6">
                  <c:v>105</c:v>
                </c:pt>
                <c:pt idx="7">
                  <c:v>124</c:v>
                </c:pt>
                <c:pt idx="8">
                  <c:v>13</c:v>
                </c:pt>
                <c:pt idx="9">
                  <c:v>10</c:v>
                </c:pt>
                <c:pt idx="10">
                  <c:v>95</c:v>
                </c:pt>
                <c:pt idx="11">
                  <c:v>58</c:v>
                </c:pt>
                <c:pt idx="12">
                  <c:v>12</c:v>
                </c:pt>
                <c:pt idx="13">
                  <c:v>260</c:v>
                </c:pt>
                <c:pt idx="14">
                  <c:v>30</c:v>
                </c:pt>
                <c:pt idx="15">
                  <c:v>40</c:v>
                </c:pt>
                <c:pt idx="17">
                  <c:v>57</c:v>
                </c:pt>
                <c:pt idx="18">
                  <c:v>447</c:v>
                </c:pt>
                <c:pt idx="19">
                  <c:v>16</c:v>
                </c:pt>
                <c:pt idx="20">
                  <c:v>543</c:v>
                </c:pt>
                <c:pt idx="21">
                  <c:v>34</c:v>
                </c:pt>
                <c:pt idx="22">
                  <c:v>29</c:v>
                </c:pt>
                <c:pt idx="24">
                  <c:v>261</c:v>
                </c:pt>
              </c:numCache>
            </c:numRef>
          </c:val>
          <c:extLst>
            <c:ext xmlns:c16="http://schemas.microsoft.com/office/drawing/2014/chart" uri="{C3380CC4-5D6E-409C-BE32-E72D297353CC}">
              <c16:uniqueId val="{00000000-6ED3-4D67-AD92-1AC46B76E5CD}"/>
            </c:ext>
          </c:extLst>
        </c:ser>
        <c:dLbls>
          <c:showLegendKey val="0"/>
          <c:showVal val="0"/>
          <c:showCatName val="0"/>
          <c:showSerName val="0"/>
          <c:showPercent val="0"/>
          <c:showBubbleSize val="0"/>
        </c:dLbls>
        <c:gapWidth val="219"/>
        <c:overlap val="-27"/>
        <c:axId val="241147760"/>
        <c:axId val="241148152"/>
      </c:barChart>
      <c:catAx>
        <c:axId val="2411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152"/>
        <c:crosses val="autoZero"/>
        <c:auto val="1"/>
        <c:lblAlgn val="ctr"/>
        <c:lblOffset val="100"/>
        <c:noMultiLvlLbl val="0"/>
      </c:catAx>
      <c:valAx>
        <c:axId val="241148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7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a:t>
            </a:r>
            <a:r>
              <a:rPr lang="en-US" baseline="0"/>
              <a:t> contract horizon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2024'!$D$210</c:f>
              <c:strCache>
                <c:ptCount val="1"/>
                <c:pt idx="0">
                  <c:v>AOM4000</c:v>
                </c:pt>
              </c:strCache>
            </c:strRef>
          </c:tx>
          <c:spPr>
            <a:solidFill>
              <a:schemeClr val="accent1"/>
            </a:solidFill>
            <a:ln>
              <a:noFill/>
            </a:ln>
            <a:effectLst/>
          </c:spPr>
          <c:invertIfNegative val="0"/>
          <c:cat>
            <c:strRef>
              <c:f>'OI 2024'!$C$211:$C$215</c:f>
              <c:strCache>
                <c:ptCount val="5"/>
                <c:pt idx="0">
                  <c:v>0-5</c:v>
                </c:pt>
                <c:pt idx="1">
                  <c:v>5-10</c:v>
                </c:pt>
                <c:pt idx="2">
                  <c:v>10-15</c:v>
                </c:pt>
                <c:pt idx="3">
                  <c:v>15-20</c:v>
                </c:pt>
                <c:pt idx="4">
                  <c:v>20+</c:v>
                </c:pt>
              </c:strCache>
            </c:strRef>
          </c:cat>
          <c:val>
            <c:numRef>
              <c:f>'OI 2024'!$D$211:$D$215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E171-4ABA-AFC3-7844999365C5}"/>
            </c:ext>
          </c:extLst>
        </c:ser>
        <c:ser>
          <c:idx val="1"/>
          <c:order val="1"/>
          <c:tx>
            <c:strRef>
              <c:f>'OI 2024'!$E$210</c:f>
              <c:strCache>
                <c:ptCount val="1"/>
                <c:pt idx="0">
                  <c:v>AOM5000</c:v>
                </c:pt>
              </c:strCache>
            </c:strRef>
          </c:tx>
          <c:spPr>
            <a:solidFill>
              <a:schemeClr val="accent2"/>
            </a:solidFill>
            <a:ln>
              <a:noFill/>
            </a:ln>
            <a:effectLst/>
          </c:spPr>
          <c:invertIfNegative val="0"/>
          <c:cat>
            <c:strRef>
              <c:f>'OI 2024'!$C$211:$C$215</c:f>
              <c:strCache>
                <c:ptCount val="5"/>
                <c:pt idx="0">
                  <c:v>0-5</c:v>
                </c:pt>
                <c:pt idx="1">
                  <c:v>5-10</c:v>
                </c:pt>
                <c:pt idx="2">
                  <c:v>10-15</c:v>
                </c:pt>
                <c:pt idx="3">
                  <c:v>15-20</c:v>
                </c:pt>
                <c:pt idx="4">
                  <c:v>20+</c:v>
                </c:pt>
              </c:strCache>
            </c:strRef>
          </c:cat>
          <c:val>
            <c:numRef>
              <c:f>'OI 2024'!$E$211:$E$215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E171-4ABA-AFC3-7844999365C5}"/>
            </c:ext>
          </c:extLst>
        </c:ser>
        <c:dLbls>
          <c:showLegendKey val="0"/>
          <c:showVal val="0"/>
          <c:showCatName val="0"/>
          <c:showSerName val="0"/>
          <c:showPercent val="0"/>
          <c:showBubbleSize val="0"/>
        </c:dLbls>
        <c:gapWidth val="219"/>
        <c:overlap val="-27"/>
        <c:axId val="241148936"/>
        <c:axId val="241149328"/>
      </c:barChart>
      <c:catAx>
        <c:axId val="24114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9328"/>
        <c:crosses val="autoZero"/>
        <c:auto val="1"/>
        <c:lblAlgn val="ctr"/>
        <c:lblOffset val="100"/>
        <c:noMultiLvlLbl val="0"/>
      </c:catAx>
      <c:valAx>
        <c:axId val="24114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00-4BDE-8FF3-F1F0B0E3D1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00-4BDE-8FF3-F1F0B0E3D1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00-4BDE-8FF3-F1F0B0E3D1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00-4BDE-8FF3-F1F0B0E3D1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300-4BDE-8FF3-F1F0B0E3D1B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300-4BDE-8FF3-F1F0B0E3D1B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300-4BDE-8FF3-F1F0B0E3D1B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300-4BDE-8FF3-F1F0B0E3D1B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300-4BDE-8FF3-F1F0B0E3D1B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300-4BDE-8FF3-F1F0B0E3D1B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300-4BDE-8FF3-F1F0B0E3D1B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300-4BDE-8FF3-F1F0B0E3D1B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300-4BDE-8FF3-F1F0B0E3D1B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300-4BDE-8FF3-F1F0B0E3D1B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300-4BDE-8FF3-F1F0B0E3D1B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300-4BDE-8FF3-F1F0B0E3D1B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300-4BDE-8FF3-F1F0B0E3D1B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300-4BDE-8FF3-F1F0B0E3D1B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300-4BDE-8FF3-F1F0B0E3D1B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C300-4BDE-8FF3-F1F0B0E3D1B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C300-4BDE-8FF3-F1F0B0E3D1B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C300-4BDE-8FF3-F1F0B0E3D1B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C300-4BDE-8FF3-F1F0B0E3D1B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C300-4BDE-8FF3-F1F0B0E3D1B1}"/>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0331-4698-B13A-BDF28DAC9946}"/>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28B9-4909-9C77-4576B6EF6B87}"/>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28B9-4909-9C77-4576B6EF6B87}"/>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28B9-4909-9C77-4576B6EF6B87}"/>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28B9-4909-9C77-4576B6EF6B87}"/>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8B9-4909-9C77-4576B6EF6B87}"/>
              </c:ext>
            </c:extLst>
          </c:dPt>
          <c:cat>
            <c:strRef>
              <c:f>'OI 2024'!$C$176:$C$205</c:f>
              <c:strCache>
                <c:ptCount val="28"/>
                <c:pt idx="0">
                  <c:v>United states</c:v>
                </c:pt>
                <c:pt idx="1">
                  <c:v>Mexico</c:v>
                </c:pt>
                <c:pt idx="2">
                  <c:v>Germany</c:v>
                </c:pt>
                <c:pt idx="3">
                  <c:v>Romania</c:v>
                </c:pt>
                <c:pt idx="4">
                  <c:v>Sweden</c:v>
                </c:pt>
                <c:pt idx="5">
                  <c:v>New Zealand</c:v>
                </c:pt>
                <c:pt idx="6">
                  <c:v>Italy</c:v>
                </c:pt>
                <c:pt idx="7">
                  <c:v>Argentina</c:v>
                </c:pt>
                <c:pt idx="8">
                  <c:v>Australia</c:v>
                </c:pt>
                <c:pt idx="9">
                  <c:v>France</c:v>
                </c:pt>
                <c:pt idx="10">
                  <c:v>Canada</c:v>
                </c:pt>
                <c:pt idx="11">
                  <c:v>South Africa</c:v>
                </c:pt>
                <c:pt idx="12">
                  <c:v>Lithuania</c:v>
                </c:pt>
                <c:pt idx="13">
                  <c:v>South Korea</c:v>
                </c:pt>
                <c:pt idx="14">
                  <c:v>Spain</c:v>
                </c:pt>
                <c:pt idx="15">
                  <c:v>UK</c:v>
                </c:pt>
                <c:pt idx="16">
                  <c:v>Turkey</c:v>
                </c:pt>
                <c:pt idx="17">
                  <c:v>Dominican republic</c:v>
                </c:pt>
                <c:pt idx="18">
                  <c:v>Poland</c:v>
                </c:pt>
                <c:pt idx="19">
                  <c:v>Denmark</c:v>
                </c:pt>
                <c:pt idx="20">
                  <c:v>Japan</c:v>
                </c:pt>
                <c:pt idx="21">
                  <c:v>Latvia</c:v>
                </c:pt>
                <c:pt idx="22">
                  <c:v>Guatemala</c:v>
                </c:pt>
                <c:pt idx="23">
                  <c:v>Portugal</c:v>
                </c:pt>
                <c:pt idx="24">
                  <c:v>Costa Rica</c:v>
                </c:pt>
                <c:pt idx="25">
                  <c:v>Greece</c:v>
                </c:pt>
                <c:pt idx="26">
                  <c:v>Netherlands</c:v>
                </c:pt>
                <c:pt idx="27">
                  <c:v>Austria</c:v>
                </c:pt>
              </c:strCache>
            </c:strRef>
          </c:cat>
          <c:val>
            <c:numRef>
              <c:f>'OI 2024'!$E$176:$E$205</c:f>
              <c:numCache>
                <c:formatCode>General</c:formatCode>
                <c:ptCount val="30"/>
                <c:pt idx="0">
                  <c:v>3827</c:v>
                </c:pt>
                <c:pt idx="1">
                  <c:v>319</c:v>
                </c:pt>
                <c:pt idx="2">
                  <c:v>2538</c:v>
                </c:pt>
                <c:pt idx="3">
                  <c:v>341</c:v>
                </c:pt>
                <c:pt idx="4">
                  <c:v>312</c:v>
                </c:pt>
                <c:pt idx="5">
                  <c:v>232</c:v>
                </c:pt>
                <c:pt idx="6">
                  <c:v>276</c:v>
                </c:pt>
                <c:pt idx="7">
                  <c:v>95</c:v>
                </c:pt>
                <c:pt idx="8">
                  <c:v>1075</c:v>
                </c:pt>
                <c:pt idx="9">
                  <c:v>190.5</c:v>
                </c:pt>
                <c:pt idx="10">
                  <c:v>347</c:v>
                </c:pt>
                <c:pt idx="11">
                  <c:v>383</c:v>
                </c:pt>
                <c:pt idx="12">
                  <c:v>223</c:v>
                </c:pt>
                <c:pt idx="13">
                  <c:v>217</c:v>
                </c:pt>
                <c:pt idx="14">
                  <c:v>331.5</c:v>
                </c:pt>
                <c:pt idx="15">
                  <c:v>1378</c:v>
                </c:pt>
                <c:pt idx="16">
                  <c:v>108</c:v>
                </c:pt>
                <c:pt idx="17">
                  <c:v>50</c:v>
                </c:pt>
                <c:pt idx="18">
                  <c:v>66</c:v>
                </c:pt>
                <c:pt idx="19">
                  <c:v>92</c:v>
                </c:pt>
                <c:pt idx="20">
                  <c:v>576</c:v>
                </c:pt>
                <c:pt idx="21">
                  <c:v>64</c:v>
                </c:pt>
                <c:pt idx="22">
                  <c:v>63</c:v>
                </c:pt>
                <c:pt idx="23">
                  <c:v>63</c:v>
                </c:pt>
                <c:pt idx="24">
                  <c:v>34</c:v>
                </c:pt>
                <c:pt idx="25">
                  <c:v>27</c:v>
                </c:pt>
                <c:pt idx="26">
                  <c:v>795</c:v>
                </c:pt>
                <c:pt idx="27">
                  <c:v>152</c:v>
                </c:pt>
                <c:pt idx="28">
                  <c:v>14175</c:v>
                </c:pt>
                <c:pt idx="29">
                  <c:v>2671</c:v>
                </c:pt>
              </c:numCache>
            </c:numRef>
          </c:val>
          <c:extLst>
            <c:ext xmlns:c16="http://schemas.microsoft.com/office/drawing/2014/chart" uri="{C3380CC4-5D6E-409C-BE32-E72D297353CC}">
              <c16:uniqueId val="{00000030-C300-4BDE-8FF3-F1F0B0E3D1B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7D12-4DF1-ADBF-988330655FBD}"/>
              </c:ext>
            </c:extLst>
          </c:dPt>
          <c:dPt>
            <c:idx val="1"/>
            <c:bubble3D val="0"/>
            <c:spPr>
              <a:solidFill>
                <a:schemeClr val="accent2"/>
              </a:solidFill>
              <a:ln>
                <a:noFill/>
              </a:ln>
              <a:effectLst/>
            </c:spPr>
            <c:extLst>
              <c:ext xmlns:c16="http://schemas.microsoft.com/office/drawing/2014/chart" uri="{C3380CC4-5D6E-409C-BE32-E72D297353CC}">
                <c16:uniqueId val="{00000003-7D12-4DF1-ADBF-988330655FBD}"/>
              </c:ext>
            </c:extLst>
          </c:dPt>
          <c:dPt>
            <c:idx val="2"/>
            <c:bubble3D val="0"/>
            <c:spPr>
              <a:solidFill>
                <a:schemeClr val="accent3"/>
              </a:solidFill>
              <a:ln>
                <a:noFill/>
              </a:ln>
              <a:effectLst/>
            </c:spPr>
            <c:extLst>
              <c:ext xmlns:c16="http://schemas.microsoft.com/office/drawing/2014/chart" uri="{C3380CC4-5D6E-409C-BE32-E72D297353CC}">
                <c16:uniqueId val="{00000005-7D12-4DF1-ADBF-988330655FBD}"/>
              </c:ext>
            </c:extLst>
          </c:dPt>
          <c:dPt>
            <c:idx val="3"/>
            <c:bubble3D val="0"/>
            <c:spPr>
              <a:solidFill>
                <a:schemeClr val="accent4"/>
              </a:solidFill>
              <a:ln>
                <a:noFill/>
              </a:ln>
              <a:effectLst/>
            </c:spPr>
            <c:extLst>
              <c:ext xmlns:c16="http://schemas.microsoft.com/office/drawing/2014/chart" uri="{C3380CC4-5D6E-409C-BE32-E72D297353CC}">
                <c16:uniqueId val="{00000007-7D12-4DF1-ADBF-988330655FBD}"/>
              </c:ext>
            </c:extLst>
          </c:dPt>
          <c:dPt>
            <c:idx val="4"/>
            <c:bubble3D val="0"/>
            <c:spPr>
              <a:solidFill>
                <a:schemeClr val="accent5"/>
              </a:solidFill>
              <a:ln>
                <a:noFill/>
              </a:ln>
              <a:effectLst/>
            </c:spPr>
            <c:extLst>
              <c:ext xmlns:c16="http://schemas.microsoft.com/office/drawing/2014/chart" uri="{C3380CC4-5D6E-409C-BE32-E72D297353CC}">
                <c16:uniqueId val="{00000009-7D12-4DF1-ADBF-988330655FBD}"/>
              </c:ext>
            </c:extLst>
          </c:dPt>
          <c:dPt>
            <c:idx val="5"/>
            <c:bubble3D val="0"/>
            <c:spPr>
              <a:solidFill>
                <a:schemeClr val="accent6"/>
              </a:solidFill>
              <a:ln>
                <a:noFill/>
              </a:ln>
              <a:effectLst/>
            </c:spPr>
            <c:extLst>
              <c:ext xmlns:c16="http://schemas.microsoft.com/office/drawing/2014/chart" uri="{C3380CC4-5D6E-409C-BE32-E72D297353CC}">
                <c16:uniqueId val="{0000000B-7D12-4DF1-ADBF-988330655FB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D12-4DF1-ADBF-988330655FB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D12-4DF1-ADBF-988330655FB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D12-4DF1-ADBF-988330655FB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D12-4DF1-ADBF-988330655FBD}"/>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7D12-4DF1-ADBF-988330655FBD}"/>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7D12-4DF1-ADBF-988330655FBD}"/>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7D12-4DF1-ADBF-988330655FBD}"/>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7D12-4DF1-ADBF-988330655FBD}"/>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7D12-4DF1-ADBF-988330655FBD}"/>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7D12-4DF1-ADBF-988330655FBD}"/>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7D12-4DF1-ADBF-988330655FBD}"/>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7D12-4DF1-ADBF-988330655FBD}"/>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7D12-4DF1-ADBF-988330655FBD}"/>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7D12-4DF1-ADBF-988330655FBD}"/>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7D12-4DF1-ADBF-988330655FBD}"/>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7D12-4DF1-ADBF-988330655FBD}"/>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7D12-4DF1-ADBF-988330655FBD}"/>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7D12-4DF1-ADBF-988330655FBD}"/>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9651-4072-974F-61BE7416F6D3}"/>
              </c:ext>
            </c:extLst>
          </c:dPt>
          <c:cat>
            <c:strRef>
              <c:f>'OI 2024'!$I$177:$I$201</c:f>
              <c:strCache>
                <c:ptCount val="25"/>
                <c:pt idx="2">
                  <c:v>V110-2.0MW</c:v>
                </c:pt>
                <c:pt idx="3">
                  <c:v>V110-2.2MW</c:v>
                </c:pt>
                <c:pt idx="6">
                  <c:v>V117-4.2MW</c:v>
                </c:pt>
                <c:pt idx="7">
                  <c:v>V120-2.2MW</c:v>
                </c:pt>
                <c:pt idx="8">
                  <c:v>V126-3.45MW</c:v>
                </c:pt>
                <c:pt idx="9">
                  <c:v>V136-3.45MW</c:v>
                </c:pt>
                <c:pt idx="10">
                  <c:v>V136-4.2MW</c:v>
                </c:pt>
                <c:pt idx="11">
                  <c:v>V136-4.5MW</c:v>
                </c:pt>
                <c:pt idx="12">
                  <c:v>V150-4.2MW</c:v>
                </c:pt>
                <c:pt idx="13">
                  <c:v>V150-4.5MW</c:v>
                </c:pt>
                <c:pt idx="14">
                  <c:v>V136-3.6MW</c:v>
                </c:pt>
                <c:pt idx="15">
                  <c:v>V150-6.0MW</c:v>
                </c:pt>
                <c:pt idx="17">
                  <c:v>V162-6.4MW</c:v>
                </c:pt>
                <c:pt idx="18">
                  <c:v>V162-6.2MW</c:v>
                </c:pt>
                <c:pt idx="19">
                  <c:v>V162-7.2MW</c:v>
                </c:pt>
                <c:pt idx="20">
                  <c:v>V163-4.5MW</c:v>
                </c:pt>
                <c:pt idx="21">
                  <c:v>V162-6.0MW</c:v>
                </c:pt>
                <c:pt idx="22">
                  <c:v>v172-7.2MW</c:v>
                </c:pt>
                <c:pt idx="24">
                  <c:v>V236-15.0MW</c:v>
                </c:pt>
              </c:strCache>
            </c:strRef>
          </c:cat>
          <c:val>
            <c:numRef>
              <c:f>'OI 2024'!$J$177:$J$201</c:f>
              <c:numCache>
                <c:formatCode>0</c:formatCode>
                <c:ptCount val="25"/>
                <c:pt idx="2">
                  <c:v>17</c:v>
                </c:pt>
                <c:pt idx="3">
                  <c:v>72</c:v>
                </c:pt>
                <c:pt idx="6">
                  <c:v>105</c:v>
                </c:pt>
                <c:pt idx="7">
                  <c:v>124</c:v>
                </c:pt>
                <c:pt idx="8">
                  <c:v>13</c:v>
                </c:pt>
                <c:pt idx="9">
                  <c:v>10</c:v>
                </c:pt>
                <c:pt idx="10">
                  <c:v>95</c:v>
                </c:pt>
                <c:pt idx="11">
                  <c:v>58</c:v>
                </c:pt>
                <c:pt idx="12">
                  <c:v>12</c:v>
                </c:pt>
                <c:pt idx="13">
                  <c:v>260</c:v>
                </c:pt>
                <c:pt idx="14">
                  <c:v>30</c:v>
                </c:pt>
                <c:pt idx="15">
                  <c:v>40</c:v>
                </c:pt>
                <c:pt idx="17">
                  <c:v>57</c:v>
                </c:pt>
                <c:pt idx="18">
                  <c:v>447</c:v>
                </c:pt>
                <c:pt idx="19">
                  <c:v>16</c:v>
                </c:pt>
                <c:pt idx="20">
                  <c:v>543</c:v>
                </c:pt>
                <c:pt idx="21">
                  <c:v>34</c:v>
                </c:pt>
                <c:pt idx="22">
                  <c:v>29</c:v>
                </c:pt>
                <c:pt idx="24">
                  <c:v>261</c:v>
                </c:pt>
              </c:numCache>
            </c:numRef>
          </c:val>
          <c:extLst>
            <c:ext xmlns:c16="http://schemas.microsoft.com/office/drawing/2014/chart" uri="{C3380CC4-5D6E-409C-BE32-E72D297353CC}">
              <c16:uniqueId val="{00000030-7D12-4DF1-ADBF-988330655F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2024'!$M$177:$M$189</c:f>
              <c:strCache>
                <c:ptCount val="13"/>
                <c:pt idx="0">
                  <c:v>V100</c:v>
                </c:pt>
                <c:pt idx="1">
                  <c:v>V110</c:v>
                </c:pt>
                <c:pt idx="2">
                  <c:v>V117</c:v>
                </c:pt>
                <c:pt idx="3">
                  <c:v>V120</c:v>
                </c:pt>
                <c:pt idx="4">
                  <c:v>V126</c:v>
                </c:pt>
                <c:pt idx="5">
                  <c:v>V136</c:v>
                </c:pt>
                <c:pt idx="6">
                  <c:v>V150</c:v>
                </c:pt>
                <c:pt idx="7">
                  <c:v>V155</c:v>
                </c:pt>
                <c:pt idx="8">
                  <c:v>V162</c:v>
                </c:pt>
                <c:pt idx="9">
                  <c:v>V163</c:v>
                </c:pt>
                <c:pt idx="10">
                  <c:v>V172</c:v>
                </c:pt>
                <c:pt idx="11">
                  <c:v>V174</c:v>
                </c:pt>
                <c:pt idx="12">
                  <c:v>V236</c:v>
                </c:pt>
              </c:strCache>
            </c:strRef>
          </c:cat>
          <c:val>
            <c:numRef>
              <c:f>'OI 2024'!$N$177:$N$189</c:f>
              <c:numCache>
                <c:formatCode>General</c:formatCode>
                <c:ptCount val="13"/>
                <c:pt idx="0">
                  <c:v>0</c:v>
                </c:pt>
                <c:pt idx="1">
                  <c:v>89</c:v>
                </c:pt>
                <c:pt idx="2">
                  <c:v>105</c:v>
                </c:pt>
                <c:pt idx="3">
                  <c:v>124</c:v>
                </c:pt>
                <c:pt idx="4">
                  <c:v>13</c:v>
                </c:pt>
                <c:pt idx="5">
                  <c:v>193</c:v>
                </c:pt>
                <c:pt idx="6">
                  <c:v>315</c:v>
                </c:pt>
                <c:pt idx="7">
                  <c:v>0</c:v>
                </c:pt>
                <c:pt idx="8">
                  <c:v>554</c:v>
                </c:pt>
                <c:pt idx="9">
                  <c:v>543</c:v>
                </c:pt>
                <c:pt idx="10">
                  <c:v>29</c:v>
                </c:pt>
                <c:pt idx="11">
                  <c:v>0</c:v>
                </c:pt>
                <c:pt idx="12">
                  <c:v>261</c:v>
                </c:pt>
              </c:numCache>
            </c:numRef>
          </c:val>
          <c:extLst>
            <c:ext xmlns:c16="http://schemas.microsoft.com/office/drawing/2014/chart" uri="{C3380CC4-5D6E-409C-BE32-E72D297353CC}">
              <c16:uniqueId val="{00000000-2E49-492E-A9A1-C33C79F71BEB}"/>
            </c:ext>
          </c:extLst>
        </c:ser>
        <c:dLbls>
          <c:showLegendKey val="0"/>
          <c:showVal val="0"/>
          <c:showCatName val="0"/>
          <c:showSerName val="0"/>
          <c:showPercent val="0"/>
          <c:showBubbleSize val="0"/>
        </c:dLbls>
        <c:gapWidth val="219"/>
        <c:overlap val="-27"/>
        <c:axId val="241147760"/>
        <c:axId val="241148152"/>
      </c:barChart>
      <c:catAx>
        <c:axId val="2411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152"/>
        <c:crosses val="autoZero"/>
        <c:auto val="1"/>
        <c:lblAlgn val="ctr"/>
        <c:lblOffset val="100"/>
        <c:noMultiLvlLbl val="0"/>
      </c:catAx>
      <c:valAx>
        <c:axId val="241148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7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Service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1D-4303-A89F-49A8F02F22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1D-4303-A89F-49A8F02F225B}"/>
              </c:ext>
            </c:extLst>
          </c:dPt>
          <c:cat>
            <c:strRef>
              <c:f>'OI 2024'!$F$175:$G$175</c:f>
              <c:strCache>
                <c:ptCount val="2"/>
                <c:pt idx="0">
                  <c:v>AOM4000</c:v>
                </c:pt>
                <c:pt idx="1">
                  <c:v>AOM5000</c:v>
                </c:pt>
              </c:strCache>
            </c:strRef>
          </c:cat>
          <c:val>
            <c:numRef>
              <c:f>'OI 2024'!$F$204:$G$204</c:f>
              <c:numCache>
                <c:formatCode>General</c:formatCode>
                <c:ptCount val="2"/>
                <c:pt idx="0">
                  <c:v>456.5</c:v>
                </c:pt>
                <c:pt idx="1">
                  <c:v>8737.5</c:v>
                </c:pt>
              </c:numCache>
            </c:numRef>
          </c:val>
          <c:extLst>
            <c:ext xmlns:c16="http://schemas.microsoft.com/office/drawing/2014/chart" uri="{C3380CC4-5D6E-409C-BE32-E72D297353CC}">
              <c16:uniqueId val="{00000004-5F1D-4303-A89F-49A8F02F225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2023'!$I$158:$I$176</c:f>
              <c:strCache>
                <c:ptCount val="19"/>
                <c:pt idx="0">
                  <c:v>V100-2.0MW</c:v>
                </c:pt>
                <c:pt idx="1">
                  <c:v>V110-2.0MW</c:v>
                </c:pt>
                <c:pt idx="2">
                  <c:v>V117-4.2MW</c:v>
                </c:pt>
                <c:pt idx="3">
                  <c:v>V120-2.2MW</c:v>
                </c:pt>
                <c:pt idx="4">
                  <c:v>V126-3.45MW</c:v>
                </c:pt>
                <c:pt idx="5">
                  <c:v>V136-4.2MW</c:v>
                </c:pt>
                <c:pt idx="6">
                  <c:v>V136-4.5MW</c:v>
                </c:pt>
                <c:pt idx="7">
                  <c:v>V150-4.2MW</c:v>
                </c:pt>
                <c:pt idx="8">
                  <c:v>V150-4.5MW</c:v>
                </c:pt>
                <c:pt idx="9">
                  <c:v>V150-5.6MW</c:v>
                </c:pt>
                <c:pt idx="10">
                  <c:v>V150-6.0MW</c:v>
                </c:pt>
                <c:pt idx="11">
                  <c:v>V155-3.6MW</c:v>
                </c:pt>
                <c:pt idx="12">
                  <c:v>V162-5.6MW</c:v>
                </c:pt>
                <c:pt idx="13">
                  <c:v>V162-6.2MW</c:v>
                </c:pt>
                <c:pt idx="14">
                  <c:v>V162-7.2MW</c:v>
                </c:pt>
                <c:pt idx="15">
                  <c:v>V163-4.5MW</c:v>
                </c:pt>
                <c:pt idx="16">
                  <c:v>v172-7.2MW</c:v>
                </c:pt>
                <c:pt idx="17">
                  <c:v>V174-9.5MW</c:v>
                </c:pt>
                <c:pt idx="18">
                  <c:v>V236-15.0MW</c:v>
                </c:pt>
              </c:strCache>
            </c:strRef>
          </c:cat>
          <c:val>
            <c:numRef>
              <c:f>'OI 2023'!$J$158:$J$176</c:f>
              <c:numCache>
                <c:formatCode>0</c:formatCode>
                <c:ptCount val="19"/>
                <c:pt idx="0">
                  <c:v>40</c:v>
                </c:pt>
                <c:pt idx="1">
                  <c:v>259</c:v>
                </c:pt>
                <c:pt idx="2">
                  <c:v>44</c:v>
                </c:pt>
                <c:pt idx="3">
                  <c:v>72</c:v>
                </c:pt>
                <c:pt idx="4">
                  <c:v>7</c:v>
                </c:pt>
                <c:pt idx="5">
                  <c:v>30</c:v>
                </c:pt>
                <c:pt idx="6">
                  <c:v>136</c:v>
                </c:pt>
                <c:pt idx="7">
                  <c:v>223</c:v>
                </c:pt>
                <c:pt idx="8">
                  <c:v>668</c:v>
                </c:pt>
                <c:pt idx="9">
                  <c:v>1</c:v>
                </c:pt>
                <c:pt idx="10">
                  <c:v>25</c:v>
                </c:pt>
                <c:pt idx="11">
                  <c:v>36</c:v>
                </c:pt>
                <c:pt idx="12">
                  <c:v>16</c:v>
                </c:pt>
                <c:pt idx="13">
                  <c:v>281</c:v>
                </c:pt>
                <c:pt idx="14">
                  <c:v>1</c:v>
                </c:pt>
                <c:pt idx="15">
                  <c:v>960</c:v>
                </c:pt>
                <c:pt idx="16">
                  <c:v>6</c:v>
                </c:pt>
                <c:pt idx="17">
                  <c:v>25</c:v>
                </c:pt>
                <c:pt idx="18" formatCode="General">
                  <c:v>192</c:v>
                </c:pt>
              </c:numCache>
            </c:numRef>
          </c:val>
          <c:extLst>
            <c:ext xmlns:c16="http://schemas.microsoft.com/office/drawing/2014/chart" uri="{C3380CC4-5D6E-409C-BE32-E72D297353CC}">
              <c16:uniqueId val="{00000000-2D7C-43FA-8352-6F0D679240E3}"/>
            </c:ext>
          </c:extLst>
        </c:ser>
        <c:dLbls>
          <c:showLegendKey val="0"/>
          <c:showVal val="0"/>
          <c:showCatName val="0"/>
          <c:showSerName val="0"/>
          <c:showPercent val="0"/>
          <c:showBubbleSize val="0"/>
        </c:dLbls>
        <c:gapWidth val="219"/>
        <c:overlap val="-27"/>
        <c:axId val="241147760"/>
        <c:axId val="241148152"/>
      </c:barChart>
      <c:catAx>
        <c:axId val="2411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152"/>
        <c:crosses val="autoZero"/>
        <c:auto val="1"/>
        <c:lblAlgn val="ctr"/>
        <c:lblOffset val="100"/>
        <c:noMultiLvlLbl val="0"/>
      </c:catAx>
      <c:valAx>
        <c:axId val="241148152"/>
        <c:scaling>
          <c:orientation val="minMax"/>
          <c:max val="1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7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a:t>
            </a:r>
            <a:r>
              <a:rPr lang="en-US" baseline="0"/>
              <a:t> contract horizon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2023'!$D$184</c:f>
              <c:strCache>
                <c:ptCount val="1"/>
                <c:pt idx="0">
                  <c:v>AOM4000</c:v>
                </c:pt>
              </c:strCache>
            </c:strRef>
          </c:tx>
          <c:spPr>
            <a:solidFill>
              <a:schemeClr val="accent1"/>
            </a:solidFill>
            <a:ln>
              <a:noFill/>
            </a:ln>
            <a:effectLst/>
          </c:spPr>
          <c:invertIfNegative val="0"/>
          <c:cat>
            <c:strRef>
              <c:f>'OI 2023'!$C$185:$C$189</c:f>
              <c:strCache>
                <c:ptCount val="5"/>
                <c:pt idx="0">
                  <c:v>0-5</c:v>
                </c:pt>
                <c:pt idx="1">
                  <c:v>5-10</c:v>
                </c:pt>
                <c:pt idx="2">
                  <c:v>10-15</c:v>
                </c:pt>
                <c:pt idx="3">
                  <c:v>15-20</c:v>
                </c:pt>
                <c:pt idx="4">
                  <c:v>20+</c:v>
                </c:pt>
              </c:strCache>
            </c:strRef>
          </c:cat>
          <c:val>
            <c:numRef>
              <c:f>'OI 2023'!$D$185:$D$189</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CABF-4801-A15C-155F9597E766}"/>
            </c:ext>
          </c:extLst>
        </c:ser>
        <c:ser>
          <c:idx val="1"/>
          <c:order val="1"/>
          <c:tx>
            <c:strRef>
              <c:f>'OI 2023'!$E$184</c:f>
              <c:strCache>
                <c:ptCount val="1"/>
                <c:pt idx="0">
                  <c:v>AOM5000</c:v>
                </c:pt>
              </c:strCache>
            </c:strRef>
          </c:tx>
          <c:spPr>
            <a:solidFill>
              <a:schemeClr val="accent2"/>
            </a:solidFill>
            <a:ln>
              <a:noFill/>
            </a:ln>
            <a:effectLst/>
          </c:spPr>
          <c:invertIfNegative val="0"/>
          <c:cat>
            <c:strRef>
              <c:f>'OI 2023'!$C$185:$C$189</c:f>
              <c:strCache>
                <c:ptCount val="5"/>
                <c:pt idx="0">
                  <c:v>0-5</c:v>
                </c:pt>
                <c:pt idx="1">
                  <c:v>5-10</c:v>
                </c:pt>
                <c:pt idx="2">
                  <c:v>10-15</c:v>
                </c:pt>
                <c:pt idx="3">
                  <c:v>15-20</c:v>
                </c:pt>
                <c:pt idx="4">
                  <c:v>20+</c:v>
                </c:pt>
              </c:strCache>
            </c:strRef>
          </c:cat>
          <c:val>
            <c:numRef>
              <c:f>'OI 2023'!$E$185:$E$189</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CABF-4801-A15C-155F9597E766}"/>
            </c:ext>
          </c:extLst>
        </c:ser>
        <c:dLbls>
          <c:showLegendKey val="0"/>
          <c:showVal val="0"/>
          <c:showCatName val="0"/>
          <c:showSerName val="0"/>
          <c:showPercent val="0"/>
          <c:showBubbleSize val="0"/>
        </c:dLbls>
        <c:gapWidth val="219"/>
        <c:overlap val="-27"/>
        <c:axId val="241148936"/>
        <c:axId val="241149328"/>
      </c:barChart>
      <c:catAx>
        <c:axId val="24114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9328"/>
        <c:crosses val="autoZero"/>
        <c:auto val="1"/>
        <c:lblAlgn val="ctr"/>
        <c:lblOffset val="100"/>
        <c:noMultiLvlLbl val="0"/>
      </c:catAx>
      <c:valAx>
        <c:axId val="24114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0D-419F-855D-4934F6C004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0D-419F-855D-4934F6C004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0D-419F-855D-4934F6C004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0D-419F-855D-4934F6C004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80D-419F-855D-4934F6C004A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80D-419F-855D-4934F6C004A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80D-419F-855D-4934F6C004A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80D-419F-855D-4934F6C004A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80D-419F-855D-4934F6C004A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80D-419F-855D-4934F6C004A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80D-419F-855D-4934F6C004A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80D-419F-855D-4934F6C004A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80D-419F-855D-4934F6C004A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80D-419F-855D-4934F6C004A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80D-419F-855D-4934F6C004A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80D-419F-855D-4934F6C004A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80D-419F-855D-4934F6C004A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80D-419F-855D-4934F6C004A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580D-419F-855D-4934F6C004A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580D-419F-855D-4934F6C004A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580D-419F-855D-4934F6C004A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580D-419F-855D-4934F6C004A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580D-419F-855D-4934F6C004A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580D-419F-855D-4934F6C004A7}"/>
              </c:ext>
            </c:extLst>
          </c:dPt>
          <c:cat>
            <c:strRef>
              <c:f>'OI 2023'!$C$157:$C$180</c:f>
              <c:strCache>
                <c:ptCount val="22"/>
                <c:pt idx="0">
                  <c:v>United states</c:v>
                </c:pt>
                <c:pt idx="1">
                  <c:v>Japan</c:v>
                </c:pt>
                <c:pt idx="2">
                  <c:v>Germany</c:v>
                </c:pt>
                <c:pt idx="3">
                  <c:v>India</c:v>
                </c:pt>
                <c:pt idx="4">
                  <c:v>Sweden</c:v>
                </c:pt>
                <c:pt idx="5">
                  <c:v>Estonia</c:v>
                </c:pt>
                <c:pt idx="6">
                  <c:v>Italy</c:v>
                </c:pt>
                <c:pt idx="7">
                  <c:v>Argentina</c:v>
                </c:pt>
                <c:pt idx="8">
                  <c:v>Australia</c:v>
                </c:pt>
                <c:pt idx="9">
                  <c:v>Brazil</c:v>
                </c:pt>
                <c:pt idx="10">
                  <c:v>Canada</c:v>
                </c:pt>
                <c:pt idx="11">
                  <c:v>South Africa</c:v>
                </c:pt>
                <c:pt idx="12">
                  <c:v>Lithuania</c:v>
                </c:pt>
                <c:pt idx="13">
                  <c:v>Greece</c:v>
                </c:pt>
                <c:pt idx="14">
                  <c:v>Spain</c:v>
                </c:pt>
                <c:pt idx="15">
                  <c:v>UK</c:v>
                </c:pt>
                <c:pt idx="16">
                  <c:v>Turkey</c:v>
                </c:pt>
                <c:pt idx="17">
                  <c:v>Poland</c:v>
                </c:pt>
                <c:pt idx="18">
                  <c:v>Denmark</c:v>
                </c:pt>
                <c:pt idx="19">
                  <c:v>Finland</c:v>
                </c:pt>
                <c:pt idx="20">
                  <c:v>Netherlands</c:v>
                </c:pt>
                <c:pt idx="21">
                  <c:v>Austria</c:v>
                </c:pt>
              </c:strCache>
            </c:strRef>
          </c:cat>
          <c:val>
            <c:numRef>
              <c:f>'OI 2023'!$E$157:$E$180</c:f>
              <c:numCache>
                <c:formatCode>General</c:formatCode>
                <c:ptCount val="24"/>
                <c:pt idx="0">
                  <c:v>6786</c:v>
                </c:pt>
                <c:pt idx="1">
                  <c:v>377</c:v>
                </c:pt>
                <c:pt idx="2">
                  <c:v>1453</c:v>
                </c:pt>
                <c:pt idx="3">
                  <c:v>130</c:v>
                </c:pt>
                <c:pt idx="4">
                  <c:v>329</c:v>
                </c:pt>
                <c:pt idx="5">
                  <c:v>68</c:v>
                </c:pt>
                <c:pt idx="6">
                  <c:v>302</c:v>
                </c:pt>
                <c:pt idx="7">
                  <c:v>484</c:v>
                </c:pt>
                <c:pt idx="8">
                  <c:v>254</c:v>
                </c:pt>
                <c:pt idx="9">
                  <c:v>1310</c:v>
                </c:pt>
                <c:pt idx="10">
                  <c:v>276</c:v>
                </c:pt>
                <c:pt idx="11">
                  <c:v>544</c:v>
                </c:pt>
                <c:pt idx="12">
                  <c:v>87</c:v>
                </c:pt>
                <c:pt idx="13">
                  <c:v>45</c:v>
                </c:pt>
                <c:pt idx="14">
                  <c:v>509</c:v>
                </c:pt>
                <c:pt idx="15">
                  <c:v>268</c:v>
                </c:pt>
                <c:pt idx="16">
                  <c:v>62</c:v>
                </c:pt>
                <c:pt idx="17">
                  <c:v>1279</c:v>
                </c:pt>
                <c:pt idx="18">
                  <c:v>27</c:v>
                </c:pt>
                <c:pt idx="19">
                  <c:v>397</c:v>
                </c:pt>
                <c:pt idx="20">
                  <c:v>780</c:v>
                </c:pt>
                <c:pt idx="21">
                  <c:v>46</c:v>
                </c:pt>
                <c:pt idx="22">
                  <c:v>15813</c:v>
                </c:pt>
                <c:pt idx="23">
                  <c:v>2573</c:v>
                </c:pt>
              </c:numCache>
            </c:numRef>
          </c:val>
          <c:extLst>
            <c:ext xmlns:c16="http://schemas.microsoft.com/office/drawing/2014/chart" uri="{C3380CC4-5D6E-409C-BE32-E72D297353CC}">
              <c16:uniqueId val="{00000036-580D-419F-855D-4934F6C004A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A2FE-456B-A37D-4A986B9DA632}"/>
              </c:ext>
            </c:extLst>
          </c:dPt>
          <c:dPt>
            <c:idx val="1"/>
            <c:bubble3D val="0"/>
            <c:spPr>
              <a:solidFill>
                <a:schemeClr val="accent2"/>
              </a:solidFill>
              <a:ln>
                <a:noFill/>
              </a:ln>
              <a:effectLst/>
            </c:spPr>
            <c:extLst>
              <c:ext xmlns:c16="http://schemas.microsoft.com/office/drawing/2014/chart" uri="{C3380CC4-5D6E-409C-BE32-E72D297353CC}">
                <c16:uniqueId val="{00000003-A2FE-456B-A37D-4A986B9DA632}"/>
              </c:ext>
            </c:extLst>
          </c:dPt>
          <c:dPt>
            <c:idx val="2"/>
            <c:bubble3D val="0"/>
            <c:spPr>
              <a:solidFill>
                <a:schemeClr val="accent3"/>
              </a:solidFill>
              <a:ln>
                <a:noFill/>
              </a:ln>
              <a:effectLst/>
            </c:spPr>
            <c:extLst>
              <c:ext xmlns:c16="http://schemas.microsoft.com/office/drawing/2014/chart" uri="{C3380CC4-5D6E-409C-BE32-E72D297353CC}">
                <c16:uniqueId val="{00000005-A2FE-456B-A37D-4A986B9DA632}"/>
              </c:ext>
            </c:extLst>
          </c:dPt>
          <c:dPt>
            <c:idx val="3"/>
            <c:bubble3D val="0"/>
            <c:spPr>
              <a:solidFill>
                <a:schemeClr val="accent4"/>
              </a:solidFill>
              <a:ln>
                <a:noFill/>
              </a:ln>
              <a:effectLst/>
            </c:spPr>
            <c:extLst>
              <c:ext xmlns:c16="http://schemas.microsoft.com/office/drawing/2014/chart" uri="{C3380CC4-5D6E-409C-BE32-E72D297353CC}">
                <c16:uniqueId val="{00000007-A2FE-456B-A37D-4A986B9DA632}"/>
              </c:ext>
            </c:extLst>
          </c:dPt>
          <c:dPt>
            <c:idx val="4"/>
            <c:bubble3D val="0"/>
            <c:spPr>
              <a:solidFill>
                <a:schemeClr val="accent5"/>
              </a:solidFill>
              <a:ln>
                <a:noFill/>
              </a:ln>
              <a:effectLst/>
            </c:spPr>
            <c:extLst>
              <c:ext xmlns:c16="http://schemas.microsoft.com/office/drawing/2014/chart" uri="{C3380CC4-5D6E-409C-BE32-E72D297353CC}">
                <c16:uniqueId val="{00000009-A2FE-456B-A37D-4A986B9DA632}"/>
              </c:ext>
            </c:extLst>
          </c:dPt>
          <c:dPt>
            <c:idx val="5"/>
            <c:bubble3D val="0"/>
            <c:spPr>
              <a:solidFill>
                <a:schemeClr val="accent6"/>
              </a:solidFill>
              <a:ln>
                <a:noFill/>
              </a:ln>
              <a:effectLst/>
            </c:spPr>
            <c:extLst>
              <c:ext xmlns:c16="http://schemas.microsoft.com/office/drawing/2014/chart" uri="{C3380CC4-5D6E-409C-BE32-E72D297353CC}">
                <c16:uniqueId val="{0000000B-A2FE-456B-A37D-4A986B9DA63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2FE-456B-A37D-4A986B9DA63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2FE-456B-A37D-4A986B9DA63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2FE-456B-A37D-4A986B9DA632}"/>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A2FE-456B-A37D-4A986B9DA632}"/>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A2FE-456B-A37D-4A986B9DA632}"/>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A2FE-456B-A37D-4A986B9DA632}"/>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A2FE-456B-A37D-4A986B9DA632}"/>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A2FE-456B-A37D-4A986B9DA632}"/>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A2FE-456B-A37D-4A986B9DA632}"/>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0668-4AE1-BF26-11281BCC2EA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F3F6-4C29-BE7E-CA23D5C5FE99}"/>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F3F6-4C29-BE7E-CA23D5C5FE99}"/>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F3F6-4C29-BE7E-CA23D5C5FE99}"/>
              </c:ext>
            </c:extLst>
          </c:dPt>
          <c:cat>
            <c:strRef>
              <c:f>'OI 2023'!$I$158:$I$176</c:f>
              <c:strCache>
                <c:ptCount val="19"/>
                <c:pt idx="0">
                  <c:v>V100-2.0MW</c:v>
                </c:pt>
                <c:pt idx="1">
                  <c:v>V110-2.0MW</c:v>
                </c:pt>
                <c:pt idx="2">
                  <c:v>V117-4.2MW</c:v>
                </c:pt>
                <c:pt idx="3">
                  <c:v>V120-2.2MW</c:v>
                </c:pt>
                <c:pt idx="4">
                  <c:v>V126-3.45MW</c:v>
                </c:pt>
                <c:pt idx="5">
                  <c:v>V136-4.2MW</c:v>
                </c:pt>
                <c:pt idx="6">
                  <c:v>V136-4.5MW</c:v>
                </c:pt>
                <c:pt idx="7">
                  <c:v>V150-4.2MW</c:v>
                </c:pt>
                <c:pt idx="8">
                  <c:v>V150-4.5MW</c:v>
                </c:pt>
                <c:pt idx="9">
                  <c:v>V150-5.6MW</c:v>
                </c:pt>
                <c:pt idx="10">
                  <c:v>V150-6.0MW</c:v>
                </c:pt>
                <c:pt idx="11">
                  <c:v>V155-3.6MW</c:v>
                </c:pt>
                <c:pt idx="12">
                  <c:v>V162-5.6MW</c:v>
                </c:pt>
                <c:pt idx="13">
                  <c:v>V162-6.2MW</c:v>
                </c:pt>
                <c:pt idx="14">
                  <c:v>V162-7.2MW</c:v>
                </c:pt>
                <c:pt idx="15">
                  <c:v>V163-4.5MW</c:v>
                </c:pt>
                <c:pt idx="16">
                  <c:v>v172-7.2MW</c:v>
                </c:pt>
                <c:pt idx="17">
                  <c:v>V174-9.5MW</c:v>
                </c:pt>
                <c:pt idx="18">
                  <c:v>V236-15.0MW</c:v>
                </c:pt>
              </c:strCache>
            </c:strRef>
          </c:cat>
          <c:val>
            <c:numRef>
              <c:f>'OI 2023'!$J$158:$J$176</c:f>
              <c:numCache>
                <c:formatCode>0</c:formatCode>
                <c:ptCount val="19"/>
                <c:pt idx="0">
                  <c:v>40</c:v>
                </c:pt>
                <c:pt idx="1">
                  <c:v>259</c:v>
                </c:pt>
                <c:pt idx="2">
                  <c:v>44</c:v>
                </c:pt>
                <c:pt idx="3">
                  <c:v>72</c:v>
                </c:pt>
                <c:pt idx="4">
                  <c:v>7</c:v>
                </c:pt>
                <c:pt idx="5">
                  <c:v>30</c:v>
                </c:pt>
                <c:pt idx="6">
                  <c:v>136</c:v>
                </c:pt>
                <c:pt idx="7">
                  <c:v>223</c:v>
                </c:pt>
                <c:pt idx="8">
                  <c:v>668</c:v>
                </c:pt>
                <c:pt idx="9">
                  <c:v>1</c:v>
                </c:pt>
                <c:pt idx="10">
                  <c:v>25</c:v>
                </c:pt>
                <c:pt idx="11">
                  <c:v>36</c:v>
                </c:pt>
                <c:pt idx="12">
                  <c:v>16</c:v>
                </c:pt>
                <c:pt idx="13">
                  <c:v>281</c:v>
                </c:pt>
                <c:pt idx="14">
                  <c:v>1</c:v>
                </c:pt>
                <c:pt idx="15">
                  <c:v>960</c:v>
                </c:pt>
                <c:pt idx="16">
                  <c:v>6</c:v>
                </c:pt>
                <c:pt idx="17">
                  <c:v>25</c:v>
                </c:pt>
                <c:pt idx="18" formatCode="General">
                  <c:v>192</c:v>
                </c:pt>
              </c:numCache>
            </c:numRef>
          </c:val>
          <c:extLst>
            <c:ext xmlns:c16="http://schemas.microsoft.com/office/drawing/2014/chart" uri="{C3380CC4-5D6E-409C-BE32-E72D297353CC}">
              <c16:uniqueId val="{0000001E-A2FE-456B-A37D-4A986B9DA6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2023'!$M$158:$M$170</c:f>
              <c:strCache>
                <c:ptCount val="13"/>
                <c:pt idx="0">
                  <c:v>V100</c:v>
                </c:pt>
                <c:pt idx="1">
                  <c:v>V110</c:v>
                </c:pt>
                <c:pt idx="2">
                  <c:v>V117</c:v>
                </c:pt>
                <c:pt idx="3">
                  <c:v>V120</c:v>
                </c:pt>
                <c:pt idx="4">
                  <c:v>V126</c:v>
                </c:pt>
                <c:pt idx="5">
                  <c:v>V136</c:v>
                </c:pt>
                <c:pt idx="6">
                  <c:v>V150</c:v>
                </c:pt>
                <c:pt idx="7">
                  <c:v>V155</c:v>
                </c:pt>
                <c:pt idx="8">
                  <c:v>V162</c:v>
                </c:pt>
                <c:pt idx="9">
                  <c:v>V163</c:v>
                </c:pt>
                <c:pt idx="10">
                  <c:v>V172</c:v>
                </c:pt>
                <c:pt idx="11">
                  <c:v>V174</c:v>
                </c:pt>
                <c:pt idx="12">
                  <c:v>V236</c:v>
                </c:pt>
              </c:strCache>
            </c:strRef>
          </c:cat>
          <c:val>
            <c:numRef>
              <c:f>'OI 2023'!$N$158:$N$170</c:f>
              <c:numCache>
                <c:formatCode>General</c:formatCode>
                <c:ptCount val="13"/>
                <c:pt idx="0">
                  <c:v>40</c:v>
                </c:pt>
                <c:pt idx="1">
                  <c:v>259</c:v>
                </c:pt>
                <c:pt idx="2">
                  <c:v>44</c:v>
                </c:pt>
                <c:pt idx="3">
                  <c:v>72</c:v>
                </c:pt>
                <c:pt idx="4">
                  <c:v>7</c:v>
                </c:pt>
                <c:pt idx="5">
                  <c:v>166</c:v>
                </c:pt>
                <c:pt idx="6">
                  <c:v>932</c:v>
                </c:pt>
                <c:pt idx="7">
                  <c:v>36</c:v>
                </c:pt>
                <c:pt idx="8">
                  <c:v>298</c:v>
                </c:pt>
                <c:pt idx="9">
                  <c:v>960</c:v>
                </c:pt>
                <c:pt idx="10">
                  <c:v>6</c:v>
                </c:pt>
                <c:pt idx="11">
                  <c:v>25</c:v>
                </c:pt>
                <c:pt idx="12">
                  <c:v>192</c:v>
                </c:pt>
              </c:numCache>
            </c:numRef>
          </c:val>
          <c:extLst>
            <c:ext xmlns:c16="http://schemas.microsoft.com/office/drawing/2014/chart" uri="{C3380CC4-5D6E-409C-BE32-E72D297353CC}">
              <c16:uniqueId val="{00000000-4F58-4B7F-8E25-E0AB5B2DC2EA}"/>
            </c:ext>
          </c:extLst>
        </c:ser>
        <c:dLbls>
          <c:showLegendKey val="0"/>
          <c:showVal val="0"/>
          <c:showCatName val="0"/>
          <c:showSerName val="0"/>
          <c:showPercent val="0"/>
          <c:showBubbleSize val="0"/>
        </c:dLbls>
        <c:gapWidth val="219"/>
        <c:overlap val="-27"/>
        <c:axId val="241147760"/>
        <c:axId val="241148152"/>
      </c:barChart>
      <c:catAx>
        <c:axId val="2411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152"/>
        <c:crosses val="autoZero"/>
        <c:auto val="1"/>
        <c:lblAlgn val="ctr"/>
        <c:lblOffset val="100"/>
        <c:noMultiLvlLbl val="0"/>
      </c:catAx>
      <c:valAx>
        <c:axId val="241148152"/>
        <c:scaling>
          <c:orientation val="minMax"/>
          <c:max val="1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7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Service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28-4D97-AA12-D869B6C657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28-4D97-AA12-D869B6C65796}"/>
              </c:ext>
            </c:extLst>
          </c:dPt>
          <c:cat>
            <c:strRef>
              <c:f>'OI 2023'!$F$156:$G$156</c:f>
              <c:strCache>
                <c:ptCount val="2"/>
                <c:pt idx="0">
                  <c:v>AOM4000</c:v>
                </c:pt>
                <c:pt idx="1">
                  <c:v>AOM5000</c:v>
                </c:pt>
              </c:strCache>
            </c:strRef>
          </c:cat>
          <c:val>
            <c:numRef>
              <c:f>'OI 2023'!$F$179:$G$179</c:f>
              <c:numCache>
                <c:formatCode>General</c:formatCode>
                <c:ptCount val="2"/>
                <c:pt idx="0">
                  <c:v>776</c:v>
                </c:pt>
                <c:pt idx="1">
                  <c:v>14506</c:v>
                </c:pt>
              </c:numCache>
            </c:numRef>
          </c:val>
          <c:extLst>
            <c:ext xmlns:c16="http://schemas.microsoft.com/office/drawing/2014/chart" uri="{C3380CC4-5D6E-409C-BE32-E72D297353CC}">
              <c16:uniqueId val="{00000000-866C-49B1-8BE5-90AA7BA4811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Ordersize vs delivery time in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spPr>
            <a:ln w="19050" cap="rnd">
              <a:noFill/>
              <a:round/>
            </a:ln>
            <a:effectLst/>
          </c:spPr>
          <c:marker>
            <c:symbol val="circle"/>
            <c:size val="8"/>
            <c:spPr>
              <a:solidFill>
                <a:schemeClr val="accent6"/>
              </a:solidFill>
              <a:ln w="9525">
                <a:solidFill>
                  <a:schemeClr val="accent6"/>
                </a:solidFill>
              </a:ln>
              <a:effectLst/>
            </c:spPr>
          </c:marker>
          <c:dPt>
            <c:idx val="13"/>
            <c:marker>
              <c:symbol val="circle"/>
              <c:size val="8"/>
              <c:spPr>
                <a:solidFill>
                  <a:schemeClr val="accent1"/>
                </a:solidFill>
                <a:ln w="9525">
                  <a:solidFill>
                    <a:schemeClr val="accent1"/>
                  </a:solidFill>
                </a:ln>
                <a:effectLst/>
              </c:spPr>
            </c:marker>
            <c:bubble3D val="0"/>
            <c:extLst>
              <c:ext xmlns:c16="http://schemas.microsoft.com/office/drawing/2014/chart" uri="{C3380CC4-5D6E-409C-BE32-E72D297353CC}">
                <c16:uniqueId val="{00000004-A2D2-40F7-988A-BC253C747D81}"/>
              </c:ext>
            </c:extLst>
          </c:dPt>
          <c:dPt>
            <c:idx val="40"/>
            <c:marker>
              <c:symbol val="circle"/>
              <c:size val="8"/>
              <c:spPr>
                <a:solidFill>
                  <a:schemeClr val="accent1"/>
                </a:solidFill>
                <a:ln w="9525">
                  <a:solidFill>
                    <a:schemeClr val="accent1"/>
                  </a:solidFill>
                </a:ln>
                <a:effectLst/>
              </c:spPr>
            </c:marker>
            <c:bubble3D val="0"/>
            <c:extLst>
              <c:ext xmlns:c16="http://schemas.microsoft.com/office/drawing/2014/chart" uri="{C3380CC4-5D6E-409C-BE32-E72D297353CC}">
                <c16:uniqueId val="{00000002-A2D2-40F7-988A-BC253C747D81}"/>
              </c:ext>
            </c:extLst>
          </c:dPt>
          <c:dPt>
            <c:idx val="44"/>
            <c:marker>
              <c:symbol val="circle"/>
              <c:size val="8"/>
              <c:spPr>
                <a:solidFill>
                  <a:schemeClr val="accent1"/>
                </a:solidFill>
                <a:ln w="9525">
                  <a:solidFill>
                    <a:schemeClr val="accent1"/>
                  </a:solidFill>
                </a:ln>
                <a:effectLst/>
              </c:spPr>
            </c:marker>
            <c:bubble3D val="0"/>
            <c:extLst>
              <c:ext xmlns:c16="http://schemas.microsoft.com/office/drawing/2014/chart" uri="{C3380CC4-5D6E-409C-BE32-E72D297353CC}">
                <c16:uniqueId val="{00000003-A2D2-40F7-988A-BC253C747D81}"/>
              </c:ext>
            </c:extLst>
          </c:dPt>
          <c:dPt>
            <c:idx val="65"/>
            <c:marker>
              <c:symbol val="circle"/>
              <c:size val="8"/>
              <c:spPr>
                <a:solidFill>
                  <a:schemeClr val="accent1"/>
                </a:solidFill>
                <a:ln w="9525">
                  <a:solidFill>
                    <a:schemeClr val="accent1"/>
                  </a:solidFill>
                </a:ln>
                <a:effectLst/>
              </c:spPr>
            </c:marker>
            <c:bubble3D val="0"/>
            <c:extLst>
              <c:ext xmlns:c16="http://schemas.microsoft.com/office/drawing/2014/chart" uri="{C3380CC4-5D6E-409C-BE32-E72D297353CC}">
                <c16:uniqueId val="{00000001-A2D2-40F7-988A-BC253C747D81}"/>
              </c:ext>
            </c:extLst>
          </c:dPt>
          <c:xVal>
            <c:numRef>
              <c:f>'OI 2023'!$D$2:$D$79</c:f>
              <c:numCache>
                <c:formatCode>General</c:formatCode>
                <c:ptCount val="78"/>
                <c:pt idx="0">
                  <c:v>68</c:v>
                </c:pt>
                <c:pt idx="1">
                  <c:v>95</c:v>
                </c:pt>
                <c:pt idx="2">
                  <c:v>56</c:v>
                </c:pt>
                <c:pt idx="3">
                  <c:v>373</c:v>
                </c:pt>
                <c:pt idx="4">
                  <c:v>50</c:v>
                </c:pt>
                <c:pt idx="5">
                  <c:v>50</c:v>
                </c:pt>
                <c:pt idx="6">
                  <c:v>1310</c:v>
                </c:pt>
                <c:pt idx="7">
                  <c:v>162</c:v>
                </c:pt>
                <c:pt idx="8">
                  <c:v>155</c:v>
                </c:pt>
                <c:pt idx="9">
                  <c:v>63</c:v>
                </c:pt>
                <c:pt idx="10">
                  <c:v>140</c:v>
                </c:pt>
                <c:pt idx="11">
                  <c:v>130</c:v>
                </c:pt>
                <c:pt idx="12">
                  <c:v>370</c:v>
                </c:pt>
                <c:pt idx="13">
                  <c:v>238</c:v>
                </c:pt>
                <c:pt idx="14">
                  <c:v>72</c:v>
                </c:pt>
                <c:pt idx="15">
                  <c:v>37</c:v>
                </c:pt>
                <c:pt idx="16">
                  <c:v>161</c:v>
                </c:pt>
                <c:pt idx="17">
                  <c:v>221</c:v>
                </c:pt>
                <c:pt idx="18">
                  <c:v>139</c:v>
                </c:pt>
                <c:pt idx="19">
                  <c:v>27</c:v>
                </c:pt>
                <c:pt idx="20">
                  <c:v>45</c:v>
                </c:pt>
                <c:pt idx="21">
                  <c:v>74</c:v>
                </c:pt>
                <c:pt idx="22">
                  <c:v>151</c:v>
                </c:pt>
                <c:pt idx="23">
                  <c:v>55</c:v>
                </c:pt>
                <c:pt idx="24">
                  <c:v>100</c:v>
                </c:pt>
                <c:pt idx="25">
                  <c:v>423</c:v>
                </c:pt>
                <c:pt idx="26">
                  <c:v>59</c:v>
                </c:pt>
                <c:pt idx="27">
                  <c:v>189</c:v>
                </c:pt>
                <c:pt idx="28">
                  <c:v>50</c:v>
                </c:pt>
                <c:pt idx="29">
                  <c:v>140</c:v>
                </c:pt>
                <c:pt idx="30">
                  <c:v>288</c:v>
                </c:pt>
                <c:pt idx="31">
                  <c:v>158</c:v>
                </c:pt>
                <c:pt idx="32">
                  <c:v>42</c:v>
                </c:pt>
                <c:pt idx="33">
                  <c:v>54</c:v>
                </c:pt>
                <c:pt idx="34">
                  <c:v>243</c:v>
                </c:pt>
                <c:pt idx="35">
                  <c:v>27</c:v>
                </c:pt>
                <c:pt idx="36">
                  <c:v>46</c:v>
                </c:pt>
                <c:pt idx="37">
                  <c:v>126</c:v>
                </c:pt>
                <c:pt idx="38">
                  <c:v>136</c:v>
                </c:pt>
                <c:pt idx="39">
                  <c:v>147</c:v>
                </c:pt>
                <c:pt idx="40">
                  <c:v>1140</c:v>
                </c:pt>
                <c:pt idx="41">
                  <c:v>38</c:v>
                </c:pt>
                <c:pt idx="42">
                  <c:v>62</c:v>
                </c:pt>
                <c:pt idx="43">
                  <c:v>25</c:v>
                </c:pt>
                <c:pt idx="44">
                  <c:v>960</c:v>
                </c:pt>
                <c:pt idx="45">
                  <c:v>76</c:v>
                </c:pt>
                <c:pt idx="46">
                  <c:v>90</c:v>
                </c:pt>
                <c:pt idx="47">
                  <c:v>7</c:v>
                </c:pt>
                <c:pt idx="48">
                  <c:v>139</c:v>
                </c:pt>
                <c:pt idx="49">
                  <c:v>115</c:v>
                </c:pt>
                <c:pt idx="50">
                  <c:v>43</c:v>
                </c:pt>
                <c:pt idx="51">
                  <c:v>42</c:v>
                </c:pt>
                <c:pt idx="52">
                  <c:v>67</c:v>
                </c:pt>
                <c:pt idx="53">
                  <c:v>239</c:v>
                </c:pt>
                <c:pt idx="54">
                  <c:v>270</c:v>
                </c:pt>
                <c:pt idx="55">
                  <c:v>43</c:v>
                </c:pt>
                <c:pt idx="56">
                  <c:v>203</c:v>
                </c:pt>
                <c:pt idx="57">
                  <c:v>46</c:v>
                </c:pt>
                <c:pt idx="58">
                  <c:v>31</c:v>
                </c:pt>
                <c:pt idx="59">
                  <c:v>186</c:v>
                </c:pt>
                <c:pt idx="60">
                  <c:v>108</c:v>
                </c:pt>
                <c:pt idx="61">
                  <c:v>87</c:v>
                </c:pt>
                <c:pt idx="62">
                  <c:v>45</c:v>
                </c:pt>
                <c:pt idx="63">
                  <c:v>143</c:v>
                </c:pt>
                <c:pt idx="64">
                  <c:v>401</c:v>
                </c:pt>
                <c:pt idx="65">
                  <c:v>780</c:v>
                </c:pt>
                <c:pt idx="66">
                  <c:v>450</c:v>
                </c:pt>
                <c:pt idx="67">
                  <c:v>603</c:v>
                </c:pt>
                <c:pt idx="68">
                  <c:v>945</c:v>
                </c:pt>
                <c:pt idx="69">
                  <c:v>254</c:v>
                </c:pt>
                <c:pt idx="70">
                  <c:v>1089</c:v>
                </c:pt>
                <c:pt idx="71">
                  <c:v>47</c:v>
                </c:pt>
                <c:pt idx="72">
                  <c:v>63</c:v>
                </c:pt>
                <c:pt idx="73">
                  <c:v>37</c:v>
                </c:pt>
                <c:pt idx="74">
                  <c:v>42</c:v>
                </c:pt>
                <c:pt idx="75">
                  <c:v>125</c:v>
                </c:pt>
                <c:pt idx="76">
                  <c:v>167</c:v>
                </c:pt>
                <c:pt idx="77">
                  <c:v>135</c:v>
                </c:pt>
              </c:numCache>
            </c:numRef>
          </c:xVal>
          <c:yVal>
            <c:numRef>
              <c:f>'OI 2023'!$AL$2:$AL$79</c:f>
              <c:numCache>
                <c:formatCode>General</c:formatCode>
                <c:ptCount val="78"/>
                <c:pt idx="0">
                  <c:v>113</c:v>
                </c:pt>
                <c:pt idx="1">
                  <c:v>207</c:v>
                </c:pt>
                <c:pt idx="2">
                  <c:v>207</c:v>
                </c:pt>
                <c:pt idx="3">
                  <c:v>475</c:v>
                </c:pt>
                <c:pt idx="4">
                  <c:v>106</c:v>
                </c:pt>
                <c:pt idx="5">
                  <c:v>290</c:v>
                </c:pt>
                <c:pt idx="6">
                  <c:v>459</c:v>
                </c:pt>
                <c:pt idx="7">
                  <c:v>93</c:v>
                </c:pt>
                <c:pt idx="8">
                  <c:v>184</c:v>
                </c:pt>
                <c:pt idx="9">
                  <c:v>276</c:v>
                </c:pt>
                <c:pt idx="10">
                  <c:v>367</c:v>
                </c:pt>
                <c:pt idx="11">
                  <c:v>184</c:v>
                </c:pt>
                <c:pt idx="12">
                  <c:v>732</c:v>
                </c:pt>
                <c:pt idx="13">
                  <c:v>617</c:v>
                </c:pt>
                <c:pt idx="14">
                  <c:v>222</c:v>
                </c:pt>
                <c:pt idx="15">
                  <c:v>130</c:v>
                </c:pt>
                <c:pt idx="16">
                  <c:v>389</c:v>
                </c:pt>
                <c:pt idx="17">
                  <c:v>297</c:v>
                </c:pt>
                <c:pt idx="18">
                  <c:v>290</c:v>
                </c:pt>
                <c:pt idx="19">
                  <c:v>278</c:v>
                </c:pt>
                <c:pt idx="20">
                  <c:v>367</c:v>
                </c:pt>
                <c:pt idx="21">
                  <c:v>276</c:v>
                </c:pt>
                <c:pt idx="22">
                  <c:v>367</c:v>
                </c:pt>
                <c:pt idx="23">
                  <c:v>459</c:v>
                </c:pt>
                <c:pt idx="24">
                  <c:v>276</c:v>
                </c:pt>
                <c:pt idx="25">
                  <c:v>185</c:v>
                </c:pt>
                <c:pt idx="26">
                  <c:v>276</c:v>
                </c:pt>
                <c:pt idx="27">
                  <c:v>151</c:v>
                </c:pt>
                <c:pt idx="28">
                  <c:v>237</c:v>
                </c:pt>
                <c:pt idx="29">
                  <c:v>230</c:v>
                </c:pt>
                <c:pt idx="30">
                  <c:v>223</c:v>
                </c:pt>
                <c:pt idx="31">
                  <c:v>39</c:v>
                </c:pt>
                <c:pt idx="32">
                  <c:v>122</c:v>
                </c:pt>
                <c:pt idx="33">
                  <c:v>304</c:v>
                </c:pt>
                <c:pt idx="34">
                  <c:v>201</c:v>
                </c:pt>
                <c:pt idx="35">
                  <c:v>378</c:v>
                </c:pt>
                <c:pt idx="36">
                  <c:v>285</c:v>
                </c:pt>
                <c:pt idx="37">
                  <c:v>194</c:v>
                </c:pt>
                <c:pt idx="38">
                  <c:v>279</c:v>
                </c:pt>
                <c:pt idx="39">
                  <c:v>461</c:v>
                </c:pt>
                <c:pt idx="40">
                  <c:v>461</c:v>
                </c:pt>
                <c:pt idx="41">
                  <c:v>825</c:v>
                </c:pt>
                <c:pt idx="42">
                  <c:v>185</c:v>
                </c:pt>
                <c:pt idx="43">
                  <c:v>185</c:v>
                </c:pt>
                <c:pt idx="44">
                  <c:v>550</c:v>
                </c:pt>
                <c:pt idx="45">
                  <c:v>94</c:v>
                </c:pt>
                <c:pt idx="46">
                  <c:v>185</c:v>
                </c:pt>
                <c:pt idx="47">
                  <c:v>93</c:v>
                </c:pt>
                <c:pt idx="48">
                  <c:v>362</c:v>
                </c:pt>
                <c:pt idx="49">
                  <c:v>992</c:v>
                </c:pt>
                <c:pt idx="50">
                  <c:v>518</c:v>
                </c:pt>
                <c:pt idx="51">
                  <c:v>425</c:v>
                </c:pt>
                <c:pt idx="52">
                  <c:v>504</c:v>
                </c:pt>
                <c:pt idx="53">
                  <c:v>315</c:v>
                </c:pt>
                <c:pt idx="54">
                  <c:v>221</c:v>
                </c:pt>
                <c:pt idx="55">
                  <c:v>217</c:v>
                </c:pt>
                <c:pt idx="56">
                  <c:v>306</c:v>
                </c:pt>
                <c:pt idx="57">
                  <c:v>397</c:v>
                </c:pt>
                <c:pt idx="58">
                  <c:v>109</c:v>
                </c:pt>
                <c:pt idx="59">
                  <c:v>200</c:v>
                </c:pt>
                <c:pt idx="60">
                  <c:v>194</c:v>
                </c:pt>
                <c:pt idx="61">
                  <c:v>377</c:v>
                </c:pt>
                <c:pt idx="62">
                  <c:v>467</c:v>
                </c:pt>
                <c:pt idx="63">
                  <c:v>557</c:v>
                </c:pt>
                <c:pt idx="64">
                  <c:v>284</c:v>
                </c:pt>
                <c:pt idx="65">
                  <c:v>831</c:v>
                </c:pt>
                <c:pt idx="66">
                  <c:v>466</c:v>
                </c:pt>
                <c:pt idx="67">
                  <c:v>649</c:v>
                </c:pt>
                <c:pt idx="68">
                  <c:v>1013</c:v>
                </c:pt>
                <c:pt idx="69">
                  <c:v>280</c:v>
                </c:pt>
                <c:pt idx="70">
                  <c:v>371</c:v>
                </c:pt>
                <c:pt idx="71">
                  <c:v>459</c:v>
                </c:pt>
                <c:pt idx="72">
                  <c:v>3</c:v>
                </c:pt>
                <c:pt idx="73">
                  <c:v>185</c:v>
                </c:pt>
                <c:pt idx="74">
                  <c:v>369</c:v>
                </c:pt>
                <c:pt idx="75">
                  <c:v>369</c:v>
                </c:pt>
                <c:pt idx="76">
                  <c:v>459</c:v>
                </c:pt>
                <c:pt idx="77">
                  <c:v>184</c:v>
                </c:pt>
              </c:numCache>
            </c:numRef>
          </c:yVal>
          <c:smooth val="0"/>
          <c:extLst>
            <c:ext xmlns:c16="http://schemas.microsoft.com/office/drawing/2014/chart" uri="{C3380CC4-5D6E-409C-BE32-E72D297353CC}">
              <c16:uniqueId val="{00000000-A2D2-40F7-988A-BC253C747D81}"/>
            </c:ext>
          </c:extLst>
        </c:ser>
        <c:dLbls>
          <c:showLegendKey val="0"/>
          <c:showVal val="0"/>
          <c:showCatName val="0"/>
          <c:showSerName val="0"/>
          <c:showPercent val="0"/>
          <c:showBubbleSize val="0"/>
        </c:dLbls>
        <c:axId val="944918256"/>
        <c:axId val="546211520"/>
      </c:scatterChart>
      <c:valAx>
        <c:axId val="9449182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a:t>Order size [MW]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546211520"/>
        <c:crosses val="autoZero"/>
        <c:crossBetween val="midCat"/>
      </c:valAx>
      <c:valAx>
        <c:axId val="546211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a:t>Delivery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9449182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da-DK"/>
              <a:t>Wind turbine platform average delivery in days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212B-4756-9651-E7E813EA74E7}"/>
                </c:ext>
              </c:extLst>
            </c:dLbl>
            <c:dLbl>
              <c:idx val="4"/>
              <c:delete val="1"/>
              <c:extLst>
                <c:ext xmlns:c15="http://schemas.microsoft.com/office/drawing/2012/chart" uri="{CE6537A1-D6FC-4f65-9D91-7224C49458BB}"/>
                <c:ext xmlns:c16="http://schemas.microsoft.com/office/drawing/2014/chart" uri="{C3380CC4-5D6E-409C-BE32-E72D297353CC}">
                  <c16:uniqueId val="{00000001-212B-4756-9651-E7E813EA74E7}"/>
                </c:ext>
              </c:extLst>
            </c:dLbl>
            <c:dLbl>
              <c:idx val="9"/>
              <c:delete val="1"/>
              <c:extLst>
                <c:ext xmlns:c15="http://schemas.microsoft.com/office/drawing/2012/chart" uri="{CE6537A1-D6FC-4f65-9D91-7224C49458BB}"/>
                <c:ext xmlns:c16="http://schemas.microsoft.com/office/drawing/2014/chart" uri="{C3380CC4-5D6E-409C-BE32-E72D297353CC}">
                  <c16:uniqueId val="{00000002-212B-4756-9651-E7E813EA74E7}"/>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da-D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'OI 2023'!$I$158:$I$176</c:f>
              <c:strCache>
                <c:ptCount val="19"/>
                <c:pt idx="0">
                  <c:v>V100-2.0MW</c:v>
                </c:pt>
                <c:pt idx="1">
                  <c:v>V110-2.0MW</c:v>
                </c:pt>
                <c:pt idx="2">
                  <c:v>V117-4.2MW</c:v>
                </c:pt>
                <c:pt idx="3">
                  <c:v>V120-2.2MW</c:v>
                </c:pt>
                <c:pt idx="4">
                  <c:v>V126-3.45MW</c:v>
                </c:pt>
                <c:pt idx="5">
                  <c:v>V136-4.2MW</c:v>
                </c:pt>
                <c:pt idx="6">
                  <c:v>V136-4.5MW</c:v>
                </c:pt>
                <c:pt idx="7">
                  <c:v>V150-4.2MW</c:v>
                </c:pt>
                <c:pt idx="8">
                  <c:v>V150-4.5MW</c:v>
                </c:pt>
                <c:pt idx="9">
                  <c:v>V150-5.6MW</c:v>
                </c:pt>
                <c:pt idx="10">
                  <c:v>V150-6.0MW</c:v>
                </c:pt>
                <c:pt idx="11">
                  <c:v>V155-3.6MW</c:v>
                </c:pt>
                <c:pt idx="12">
                  <c:v>V162-5.6MW</c:v>
                </c:pt>
                <c:pt idx="13">
                  <c:v>V162-6.2MW</c:v>
                </c:pt>
                <c:pt idx="14">
                  <c:v>V162-7.2MW</c:v>
                </c:pt>
                <c:pt idx="15">
                  <c:v>V163-4.5MW</c:v>
                </c:pt>
                <c:pt idx="16">
                  <c:v>v172-7.2MW</c:v>
                </c:pt>
                <c:pt idx="17">
                  <c:v>V174-9.5MW</c:v>
                </c:pt>
                <c:pt idx="18">
                  <c:v>V236-15.0MW</c:v>
                </c:pt>
              </c:strCache>
            </c:strRef>
          </c:cat>
          <c:val>
            <c:numRef>
              <c:f>'OI 2023'!$K$158:$K$176</c:f>
              <c:numCache>
                <c:formatCode>0</c:formatCode>
                <c:ptCount val="19"/>
                <c:pt idx="0">
                  <c:v>0</c:v>
                </c:pt>
                <c:pt idx="1">
                  <c:v>461.33333333333331</c:v>
                </c:pt>
                <c:pt idx="2">
                  <c:v>535</c:v>
                </c:pt>
                <c:pt idx="3">
                  <c:v>39</c:v>
                </c:pt>
                <c:pt idx="4">
                  <c:v>0</c:v>
                </c:pt>
                <c:pt idx="5">
                  <c:v>327</c:v>
                </c:pt>
                <c:pt idx="6">
                  <c:v>306.66666666666669</c:v>
                </c:pt>
                <c:pt idx="7">
                  <c:v>276.75</c:v>
                </c:pt>
                <c:pt idx="8">
                  <c:v>241.72727272727272</c:v>
                </c:pt>
                <c:pt idx="9">
                  <c:v>0</c:v>
                </c:pt>
                <c:pt idx="10">
                  <c:v>350.33333333333331</c:v>
                </c:pt>
                <c:pt idx="11">
                  <c:v>184</c:v>
                </c:pt>
                <c:pt idx="12">
                  <c:v>371.5</c:v>
                </c:pt>
                <c:pt idx="13">
                  <c:v>290.42105263157896</c:v>
                </c:pt>
                <c:pt idx="14">
                  <c:v>93</c:v>
                </c:pt>
                <c:pt idx="15">
                  <c:v>409.3</c:v>
                </c:pt>
                <c:pt idx="16">
                  <c:v>518</c:v>
                </c:pt>
                <c:pt idx="17">
                  <c:v>617</c:v>
                </c:pt>
                <c:pt idx="18">
                  <c:v>614</c:v>
                </c:pt>
              </c:numCache>
            </c:numRef>
          </c:val>
          <c:extLst>
            <c:ext xmlns:c16="http://schemas.microsoft.com/office/drawing/2014/chart" uri="{C3380CC4-5D6E-409C-BE32-E72D297353CC}">
              <c16:uniqueId val="{00000000-212B-4756-9651-E7E813EA74E7}"/>
            </c:ext>
          </c:extLst>
        </c:ser>
        <c:dLbls>
          <c:dLblPos val="outEnd"/>
          <c:showLegendKey val="0"/>
          <c:showVal val="1"/>
          <c:showCatName val="0"/>
          <c:showSerName val="0"/>
          <c:showPercent val="0"/>
          <c:showBubbleSize val="0"/>
        </c:dLbls>
        <c:gapWidth val="157"/>
        <c:overlap val="-90"/>
        <c:axId val="944923056"/>
        <c:axId val="950563808"/>
      </c:barChart>
      <c:catAx>
        <c:axId val="944923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da-DK"/>
          </a:p>
        </c:txPr>
        <c:crossAx val="950563808"/>
        <c:crosses val="autoZero"/>
        <c:auto val="1"/>
        <c:lblAlgn val="ctr"/>
        <c:lblOffset val="100"/>
        <c:noMultiLvlLbl val="0"/>
      </c:catAx>
      <c:valAx>
        <c:axId val="950563808"/>
        <c:scaling>
          <c:orientation val="minMax"/>
        </c:scaling>
        <c:delete val="1"/>
        <c:axPos val="l"/>
        <c:numFmt formatCode="0" sourceLinked="1"/>
        <c:majorTickMark val="none"/>
        <c:minorTickMark val="none"/>
        <c:tickLblPos val="nextTo"/>
        <c:crossAx val="944923056"/>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2022'!$I$158:$I$175</c:f>
              <c:strCache>
                <c:ptCount val="18"/>
                <c:pt idx="0">
                  <c:v>V100-2.0MW</c:v>
                </c:pt>
                <c:pt idx="1">
                  <c:v>V105-3.45MW</c:v>
                </c:pt>
                <c:pt idx="2">
                  <c:v>V110-2.2MW</c:v>
                </c:pt>
                <c:pt idx="3">
                  <c:v>V112-3.45MW</c:v>
                </c:pt>
                <c:pt idx="4">
                  <c:v>V117-3.45MW</c:v>
                </c:pt>
                <c:pt idx="5">
                  <c:v>V117-4.2MW</c:v>
                </c:pt>
                <c:pt idx="6">
                  <c:v>V120-2.2MW</c:v>
                </c:pt>
                <c:pt idx="7">
                  <c:v>V126-3.45MW</c:v>
                </c:pt>
                <c:pt idx="8">
                  <c:v>V136-3.45MW</c:v>
                </c:pt>
                <c:pt idx="9">
                  <c:v>V136-4.2MW</c:v>
                </c:pt>
                <c:pt idx="10">
                  <c:v>V136-4.5MW</c:v>
                </c:pt>
                <c:pt idx="11">
                  <c:v>V150-4.2MW</c:v>
                </c:pt>
                <c:pt idx="12">
                  <c:v>V150-4.5MW</c:v>
                </c:pt>
                <c:pt idx="13">
                  <c:v>V150-6.0MW</c:v>
                </c:pt>
                <c:pt idx="14">
                  <c:v>V155-3.6MW</c:v>
                </c:pt>
                <c:pt idx="15">
                  <c:v>V162-6.2MW</c:v>
                </c:pt>
                <c:pt idx="16">
                  <c:v>V164-10.0MW</c:v>
                </c:pt>
                <c:pt idx="17">
                  <c:v>V174-9.5MW</c:v>
                </c:pt>
              </c:strCache>
            </c:strRef>
          </c:cat>
          <c:val>
            <c:numRef>
              <c:f>'OI 2022'!$K$158:$K$175</c:f>
              <c:numCache>
                <c:formatCode>0</c:formatCode>
                <c:ptCount val="18"/>
                <c:pt idx="0">
                  <c:v>2</c:v>
                </c:pt>
                <c:pt idx="1">
                  <c:v>8</c:v>
                </c:pt>
                <c:pt idx="2">
                  <c:v>66</c:v>
                </c:pt>
                <c:pt idx="3">
                  <c:v>2</c:v>
                </c:pt>
                <c:pt idx="4">
                  <c:v>13</c:v>
                </c:pt>
                <c:pt idx="5">
                  <c:v>36</c:v>
                </c:pt>
                <c:pt idx="6">
                  <c:v>23</c:v>
                </c:pt>
                <c:pt idx="7">
                  <c:v>25</c:v>
                </c:pt>
                <c:pt idx="8">
                  <c:v>11</c:v>
                </c:pt>
                <c:pt idx="9">
                  <c:v>63</c:v>
                </c:pt>
                <c:pt idx="10">
                  <c:v>116</c:v>
                </c:pt>
                <c:pt idx="11">
                  <c:v>139</c:v>
                </c:pt>
                <c:pt idx="12">
                  <c:v>742</c:v>
                </c:pt>
                <c:pt idx="13">
                  <c:v>30</c:v>
                </c:pt>
                <c:pt idx="14">
                  <c:v>15</c:v>
                </c:pt>
                <c:pt idx="15">
                  <c:v>392</c:v>
                </c:pt>
                <c:pt idx="16">
                  <c:v>6</c:v>
                </c:pt>
                <c:pt idx="17">
                  <c:v>62</c:v>
                </c:pt>
              </c:numCache>
            </c:numRef>
          </c:val>
          <c:extLst>
            <c:ext xmlns:c16="http://schemas.microsoft.com/office/drawing/2014/chart" uri="{C3380CC4-5D6E-409C-BE32-E72D297353CC}">
              <c16:uniqueId val="{00000000-660C-46BB-8713-EEBB63E6E701}"/>
            </c:ext>
          </c:extLst>
        </c:ser>
        <c:dLbls>
          <c:showLegendKey val="0"/>
          <c:showVal val="0"/>
          <c:showCatName val="0"/>
          <c:showSerName val="0"/>
          <c:showPercent val="0"/>
          <c:showBubbleSize val="0"/>
        </c:dLbls>
        <c:gapWidth val="219"/>
        <c:overlap val="-27"/>
        <c:axId val="241147760"/>
        <c:axId val="241148152"/>
      </c:barChart>
      <c:catAx>
        <c:axId val="2411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152"/>
        <c:crosses val="autoZero"/>
        <c:auto val="1"/>
        <c:lblAlgn val="ctr"/>
        <c:lblOffset val="100"/>
        <c:noMultiLvlLbl val="0"/>
      </c:catAx>
      <c:valAx>
        <c:axId val="241148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7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a:t>
            </a:r>
            <a:r>
              <a:rPr lang="en-US" baseline="0"/>
              <a:t> contract horizon 2020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2022'!$D$192</c:f>
              <c:strCache>
                <c:ptCount val="1"/>
                <c:pt idx="0">
                  <c:v>AOM4000</c:v>
                </c:pt>
              </c:strCache>
            </c:strRef>
          </c:tx>
          <c:spPr>
            <a:solidFill>
              <a:schemeClr val="accent1"/>
            </a:solidFill>
            <a:ln>
              <a:noFill/>
            </a:ln>
            <a:effectLst/>
          </c:spPr>
          <c:invertIfNegative val="0"/>
          <c:cat>
            <c:strRef>
              <c:f>'OI 2022'!$C$193:$C$197</c:f>
              <c:strCache>
                <c:ptCount val="5"/>
                <c:pt idx="0">
                  <c:v>0-5</c:v>
                </c:pt>
                <c:pt idx="1">
                  <c:v>5-10</c:v>
                </c:pt>
                <c:pt idx="2">
                  <c:v>10-15</c:v>
                </c:pt>
                <c:pt idx="3">
                  <c:v>15-20</c:v>
                </c:pt>
                <c:pt idx="4">
                  <c:v>20+</c:v>
                </c:pt>
              </c:strCache>
            </c:strRef>
          </c:cat>
          <c:val>
            <c:numRef>
              <c:f>'OI 2022'!$D$193:$D$197</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0530-4F9E-8EF1-C0C2851A1C9E}"/>
            </c:ext>
          </c:extLst>
        </c:ser>
        <c:ser>
          <c:idx val="1"/>
          <c:order val="1"/>
          <c:tx>
            <c:strRef>
              <c:f>'OI 2022'!$E$192</c:f>
              <c:strCache>
                <c:ptCount val="1"/>
                <c:pt idx="0">
                  <c:v>AOM5000</c:v>
                </c:pt>
              </c:strCache>
            </c:strRef>
          </c:tx>
          <c:spPr>
            <a:solidFill>
              <a:schemeClr val="accent2"/>
            </a:solidFill>
            <a:ln>
              <a:noFill/>
            </a:ln>
            <a:effectLst/>
          </c:spPr>
          <c:invertIfNegative val="0"/>
          <c:cat>
            <c:strRef>
              <c:f>'OI 2022'!$C$193:$C$197</c:f>
              <c:strCache>
                <c:ptCount val="5"/>
                <c:pt idx="0">
                  <c:v>0-5</c:v>
                </c:pt>
                <c:pt idx="1">
                  <c:v>5-10</c:v>
                </c:pt>
                <c:pt idx="2">
                  <c:v>10-15</c:v>
                </c:pt>
                <c:pt idx="3">
                  <c:v>15-20</c:v>
                </c:pt>
                <c:pt idx="4">
                  <c:v>20+</c:v>
                </c:pt>
              </c:strCache>
            </c:strRef>
          </c:cat>
          <c:val>
            <c:numRef>
              <c:f>'OI 2022'!$E$193:$E$197</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0530-4F9E-8EF1-C0C2851A1C9E}"/>
            </c:ext>
          </c:extLst>
        </c:ser>
        <c:dLbls>
          <c:showLegendKey val="0"/>
          <c:showVal val="0"/>
          <c:showCatName val="0"/>
          <c:showSerName val="0"/>
          <c:showPercent val="0"/>
          <c:showBubbleSize val="0"/>
        </c:dLbls>
        <c:gapWidth val="219"/>
        <c:overlap val="-27"/>
        <c:axId val="241148936"/>
        <c:axId val="241149328"/>
      </c:barChart>
      <c:catAx>
        <c:axId val="24114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9328"/>
        <c:crosses val="autoZero"/>
        <c:auto val="1"/>
        <c:lblAlgn val="ctr"/>
        <c:lblOffset val="100"/>
        <c:noMultiLvlLbl val="0"/>
      </c:catAx>
      <c:valAx>
        <c:axId val="24114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F9-4E39-9B4E-7B8F54A86C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F9-4E39-9B4E-7B8F54A86C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F9-4E39-9B4E-7B8F54A86C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F9-4E39-9B4E-7B8F54A86C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EF9-4E39-9B4E-7B8F54A86C7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EF9-4E39-9B4E-7B8F54A86C7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EF9-4E39-9B4E-7B8F54A86C7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EF9-4E39-9B4E-7B8F54A86C7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EF9-4E39-9B4E-7B8F54A86C7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EF9-4E39-9B4E-7B8F54A86C7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EF9-4E39-9B4E-7B8F54A86C7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EF9-4E39-9B4E-7B8F54A86C7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EF9-4E39-9B4E-7B8F54A86C7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EF9-4E39-9B4E-7B8F54A86C7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EF9-4E39-9B4E-7B8F54A86C7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EF9-4E39-9B4E-7B8F54A86C7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EF9-4E39-9B4E-7B8F54A86C7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EF9-4E39-9B4E-7B8F54A86C7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EF9-4E39-9B4E-7B8F54A86C7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EF9-4E39-9B4E-7B8F54A86C7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EF9-4E39-9B4E-7B8F54A86C7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EF9-4E39-9B4E-7B8F54A86C7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0EF9-4E39-9B4E-7B8F54A86C7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0EF9-4E39-9B4E-7B8F54A86C7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0EF9-4E39-9B4E-7B8F54A86C7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0EF9-4E39-9B4E-7B8F54A86C72}"/>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0EF9-4E39-9B4E-7B8F54A86C72}"/>
              </c:ext>
            </c:extLst>
          </c:dPt>
          <c:cat>
            <c:strRef>
              <c:f>'OI 2022'!$C$157:$C$183</c:f>
              <c:strCache>
                <c:ptCount val="27"/>
                <c:pt idx="0">
                  <c:v>United states</c:v>
                </c:pt>
                <c:pt idx="1">
                  <c:v>China</c:v>
                </c:pt>
                <c:pt idx="2">
                  <c:v>Japan</c:v>
                </c:pt>
                <c:pt idx="3">
                  <c:v>Germany</c:v>
                </c:pt>
                <c:pt idx="4">
                  <c:v>India</c:v>
                </c:pt>
                <c:pt idx="5">
                  <c:v>Sweden</c:v>
                </c:pt>
                <c:pt idx="6">
                  <c:v>Estonia</c:v>
                </c:pt>
                <c:pt idx="7">
                  <c:v>Italy</c:v>
                </c:pt>
                <c:pt idx="8">
                  <c:v>Argentina</c:v>
                </c:pt>
                <c:pt idx="9">
                  <c:v>Scotland</c:v>
                </c:pt>
                <c:pt idx="10">
                  <c:v>Australia</c:v>
                </c:pt>
                <c:pt idx="11">
                  <c:v>Ireland</c:v>
                </c:pt>
                <c:pt idx="12">
                  <c:v>Brazil</c:v>
                </c:pt>
                <c:pt idx="13">
                  <c:v>Canada</c:v>
                </c:pt>
                <c:pt idx="14">
                  <c:v>Taiwan</c:v>
                </c:pt>
                <c:pt idx="15">
                  <c:v>Vietnam</c:v>
                </c:pt>
                <c:pt idx="16">
                  <c:v>Portugal</c:v>
                </c:pt>
                <c:pt idx="17">
                  <c:v>France</c:v>
                </c:pt>
                <c:pt idx="18">
                  <c:v>Lithuania</c:v>
                </c:pt>
                <c:pt idx="19">
                  <c:v>Greece</c:v>
                </c:pt>
                <c:pt idx="20">
                  <c:v>Spain</c:v>
                </c:pt>
                <c:pt idx="21">
                  <c:v>UK</c:v>
                </c:pt>
                <c:pt idx="22">
                  <c:v>New Zealand</c:v>
                </c:pt>
                <c:pt idx="23">
                  <c:v>Poland</c:v>
                </c:pt>
                <c:pt idx="24">
                  <c:v>Denmark</c:v>
                </c:pt>
                <c:pt idx="25">
                  <c:v>Finland</c:v>
                </c:pt>
                <c:pt idx="26">
                  <c:v>Netherlands</c:v>
                </c:pt>
              </c:strCache>
            </c:strRef>
          </c:cat>
          <c:val>
            <c:numRef>
              <c:f>'OI 2022'!$E$157:$E$183</c:f>
              <c:numCache>
                <c:formatCode>General</c:formatCode>
                <c:ptCount val="27"/>
                <c:pt idx="0">
                  <c:v>1879</c:v>
                </c:pt>
                <c:pt idx="1">
                  <c:v>0</c:v>
                </c:pt>
                <c:pt idx="2">
                  <c:v>79</c:v>
                </c:pt>
                <c:pt idx="3">
                  <c:v>116</c:v>
                </c:pt>
                <c:pt idx="4">
                  <c:v>105</c:v>
                </c:pt>
                <c:pt idx="5">
                  <c:v>184</c:v>
                </c:pt>
                <c:pt idx="6">
                  <c:v>60</c:v>
                </c:pt>
                <c:pt idx="7">
                  <c:v>578</c:v>
                </c:pt>
                <c:pt idx="8">
                  <c:v>270</c:v>
                </c:pt>
                <c:pt idx="9">
                  <c:v>0</c:v>
                </c:pt>
                <c:pt idx="10">
                  <c:v>1084</c:v>
                </c:pt>
                <c:pt idx="11">
                  <c:v>182</c:v>
                </c:pt>
                <c:pt idx="12">
                  <c:v>1896</c:v>
                </c:pt>
                <c:pt idx="13">
                  <c:v>0</c:v>
                </c:pt>
                <c:pt idx="14">
                  <c:v>611</c:v>
                </c:pt>
                <c:pt idx="15">
                  <c:v>100</c:v>
                </c:pt>
                <c:pt idx="16">
                  <c:v>92</c:v>
                </c:pt>
                <c:pt idx="17">
                  <c:v>91</c:v>
                </c:pt>
                <c:pt idx="18">
                  <c:v>74</c:v>
                </c:pt>
                <c:pt idx="19">
                  <c:v>36</c:v>
                </c:pt>
                <c:pt idx="20">
                  <c:v>166</c:v>
                </c:pt>
                <c:pt idx="21">
                  <c:v>211</c:v>
                </c:pt>
                <c:pt idx="22">
                  <c:v>43</c:v>
                </c:pt>
                <c:pt idx="23">
                  <c:v>73</c:v>
                </c:pt>
                <c:pt idx="24">
                  <c:v>40</c:v>
                </c:pt>
                <c:pt idx="25">
                  <c:v>538</c:v>
                </c:pt>
                <c:pt idx="26">
                  <c:v>0</c:v>
                </c:pt>
              </c:numCache>
            </c:numRef>
          </c:val>
          <c:extLst>
            <c:ext xmlns:c16="http://schemas.microsoft.com/office/drawing/2014/chart" uri="{C3380CC4-5D6E-409C-BE32-E72D297353CC}">
              <c16:uniqueId val="{00000036-0EF9-4E39-9B4E-7B8F54A86C7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9F92-4EA3-801A-7355667965DC}"/>
              </c:ext>
            </c:extLst>
          </c:dPt>
          <c:dPt>
            <c:idx val="1"/>
            <c:bubble3D val="0"/>
            <c:spPr>
              <a:solidFill>
                <a:schemeClr val="accent2"/>
              </a:solidFill>
              <a:ln>
                <a:noFill/>
              </a:ln>
              <a:effectLst/>
            </c:spPr>
            <c:extLst>
              <c:ext xmlns:c16="http://schemas.microsoft.com/office/drawing/2014/chart" uri="{C3380CC4-5D6E-409C-BE32-E72D297353CC}">
                <c16:uniqueId val="{00000003-9F92-4EA3-801A-7355667965DC}"/>
              </c:ext>
            </c:extLst>
          </c:dPt>
          <c:dPt>
            <c:idx val="2"/>
            <c:bubble3D val="0"/>
            <c:spPr>
              <a:solidFill>
                <a:schemeClr val="accent3"/>
              </a:solidFill>
              <a:ln>
                <a:noFill/>
              </a:ln>
              <a:effectLst/>
            </c:spPr>
            <c:extLst>
              <c:ext xmlns:c16="http://schemas.microsoft.com/office/drawing/2014/chart" uri="{C3380CC4-5D6E-409C-BE32-E72D297353CC}">
                <c16:uniqueId val="{00000005-9F92-4EA3-801A-7355667965DC}"/>
              </c:ext>
            </c:extLst>
          </c:dPt>
          <c:dPt>
            <c:idx val="3"/>
            <c:bubble3D val="0"/>
            <c:spPr>
              <a:solidFill>
                <a:schemeClr val="accent4"/>
              </a:solidFill>
              <a:ln>
                <a:noFill/>
              </a:ln>
              <a:effectLst/>
            </c:spPr>
            <c:extLst>
              <c:ext xmlns:c16="http://schemas.microsoft.com/office/drawing/2014/chart" uri="{C3380CC4-5D6E-409C-BE32-E72D297353CC}">
                <c16:uniqueId val="{00000007-9F92-4EA3-801A-7355667965DC}"/>
              </c:ext>
            </c:extLst>
          </c:dPt>
          <c:dPt>
            <c:idx val="4"/>
            <c:bubble3D val="0"/>
            <c:spPr>
              <a:solidFill>
                <a:schemeClr val="accent5"/>
              </a:solidFill>
              <a:ln>
                <a:noFill/>
              </a:ln>
              <a:effectLst/>
            </c:spPr>
            <c:extLst>
              <c:ext xmlns:c16="http://schemas.microsoft.com/office/drawing/2014/chart" uri="{C3380CC4-5D6E-409C-BE32-E72D297353CC}">
                <c16:uniqueId val="{00000009-9F92-4EA3-801A-7355667965DC}"/>
              </c:ext>
            </c:extLst>
          </c:dPt>
          <c:dPt>
            <c:idx val="5"/>
            <c:bubble3D val="0"/>
            <c:spPr>
              <a:solidFill>
                <a:schemeClr val="accent6"/>
              </a:solidFill>
              <a:ln>
                <a:noFill/>
              </a:ln>
              <a:effectLst/>
            </c:spPr>
            <c:extLst>
              <c:ext xmlns:c16="http://schemas.microsoft.com/office/drawing/2014/chart" uri="{C3380CC4-5D6E-409C-BE32-E72D297353CC}">
                <c16:uniqueId val="{0000000B-9F92-4EA3-801A-7355667965D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9F92-4EA3-801A-7355667965D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9F92-4EA3-801A-7355667965DC}"/>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9F92-4EA3-801A-7355667965DC}"/>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9F92-4EA3-801A-7355667965DC}"/>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9F92-4EA3-801A-7355667965DC}"/>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9F92-4EA3-801A-7355667965DC}"/>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9F92-4EA3-801A-7355667965DC}"/>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9F92-4EA3-801A-7355667965DC}"/>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9F92-4EA3-801A-7355667965DC}"/>
              </c:ext>
            </c:extLst>
          </c:dPt>
          <c:cat>
            <c:strRef>
              <c:f>'OI 2022'!$I$158:$I$172</c:f>
              <c:strCache>
                <c:ptCount val="15"/>
                <c:pt idx="0">
                  <c:v>V100-2.0MW</c:v>
                </c:pt>
                <c:pt idx="1">
                  <c:v>V105-3.45MW</c:v>
                </c:pt>
                <c:pt idx="2">
                  <c:v>V110-2.2MW</c:v>
                </c:pt>
                <c:pt idx="3">
                  <c:v>V112-3.45MW</c:v>
                </c:pt>
                <c:pt idx="4">
                  <c:v>V117-3.45MW</c:v>
                </c:pt>
                <c:pt idx="5">
                  <c:v>V117-4.2MW</c:v>
                </c:pt>
                <c:pt idx="6">
                  <c:v>V120-2.2MW</c:v>
                </c:pt>
                <c:pt idx="7">
                  <c:v>V126-3.45MW</c:v>
                </c:pt>
                <c:pt idx="8">
                  <c:v>V136-3.45MW</c:v>
                </c:pt>
                <c:pt idx="9">
                  <c:v>V136-4.2MW</c:v>
                </c:pt>
                <c:pt idx="10">
                  <c:v>V136-4.5MW</c:v>
                </c:pt>
                <c:pt idx="11">
                  <c:v>V150-4.2MW</c:v>
                </c:pt>
                <c:pt idx="12">
                  <c:v>V150-4.5MW</c:v>
                </c:pt>
                <c:pt idx="13">
                  <c:v>V150-6.0MW</c:v>
                </c:pt>
                <c:pt idx="14">
                  <c:v>V155-3.6MW</c:v>
                </c:pt>
              </c:strCache>
            </c:strRef>
          </c:cat>
          <c:val>
            <c:numRef>
              <c:f>'OI 2022'!$K$158:$K$172</c:f>
              <c:numCache>
                <c:formatCode>0</c:formatCode>
                <c:ptCount val="15"/>
                <c:pt idx="0">
                  <c:v>2</c:v>
                </c:pt>
                <c:pt idx="1">
                  <c:v>8</c:v>
                </c:pt>
                <c:pt idx="2">
                  <c:v>66</c:v>
                </c:pt>
                <c:pt idx="3">
                  <c:v>2</c:v>
                </c:pt>
                <c:pt idx="4">
                  <c:v>13</c:v>
                </c:pt>
                <c:pt idx="5">
                  <c:v>36</c:v>
                </c:pt>
                <c:pt idx="6">
                  <c:v>23</c:v>
                </c:pt>
                <c:pt idx="7">
                  <c:v>25</c:v>
                </c:pt>
                <c:pt idx="8">
                  <c:v>11</c:v>
                </c:pt>
                <c:pt idx="9">
                  <c:v>63</c:v>
                </c:pt>
                <c:pt idx="10">
                  <c:v>116</c:v>
                </c:pt>
                <c:pt idx="11">
                  <c:v>139</c:v>
                </c:pt>
                <c:pt idx="12">
                  <c:v>742</c:v>
                </c:pt>
                <c:pt idx="13">
                  <c:v>30</c:v>
                </c:pt>
                <c:pt idx="14">
                  <c:v>15</c:v>
                </c:pt>
              </c:numCache>
            </c:numRef>
          </c:val>
          <c:extLst>
            <c:ext xmlns:c16="http://schemas.microsoft.com/office/drawing/2014/chart" uri="{C3380CC4-5D6E-409C-BE32-E72D297353CC}">
              <c16:uniqueId val="{00000020-9F92-4EA3-801A-7355667965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2022'!$M$158:$M$170</c:f>
              <c:strCache>
                <c:ptCount val="13"/>
                <c:pt idx="0">
                  <c:v>V100</c:v>
                </c:pt>
                <c:pt idx="1">
                  <c:v>V105</c:v>
                </c:pt>
                <c:pt idx="2">
                  <c:v>V110</c:v>
                </c:pt>
                <c:pt idx="3">
                  <c:v>V112</c:v>
                </c:pt>
                <c:pt idx="4">
                  <c:v>V117</c:v>
                </c:pt>
                <c:pt idx="5">
                  <c:v>V120</c:v>
                </c:pt>
                <c:pt idx="6">
                  <c:v>V126</c:v>
                </c:pt>
                <c:pt idx="7">
                  <c:v>V136</c:v>
                </c:pt>
                <c:pt idx="8">
                  <c:v>V150</c:v>
                </c:pt>
                <c:pt idx="9">
                  <c:v>V155</c:v>
                </c:pt>
                <c:pt idx="10">
                  <c:v>V162</c:v>
                </c:pt>
                <c:pt idx="11">
                  <c:v>V164</c:v>
                </c:pt>
                <c:pt idx="12">
                  <c:v>V174</c:v>
                </c:pt>
              </c:strCache>
            </c:strRef>
          </c:cat>
          <c:val>
            <c:numRef>
              <c:f>'OI 2022'!$N$158:$N$170</c:f>
              <c:numCache>
                <c:formatCode>General</c:formatCode>
                <c:ptCount val="13"/>
                <c:pt idx="0">
                  <c:v>2</c:v>
                </c:pt>
                <c:pt idx="1">
                  <c:v>8</c:v>
                </c:pt>
                <c:pt idx="2">
                  <c:v>66</c:v>
                </c:pt>
                <c:pt idx="3">
                  <c:v>2</c:v>
                </c:pt>
                <c:pt idx="4">
                  <c:v>49</c:v>
                </c:pt>
                <c:pt idx="5">
                  <c:v>23</c:v>
                </c:pt>
                <c:pt idx="6">
                  <c:v>25</c:v>
                </c:pt>
                <c:pt idx="7">
                  <c:v>190</c:v>
                </c:pt>
                <c:pt idx="8">
                  <c:v>911</c:v>
                </c:pt>
                <c:pt idx="9">
                  <c:v>15</c:v>
                </c:pt>
                <c:pt idx="10">
                  <c:v>392</c:v>
                </c:pt>
                <c:pt idx="11">
                  <c:v>6</c:v>
                </c:pt>
                <c:pt idx="12">
                  <c:v>62</c:v>
                </c:pt>
              </c:numCache>
            </c:numRef>
          </c:val>
          <c:extLst>
            <c:ext xmlns:c16="http://schemas.microsoft.com/office/drawing/2014/chart" uri="{C3380CC4-5D6E-409C-BE32-E72D297353CC}">
              <c16:uniqueId val="{00000000-1AB6-46C5-B4E0-CA3353FF847D}"/>
            </c:ext>
          </c:extLst>
        </c:ser>
        <c:dLbls>
          <c:showLegendKey val="0"/>
          <c:showVal val="0"/>
          <c:showCatName val="0"/>
          <c:showSerName val="0"/>
          <c:showPercent val="0"/>
          <c:showBubbleSize val="0"/>
        </c:dLbls>
        <c:gapWidth val="219"/>
        <c:overlap val="-27"/>
        <c:axId val="241147760"/>
        <c:axId val="241148152"/>
      </c:barChart>
      <c:catAx>
        <c:axId val="2411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152"/>
        <c:crosses val="autoZero"/>
        <c:auto val="1"/>
        <c:lblAlgn val="ctr"/>
        <c:lblOffset val="100"/>
        <c:noMultiLvlLbl val="0"/>
      </c:catAx>
      <c:valAx>
        <c:axId val="241148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7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765B-4F08-81EA-72365B0AD9A8}"/>
              </c:ext>
            </c:extLst>
          </c:dPt>
          <c:dPt>
            <c:idx val="1"/>
            <c:bubble3D val="0"/>
            <c:spPr>
              <a:solidFill>
                <a:schemeClr val="accent2"/>
              </a:solidFill>
              <a:ln>
                <a:noFill/>
              </a:ln>
              <a:effectLst/>
            </c:spPr>
            <c:extLst>
              <c:ext xmlns:c16="http://schemas.microsoft.com/office/drawing/2014/chart" uri="{C3380CC4-5D6E-409C-BE32-E72D297353CC}">
                <c16:uniqueId val="{00000003-765B-4F08-81EA-72365B0AD9A8}"/>
              </c:ext>
            </c:extLst>
          </c:dPt>
          <c:dPt>
            <c:idx val="2"/>
            <c:bubble3D val="0"/>
            <c:spPr>
              <a:solidFill>
                <a:schemeClr val="accent3"/>
              </a:solidFill>
              <a:ln>
                <a:noFill/>
              </a:ln>
              <a:effectLst/>
            </c:spPr>
            <c:extLst>
              <c:ext xmlns:c16="http://schemas.microsoft.com/office/drawing/2014/chart" uri="{C3380CC4-5D6E-409C-BE32-E72D297353CC}">
                <c16:uniqueId val="{00000005-765B-4F08-81EA-72365B0AD9A8}"/>
              </c:ext>
            </c:extLst>
          </c:dPt>
          <c:dPt>
            <c:idx val="3"/>
            <c:bubble3D val="0"/>
            <c:spPr>
              <a:solidFill>
                <a:schemeClr val="accent4"/>
              </a:solidFill>
              <a:ln>
                <a:noFill/>
              </a:ln>
              <a:effectLst/>
            </c:spPr>
            <c:extLst>
              <c:ext xmlns:c16="http://schemas.microsoft.com/office/drawing/2014/chart" uri="{C3380CC4-5D6E-409C-BE32-E72D297353CC}">
                <c16:uniqueId val="{00000007-765B-4F08-81EA-72365B0AD9A8}"/>
              </c:ext>
            </c:extLst>
          </c:dPt>
          <c:dPt>
            <c:idx val="4"/>
            <c:bubble3D val="0"/>
            <c:spPr>
              <a:solidFill>
                <a:schemeClr val="accent5"/>
              </a:solidFill>
              <a:ln>
                <a:noFill/>
              </a:ln>
              <a:effectLst/>
            </c:spPr>
            <c:extLst>
              <c:ext xmlns:c16="http://schemas.microsoft.com/office/drawing/2014/chart" uri="{C3380CC4-5D6E-409C-BE32-E72D297353CC}">
                <c16:uniqueId val="{00000009-765B-4F08-81EA-72365B0AD9A8}"/>
              </c:ext>
            </c:extLst>
          </c:dPt>
          <c:dPt>
            <c:idx val="5"/>
            <c:bubble3D val="0"/>
            <c:spPr>
              <a:solidFill>
                <a:schemeClr val="accent6"/>
              </a:solidFill>
              <a:ln>
                <a:noFill/>
              </a:ln>
              <a:effectLst/>
            </c:spPr>
            <c:extLst>
              <c:ext xmlns:c16="http://schemas.microsoft.com/office/drawing/2014/chart" uri="{C3380CC4-5D6E-409C-BE32-E72D297353CC}">
                <c16:uniqueId val="{0000000B-765B-4F08-81EA-72365B0AD9A8}"/>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65B-4F08-81EA-72365B0AD9A8}"/>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65B-4F08-81EA-72365B0AD9A8}"/>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65B-4F08-81EA-72365B0AD9A8}"/>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65B-4F08-81EA-72365B0AD9A8}"/>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765B-4F08-81EA-72365B0AD9A8}"/>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765B-4F08-81EA-72365B0AD9A8}"/>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765B-4F08-81EA-72365B0AD9A8}"/>
              </c:ext>
            </c:extLst>
          </c:dPt>
          <c:cat>
            <c:strRef>
              <c:f>'OI 2022'!$M$158:$M$170</c:f>
              <c:strCache>
                <c:ptCount val="13"/>
                <c:pt idx="0">
                  <c:v>V100</c:v>
                </c:pt>
                <c:pt idx="1">
                  <c:v>V105</c:v>
                </c:pt>
                <c:pt idx="2">
                  <c:v>V110</c:v>
                </c:pt>
                <c:pt idx="3">
                  <c:v>V112</c:v>
                </c:pt>
                <c:pt idx="4">
                  <c:v>V117</c:v>
                </c:pt>
                <c:pt idx="5">
                  <c:v>V120</c:v>
                </c:pt>
                <c:pt idx="6">
                  <c:v>V126</c:v>
                </c:pt>
                <c:pt idx="7">
                  <c:v>V136</c:v>
                </c:pt>
                <c:pt idx="8">
                  <c:v>V150</c:v>
                </c:pt>
                <c:pt idx="9">
                  <c:v>V155</c:v>
                </c:pt>
                <c:pt idx="10">
                  <c:v>V162</c:v>
                </c:pt>
                <c:pt idx="11">
                  <c:v>V164</c:v>
                </c:pt>
                <c:pt idx="12">
                  <c:v>V174</c:v>
                </c:pt>
              </c:strCache>
            </c:strRef>
          </c:cat>
          <c:val>
            <c:numRef>
              <c:f>'OI 2022'!$N$158:$N$170</c:f>
              <c:numCache>
                <c:formatCode>General</c:formatCode>
                <c:ptCount val="13"/>
                <c:pt idx="0">
                  <c:v>2</c:v>
                </c:pt>
                <c:pt idx="1">
                  <c:v>8</c:v>
                </c:pt>
                <c:pt idx="2">
                  <c:v>66</c:v>
                </c:pt>
                <c:pt idx="3">
                  <c:v>2</c:v>
                </c:pt>
                <c:pt idx="4">
                  <c:v>49</c:v>
                </c:pt>
                <c:pt idx="5">
                  <c:v>23</c:v>
                </c:pt>
                <c:pt idx="6">
                  <c:v>25</c:v>
                </c:pt>
                <c:pt idx="7">
                  <c:v>190</c:v>
                </c:pt>
                <c:pt idx="8">
                  <c:v>911</c:v>
                </c:pt>
                <c:pt idx="9">
                  <c:v>15</c:v>
                </c:pt>
                <c:pt idx="10">
                  <c:v>392</c:v>
                </c:pt>
                <c:pt idx="11">
                  <c:v>6</c:v>
                </c:pt>
                <c:pt idx="12">
                  <c:v>62</c:v>
                </c:pt>
              </c:numCache>
            </c:numRef>
          </c:val>
          <c:extLst>
            <c:ext xmlns:c16="http://schemas.microsoft.com/office/drawing/2014/chart" uri="{C3380CC4-5D6E-409C-BE32-E72D297353CC}">
              <c16:uniqueId val="{0000001E-765B-4F08-81EA-72365B0AD9A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90060536860821738"/>
          <c:y val="0.18489093027304257"/>
          <c:w val="8.8682382089344092E-2"/>
          <c:h val="0.732563439881087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Order size vs delivery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spPr>
            <a:ln w="19050" cap="rnd">
              <a:noFill/>
              <a:round/>
            </a:ln>
            <a:effectLst/>
          </c:spPr>
          <c:marker>
            <c:symbol val="circle"/>
            <c:size val="8"/>
            <c:spPr>
              <a:solidFill>
                <a:schemeClr val="accent6"/>
              </a:solidFill>
              <a:ln w="9525">
                <a:solidFill>
                  <a:schemeClr val="accent6"/>
                </a:solidFill>
              </a:ln>
              <a:effectLst/>
            </c:spPr>
          </c:marker>
          <c:dPt>
            <c:idx val="18"/>
            <c:marker>
              <c:symbol val="circle"/>
              <c:size val="8"/>
              <c:spPr>
                <a:solidFill>
                  <a:schemeClr val="accent1"/>
                </a:solidFill>
                <a:ln w="9525">
                  <a:solidFill>
                    <a:schemeClr val="accent1"/>
                  </a:solidFill>
                </a:ln>
                <a:effectLst/>
              </c:spPr>
            </c:marker>
            <c:bubble3D val="0"/>
            <c:extLst>
              <c:ext xmlns:c16="http://schemas.microsoft.com/office/drawing/2014/chart" uri="{C3380CC4-5D6E-409C-BE32-E72D297353CC}">
                <c16:uniqueId val="{00000002-53DD-40A7-A99D-04B5158995D8}"/>
              </c:ext>
            </c:extLst>
          </c:dPt>
          <c:dPt>
            <c:idx val="19"/>
            <c:marker>
              <c:symbol val="circle"/>
              <c:size val="8"/>
              <c:spPr>
                <a:solidFill>
                  <a:schemeClr val="accent1"/>
                </a:solidFill>
                <a:ln w="9525">
                  <a:solidFill>
                    <a:schemeClr val="accent1"/>
                  </a:solidFill>
                </a:ln>
                <a:effectLst/>
              </c:spPr>
            </c:marker>
            <c:bubble3D val="0"/>
            <c:extLst>
              <c:ext xmlns:c16="http://schemas.microsoft.com/office/drawing/2014/chart" uri="{C3380CC4-5D6E-409C-BE32-E72D297353CC}">
                <c16:uniqueId val="{00000001-53DD-40A7-A99D-04B5158995D8}"/>
              </c:ext>
            </c:extLst>
          </c:dPt>
          <c:dPt>
            <c:idx val="27"/>
            <c:marker>
              <c:symbol val="circle"/>
              <c:size val="8"/>
              <c:spPr>
                <a:solidFill>
                  <a:schemeClr val="accent1"/>
                </a:solidFill>
                <a:ln w="9525">
                  <a:solidFill>
                    <a:schemeClr val="accent1"/>
                  </a:solidFill>
                </a:ln>
                <a:effectLst/>
              </c:spPr>
            </c:marker>
            <c:bubble3D val="0"/>
            <c:extLst>
              <c:ext xmlns:c16="http://schemas.microsoft.com/office/drawing/2014/chart" uri="{C3380CC4-5D6E-409C-BE32-E72D297353CC}">
                <c16:uniqueId val="{00000003-53DD-40A7-A99D-04B5158995D8}"/>
              </c:ext>
            </c:extLst>
          </c:dPt>
          <c:xVal>
            <c:numRef>
              <c:f>'OI 2022'!$D$2:$D$72</c:f>
              <c:numCache>
                <c:formatCode>General</c:formatCode>
                <c:ptCount val="71"/>
                <c:pt idx="0">
                  <c:v>21</c:v>
                </c:pt>
                <c:pt idx="1">
                  <c:v>171</c:v>
                </c:pt>
                <c:pt idx="2">
                  <c:v>42</c:v>
                </c:pt>
                <c:pt idx="3">
                  <c:v>194</c:v>
                </c:pt>
                <c:pt idx="4">
                  <c:v>32</c:v>
                </c:pt>
                <c:pt idx="5">
                  <c:v>86</c:v>
                </c:pt>
                <c:pt idx="6">
                  <c:v>30</c:v>
                </c:pt>
                <c:pt idx="7">
                  <c:v>51</c:v>
                </c:pt>
                <c:pt idx="8">
                  <c:v>36</c:v>
                </c:pt>
                <c:pt idx="9">
                  <c:v>103</c:v>
                </c:pt>
                <c:pt idx="10">
                  <c:v>100</c:v>
                </c:pt>
                <c:pt idx="11">
                  <c:v>97</c:v>
                </c:pt>
                <c:pt idx="12">
                  <c:v>76</c:v>
                </c:pt>
                <c:pt idx="13">
                  <c:v>93</c:v>
                </c:pt>
                <c:pt idx="14">
                  <c:v>36</c:v>
                </c:pt>
                <c:pt idx="15">
                  <c:v>30</c:v>
                </c:pt>
                <c:pt idx="16">
                  <c:v>31</c:v>
                </c:pt>
                <c:pt idx="17">
                  <c:v>25</c:v>
                </c:pt>
                <c:pt idx="18">
                  <c:v>295</c:v>
                </c:pt>
                <c:pt idx="19">
                  <c:v>295</c:v>
                </c:pt>
                <c:pt idx="20">
                  <c:v>54</c:v>
                </c:pt>
                <c:pt idx="21">
                  <c:v>50</c:v>
                </c:pt>
                <c:pt idx="22">
                  <c:v>201</c:v>
                </c:pt>
                <c:pt idx="23">
                  <c:v>30</c:v>
                </c:pt>
                <c:pt idx="24">
                  <c:v>423</c:v>
                </c:pt>
                <c:pt idx="25">
                  <c:v>81</c:v>
                </c:pt>
                <c:pt idx="26">
                  <c:v>101</c:v>
                </c:pt>
                <c:pt idx="27">
                  <c:v>30</c:v>
                </c:pt>
                <c:pt idx="28">
                  <c:v>73</c:v>
                </c:pt>
                <c:pt idx="29">
                  <c:v>86</c:v>
                </c:pt>
                <c:pt idx="30">
                  <c:v>39</c:v>
                </c:pt>
                <c:pt idx="31">
                  <c:v>135</c:v>
                </c:pt>
                <c:pt idx="32">
                  <c:v>86</c:v>
                </c:pt>
                <c:pt idx="33">
                  <c:v>29</c:v>
                </c:pt>
                <c:pt idx="34">
                  <c:v>67</c:v>
                </c:pt>
                <c:pt idx="35">
                  <c:v>40</c:v>
                </c:pt>
                <c:pt idx="36">
                  <c:v>39</c:v>
                </c:pt>
                <c:pt idx="37">
                  <c:v>27</c:v>
                </c:pt>
                <c:pt idx="38">
                  <c:v>261</c:v>
                </c:pt>
                <c:pt idx="39">
                  <c:v>266</c:v>
                </c:pt>
                <c:pt idx="40">
                  <c:v>43</c:v>
                </c:pt>
                <c:pt idx="41">
                  <c:v>104</c:v>
                </c:pt>
                <c:pt idx="42">
                  <c:v>104</c:v>
                </c:pt>
                <c:pt idx="43">
                  <c:v>66</c:v>
                </c:pt>
                <c:pt idx="44">
                  <c:v>185</c:v>
                </c:pt>
                <c:pt idx="45">
                  <c:v>540</c:v>
                </c:pt>
                <c:pt idx="46">
                  <c:v>50</c:v>
                </c:pt>
                <c:pt idx="47">
                  <c:v>74</c:v>
                </c:pt>
                <c:pt idx="48">
                  <c:v>74</c:v>
                </c:pt>
                <c:pt idx="49">
                  <c:v>300</c:v>
                </c:pt>
                <c:pt idx="50">
                  <c:v>178</c:v>
                </c:pt>
                <c:pt idx="51">
                  <c:v>21</c:v>
                </c:pt>
                <c:pt idx="52">
                  <c:v>756</c:v>
                </c:pt>
                <c:pt idx="53">
                  <c:v>236</c:v>
                </c:pt>
                <c:pt idx="54">
                  <c:v>203</c:v>
                </c:pt>
                <c:pt idx="55">
                  <c:v>59</c:v>
                </c:pt>
                <c:pt idx="56">
                  <c:v>62</c:v>
                </c:pt>
                <c:pt idx="57">
                  <c:v>56</c:v>
                </c:pt>
                <c:pt idx="58">
                  <c:v>37</c:v>
                </c:pt>
                <c:pt idx="59">
                  <c:v>126</c:v>
                </c:pt>
                <c:pt idx="60">
                  <c:v>108</c:v>
                </c:pt>
                <c:pt idx="61">
                  <c:v>32</c:v>
                </c:pt>
                <c:pt idx="62">
                  <c:v>93</c:v>
                </c:pt>
                <c:pt idx="63">
                  <c:v>288</c:v>
                </c:pt>
                <c:pt idx="64">
                  <c:v>73</c:v>
                </c:pt>
                <c:pt idx="65">
                  <c:v>216</c:v>
                </c:pt>
                <c:pt idx="66">
                  <c:v>252</c:v>
                </c:pt>
                <c:pt idx="67">
                  <c:v>84</c:v>
                </c:pt>
                <c:pt idx="68">
                  <c:v>76</c:v>
                </c:pt>
                <c:pt idx="69">
                  <c:v>50</c:v>
                </c:pt>
                <c:pt idx="70">
                  <c:v>60</c:v>
                </c:pt>
              </c:numCache>
            </c:numRef>
          </c:xVal>
          <c:yVal>
            <c:numRef>
              <c:f>'OI 2022'!$AL$2:$AL$72</c:f>
              <c:numCache>
                <c:formatCode>General</c:formatCode>
                <c:ptCount val="71"/>
                <c:pt idx="0">
                  <c:v>304</c:v>
                </c:pt>
                <c:pt idx="1">
                  <c:v>212</c:v>
                </c:pt>
                <c:pt idx="2">
                  <c:v>207</c:v>
                </c:pt>
                <c:pt idx="3">
                  <c:v>572</c:v>
                </c:pt>
                <c:pt idx="4">
                  <c:v>386</c:v>
                </c:pt>
                <c:pt idx="5">
                  <c:v>292</c:v>
                </c:pt>
                <c:pt idx="6">
                  <c:v>470</c:v>
                </c:pt>
                <c:pt idx="7">
                  <c:v>98</c:v>
                </c:pt>
                <c:pt idx="8">
                  <c:v>190</c:v>
                </c:pt>
                <c:pt idx="9">
                  <c:v>94</c:v>
                </c:pt>
                <c:pt idx="10">
                  <c:v>186</c:v>
                </c:pt>
                <c:pt idx="11">
                  <c:v>276</c:v>
                </c:pt>
                <c:pt idx="12">
                  <c:v>276</c:v>
                </c:pt>
                <c:pt idx="13">
                  <c:v>366</c:v>
                </c:pt>
                <c:pt idx="14">
                  <c:v>366</c:v>
                </c:pt>
                <c:pt idx="15">
                  <c:v>276</c:v>
                </c:pt>
                <c:pt idx="16">
                  <c:v>184</c:v>
                </c:pt>
                <c:pt idx="17">
                  <c:v>184</c:v>
                </c:pt>
                <c:pt idx="18">
                  <c:v>276</c:v>
                </c:pt>
                <c:pt idx="19">
                  <c:v>641</c:v>
                </c:pt>
                <c:pt idx="20">
                  <c:v>92</c:v>
                </c:pt>
                <c:pt idx="21">
                  <c:v>184</c:v>
                </c:pt>
                <c:pt idx="22">
                  <c:v>184</c:v>
                </c:pt>
                <c:pt idx="24">
                  <c:v>514</c:v>
                </c:pt>
                <c:pt idx="25">
                  <c:v>149</c:v>
                </c:pt>
                <c:pt idx="26">
                  <c:v>297</c:v>
                </c:pt>
                <c:pt idx="27">
                  <c:v>735</c:v>
                </c:pt>
                <c:pt idx="28">
                  <c:v>368</c:v>
                </c:pt>
                <c:pt idx="29">
                  <c:v>459</c:v>
                </c:pt>
                <c:pt idx="30">
                  <c:v>276</c:v>
                </c:pt>
                <c:pt idx="31">
                  <c:v>276</c:v>
                </c:pt>
                <c:pt idx="32">
                  <c:v>458</c:v>
                </c:pt>
                <c:pt idx="33">
                  <c:v>916</c:v>
                </c:pt>
                <c:pt idx="34">
                  <c:v>550</c:v>
                </c:pt>
                <c:pt idx="35">
                  <c:v>275</c:v>
                </c:pt>
                <c:pt idx="36">
                  <c:v>275</c:v>
                </c:pt>
                <c:pt idx="37">
                  <c:v>185</c:v>
                </c:pt>
                <c:pt idx="39">
                  <c:v>275</c:v>
                </c:pt>
                <c:pt idx="40">
                  <c:v>199</c:v>
                </c:pt>
                <c:pt idx="41">
                  <c:v>12</c:v>
                </c:pt>
                <c:pt idx="42">
                  <c:v>375</c:v>
                </c:pt>
                <c:pt idx="43">
                  <c:v>278</c:v>
                </c:pt>
                <c:pt idx="44">
                  <c:v>275</c:v>
                </c:pt>
                <c:pt idx="45">
                  <c:v>640</c:v>
                </c:pt>
                <c:pt idx="46">
                  <c:v>549</c:v>
                </c:pt>
                <c:pt idx="47">
                  <c:v>549</c:v>
                </c:pt>
                <c:pt idx="48">
                  <c:v>183</c:v>
                </c:pt>
                <c:pt idx="49">
                  <c:v>234</c:v>
                </c:pt>
                <c:pt idx="50">
                  <c:v>225</c:v>
                </c:pt>
                <c:pt idx="51">
                  <c:v>225</c:v>
                </c:pt>
                <c:pt idx="52">
                  <c:v>306</c:v>
                </c:pt>
                <c:pt idx="53">
                  <c:v>480</c:v>
                </c:pt>
                <c:pt idx="54">
                  <c:v>205</c:v>
                </c:pt>
                <c:pt idx="55">
                  <c:v>474</c:v>
                </c:pt>
                <c:pt idx="56">
                  <c:v>198</c:v>
                </c:pt>
                <c:pt idx="57">
                  <c:v>377</c:v>
                </c:pt>
                <c:pt idx="58">
                  <c:v>193</c:v>
                </c:pt>
                <c:pt idx="59">
                  <c:v>376</c:v>
                </c:pt>
                <c:pt idx="60">
                  <c:v>467</c:v>
                </c:pt>
                <c:pt idx="61">
                  <c:v>190</c:v>
                </c:pt>
                <c:pt idx="62">
                  <c:v>461</c:v>
                </c:pt>
                <c:pt idx="63">
                  <c:v>552</c:v>
                </c:pt>
                <c:pt idx="64">
                  <c:v>185</c:v>
                </c:pt>
                <c:pt idx="65">
                  <c:v>185</c:v>
                </c:pt>
                <c:pt idx="66">
                  <c:v>367</c:v>
                </c:pt>
                <c:pt idx="67">
                  <c:v>183</c:v>
                </c:pt>
                <c:pt idx="68">
                  <c:v>2</c:v>
                </c:pt>
                <c:pt idx="69">
                  <c:v>549</c:v>
                </c:pt>
                <c:pt idx="70">
                  <c:v>183</c:v>
                </c:pt>
              </c:numCache>
            </c:numRef>
          </c:yVal>
          <c:smooth val="0"/>
          <c:extLst>
            <c:ext xmlns:c16="http://schemas.microsoft.com/office/drawing/2014/chart" uri="{C3380CC4-5D6E-409C-BE32-E72D297353CC}">
              <c16:uniqueId val="{00000000-53DD-40A7-A99D-04B5158995D8}"/>
            </c:ext>
          </c:extLst>
        </c:ser>
        <c:dLbls>
          <c:showLegendKey val="0"/>
          <c:showVal val="0"/>
          <c:showCatName val="0"/>
          <c:showSerName val="0"/>
          <c:showPercent val="0"/>
          <c:showBubbleSize val="0"/>
        </c:dLbls>
        <c:axId val="945863216"/>
        <c:axId val="150904576"/>
      </c:scatterChart>
      <c:valAx>
        <c:axId val="945863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a:t>Order size [MW]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50904576"/>
        <c:crosses val="autoZero"/>
        <c:crossBetween val="midCat"/>
      </c:valAx>
      <c:valAx>
        <c:axId val="15090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a:t>Delivery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9458632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2021'!$I$146:$I$166</c:f>
              <c:strCache>
                <c:ptCount val="21"/>
                <c:pt idx="0">
                  <c:v>4MW</c:v>
                </c:pt>
                <c:pt idx="1">
                  <c:v>V90-2.0MW</c:v>
                </c:pt>
                <c:pt idx="2">
                  <c:v>V100-2.0MW</c:v>
                </c:pt>
                <c:pt idx="3">
                  <c:v>V105-3.45MW</c:v>
                </c:pt>
                <c:pt idx="4">
                  <c:v>V110-2.0MW</c:v>
                </c:pt>
                <c:pt idx="5">
                  <c:v>V110-2.2MW</c:v>
                </c:pt>
                <c:pt idx="6">
                  <c:v>V112-3.45MW</c:v>
                </c:pt>
                <c:pt idx="7">
                  <c:v>V117-3.45MW</c:v>
                </c:pt>
                <c:pt idx="8">
                  <c:v>V117-4.2MW</c:v>
                </c:pt>
                <c:pt idx="9">
                  <c:v>V120-2.2MW</c:v>
                </c:pt>
                <c:pt idx="10">
                  <c:v>V126-3.45MW</c:v>
                </c:pt>
                <c:pt idx="11">
                  <c:v>V126-4.2MW</c:v>
                </c:pt>
                <c:pt idx="12">
                  <c:v>V136-3.45MW</c:v>
                </c:pt>
                <c:pt idx="13">
                  <c:v>V136-4.2MW</c:v>
                </c:pt>
                <c:pt idx="14">
                  <c:v>V150-4.2MW</c:v>
                </c:pt>
                <c:pt idx="15">
                  <c:v>V150-4.5MW</c:v>
                </c:pt>
                <c:pt idx="16">
                  <c:v>V150-5.6MW</c:v>
                </c:pt>
                <c:pt idx="17">
                  <c:v>V162-5.6MW</c:v>
                </c:pt>
                <c:pt idx="18">
                  <c:v>V162-6.0MW</c:v>
                </c:pt>
                <c:pt idx="19">
                  <c:v>V162-6.2MW</c:v>
                </c:pt>
                <c:pt idx="20">
                  <c:v>V174-9.5MW</c:v>
                </c:pt>
              </c:strCache>
            </c:strRef>
          </c:cat>
          <c:val>
            <c:numRef>
              <c:f>'OI 2021'!$K$146:$K$166</c:f>
              <c:numCache>
                <c:formatCode>0</c:formatCode>
                <c:ptCount val="21"/>
                <c:pt idx="0">
                  <c:v>12</c:v>
                </c:pt>
                <c:pt idx="1">
                  <c:v>2</c:v>
                </c:pt>
                <c:pt idx="2">
                  <c:v>86</c:v>
                </c:pt>
                <c:pt idx="3">
                  <c:v>25</c:v>
                </c:pt>
                <c:pt idx="4">
                  <c:v>59</c:v>
                </c:pt>
                <c:pt idx="5">
                  <c:v>60.090909090909093</c:v>
                </c:pt>
                <c:pt idx="6">
                  <c:v>10</c:v>
                </c:pt>
                <c:pt idx="7">
                  <c:v>23</c:v>
                </c:pt>
                <c:pt idx="8">
                  <c:v>97</c:v>
                </c:pt>
                <c:pt idx="9">
                  <c:v>255</c:v>
                </c:pt>
                <c:pt idx="10">
                  <c:v>107</c:v>
                </c:pt>
                <c:pt idx="11">
                  <c:v>60</c:v>
                </c:pt>
                <c:pt idx="12">
                  <c:v>79</c:v>
                </c:pt>
                <c:pt idx="13">
                  <c:v>79</c:v>
                </c:pt>
                <c:pt idx="14">
                  <c:v>520</c:v>
                </c:pt>
                <c:pt idx="15">
                  <c:v>257</c:v>
                </c:pt>
                <c:pt idx="16">
                  <c:v>7</c:v>
                </c:pt>
                <c:pt idx="17">
                  <c:v>40</c:v>
                </c:pt>
                <c:pt idx="18">
                  <c:v>303</c:v>
                </c:pt>
                <c:pt idx="19">
                  <c:v>176</c:v>
                </c:pt>
                <c:pt idx="20">
                  <c:v>77</c:v>
                </c:pt>
              </c:numCache>
            </c:numRef>
          </c:val>
          <c:extLst>
            <c:ext xmlns:c16="http://schemas.microsoft.com/office/drawing/2014/chart" uri="{C3380CC4-5D6E-409C-BE32-E72D297353CC}">
              <c16:uniqueId val="{00000000-1256-4934-AC18-0AE485824759}"/>
            </c:ext>
          </c:extLst>
        </c:ser>
        <c:dLbls>
          <c:showLegendKey val="0"/>
          <c:showVal val="0"/>
          <c:showCatName val="0"/>
          <c:showSerName val="0"/>
          <c:showPercent val="0"/>
          <c:showBubbleSize val="0"/>
        </c:dLbls>
        <c:gapWidth val="219"/>
        <c:overlap val="-27"/>
        <c:axId val="241147760"/>
        <c:axId val="241148152"/>
      </c:barChart>
      <c:catAx>
        <c:axId val="2411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152"/>
        <c:crosses val="autoZero"/>
        <c:auto val="1"/>
        <c:lblAlgn val="ctr"/>
        <c:lblOffset val="100"/>
        <c:noMultiLvlLbl val="0"/>
      </c:catAx>
      <c:valAx>
        <c:axId val="241148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7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a:t>
            </a:r>
            <a:r>
              <a:rPr lang="en-US" baseline="0"/>
              <a:t> contract horizon 2020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2021'!$D$180</c:f>
              <c:strCache>
                <c:ptCount val="1"/>
                <c:pt idx="0">
                  <c:v>AOM4000</c:v>
                </c:pt>
              </c:strCache>
            </c:strRef>
          </c:tx>
          <c:spPr>
            <a:solidFill>
              <a:schemeClr val="accent1"/>
            </a:solidFill>
            <a:ln>
              <a:noFill/>
            </a:ln>
            <a:effectLst/>
          </c:spPr>
          <c:invertIfNegative val="0"/>
          <c:cat>
            <c:strRef>
              <c:f>'OI 2021'!$C$181:$C$185</c:f>
              <c:strCache>
                <c:ptCount val="5"/>
                <c:pt idx="0">
                  <c:v>0-5</c:v>
                </c:pt>
                <c:pt idx="1">
                  <c:v>5-10</c:v>
                </c:pt>
                <c:pt idx="2">
                  <c:v>10-15</c:v>
                </c:pt>
                <c:pt idx="3">
                  <c:v>15-20</c:v>
                </c:pt>
                <c:pt idx="4">
                  <c:v>20+</c:v>
                </c:pt>
              </c:strCache>
            </c:strRef>
          </c:cat>
          <c:val>
            <c:numRef>
              <c:f>'OI 2021'!$D$181:$D$185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7CA9-4B43-A8E1-49BDFA96E6F5}"/>
            </c:ext>
          </c:extLst>
        </c:ser>
        <c:ser>
          <c:idx val="1"/>
          <c:order val="1"/>
          <c:tx>
            <c:strRef>
              <c:f>'OI 2021'!$E$180</c:f>
              <c:strCache>
                <c:ptCount val="1"/>
                <c:pt idx="0">
                  <c:v>AOM5000</c:v>
                </c:pt>
              </c:strCache>
            </c:strRef>
          </c:tx>
          <c:spPr>
            <a:solidFill>
              <a:schemeClr val="accent2"/>
            </a:solidFill>
            <a:ln>
              <a:noFill/>
            </a:ln>
            <a:effectLst/>
          </c:spPr>
          <c:invertIfNegative val="0"/>
          <c:cat>
            <c:strRef>
              <c:f>'OI 2021'!$C$181:$C$185</c:f>
              <c:strCache>
                <c:ptCount val="5"/>
                <c:pt idx="0">
                  <c:v>0-5</c:v>
                </c:pt>
                <c:pt idx="1">
                  <c:v>5-10</c:v>
                </c:pt>
                <c:pt idx="2">
                  <c:v>10-15</c:v>
                </c:pt>
                <c:pt idx="3">
                  <c:v>15-20</c:v>
                </c:pt>
                <c:pt idx="4">
                  <c:v>20+</c:v>
                </c:pt>
              </c:strCache>
            </c:strRef>
          </c:cat>
          <c:val>
            <c:numRef>
              <c:f>'OI 2021'!$E$181:$E$185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7CA9-4B43-A8E1-49BDFA96E6F5}"/>
            </c:ext>
          </c:extLst>
        </c:ser>
        <c:dLbls>
          <c:showLegendKey val="0"/>
          <c:showVal val="0"/>
          <c:showCatName val="0"/>
          <c:showSerName val="0"/>
          <c:showPercent val="0"/>
          <c:showBubbleSize val="0"/>
        </c:dLbls>
        <c:gapWidth val="219"/>
        <c:overlap val="-27"/>
        <c:axId val="241148936"/>
        <c:axId val="241149328"/>
      </c:barChart>
      <c:catAx>
        <c:axId val="24114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9328"/>
        <c:crosses val="autoZero"/>
        <c:auto val="1"/>
        <c:lblAlgn val="ctr"/>
        <c:lblOffset val="100"/>
        <c:noMultiLvlLbl val="0"/>
      </c:catAx>
      <c:valAx>
        <c:axId val="24114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country split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0.15771369856825118"/>
          <c:y val="9.4273780892108805E-2"/>
          <c:w val="0.57115826212178133"/>
          <c:h val="0.65281895902827203"/>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B0-4B0B-B074-834311C8AF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B0-4B0B-B074-834311C8AF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B0-4B0B-B074-834311C8AF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B0-4B0B-B074-834311C8AF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B0-4B0B-B074-834311C8AF5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EB0-4B0B-B074-834311C8AF5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EB0-4B0B-B074-834311C8AF5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EB0-4B0B-B074-834311C8AF5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EB0-4B0B-B074-834311C8AF5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EB0-4B0B-B074-834311C8AF5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EB0-4B0B-B074-834311C8AF5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EB0-4B0B-B074-834311C8AF5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EB0-4B0B-B074-834311C8AF5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EB0-4B0B-B074-834311C8AF5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EB0-4B0B-B074-834311C8AF5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EB0-4B0B-B074-834311C8AF5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EB0-4B0B-B074-834311C8AF5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EB0-4B0B-B074-834311C8AF5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EB0-4B0B-B074-834311C8AF5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EB0-4B0B-B074-834311C8AF5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EB0-4B0B-B074-834311C8AF5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EB0-4B0B-B074-834311C8AF5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EB0-4B0B-B074-834311C8AF5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6EB0-4B0B-B074-834311C8AF57}"/>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6EB0-4B0B-B074-834311C8AF57}"/>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6EB0-4B0B-B074-834311C8AF57}"/>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6EB0-4B0B-B074-834311C8AF57}"/>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5B0A-4BA0-A425-590FA9DE3312}"/>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5B0A-4BA0-A425-590FA9DE3312}"/>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5B0A-4BA0-A425-590FA9DE3312}"/>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5B0A-4BA0-A425-590FA9DE3312}"/>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5B0A-4BA0-A425-590FA9DE3312}"/>
              </c:ext>
            </c:extLst>
          </c:dPt>
          <c:cat>
            <c:strRef>
              <c:f>'OI 2021'!$C$145:$C$176</c:f>
              <c:strCache>
                <c:ptCount val="32"/>
                <c:pt idx="0">
                  <c:v>United states</c:v>
                </c:pt>
                <c:pt idx="1">
                  <c:v>China</c:v>
                </c:pt>
                <c:pt idx="2">
                  <c:v>Japan</c:v>
                </c:pt>
                <c:pt idx="3">
                  <c:v>Germany</c:v>
                </c:pt>
                <c:pt idx="4">
                  <c:v>India</c:v>
                </c:pt>
                <c:pt idx="5">
                  <c:v>Sweden</c:v>
                </c:pt>
                <c:pt idx="6">
                  <c:v>Ukraine</c:v>
                </c:pt>
                <c:pt idx="7">
                  <c:v>Italy</c:v>
                </c:pt>
                <c:pt idx="8">
                  <c:v>Argentina</c:v>
                </c:pt>
                <c:pt idx="9">
                  <c:v>Scotland</c:v>
                </c:pt>
                <c:pt idx="10">
                  <c:v>Australia</c:v>
                </c:pt>
                <c:pt idx="11">
                  <c:v>Turkey</c:v>
                </c:pt>
                <c:pt idx="12">
                  <c:v>Brazil</c:v>
                </c:pt>
                <c:pt idx="13">
                  <c:v>Canada</c:v>
                </c:pt>
                <c:pt idx="14">
                  <c:v>Taiwan</c:v>
                </c:pt>
                <c:pt idx="15">
                  <c:v>Ireland</c:v>
                </c:pt>
                <c:pt idx="16">
                  <c:v>Portugal</c:v>
                </c:pt>
                <c:pt idx="17">
                  <c:v>France</c:v>
                </c:pt>
                <c:pt idx="18">
                  <c:v>Kuwait</c:v>
                </c:pt>
                <c:pt idx="19">
                  <c:v>Greece</c:v>
                </c:pt>
                <c:pt idx="20">
                  <c:v>Spain</c:v>
                </c:pt>
                <c:pt idx="21">
                  <c:v>UK</c:v>
                </c:pt>
                <c:pt idx="22">
                  <c:v>Russia</c:v>
                </c:pt>
                <c:pt idx="23">
                  <c:v>Poland</c:v>
                </c:pt>
                <c:pt idx="24">
                  <c:v>Denmark</c:v>
                </c:pt>
                <c:pt idx="25">
                  <c:v>Finland</c:v>
                </c:pt>
                <c:pt idx="26">
                  <c:v>Netherlands</c:v>
                </c:pt>
                <c:pt idx="27">
                  <c:v>Faroe Islands</c:v>
                </c:pt>
                <c:pt idx="28">
                  <c:v>Latvia</c:v>
                </c:pt>
                <c:pt idx="29">
                  <c:v>South Korea</c:v>
                </c:pt>
                <c:pt idx="30">
                  <c:v>Dominican Republic</c:v>
                </c:pt>
                <c:pt idx="31">
                  <c:v>Belgium</c:v>
                </c:pt>
              </c:strCache>
            </c:strRef>
          </c:cat>
          <c:val>
            <c:numRef>
              <c:f>'OI 2021'!$E$145:$E$176</c:f>
              <c:numCache>
                <c:formatCode>General</c:formatCode>
                <c:ptCount val="32"/>
                <c:pt idx="0">
                  <c:v>2486</c:v>
                </c:pt>
                <c:pt idx="1">
                  <c:v>0</c:v>
                </c:pt>
                <c:pt idx="2">
                  <c:v>336</c:v>
                </c:pt>
                <c:pt idx="3">
                  <c:v>814</c:v>
                </c:pt>
                <c:pt idx="4">
                  <c:v>202</c:v>
                </c:pt>
                <c:pt idx="5">
                  <c:v>153</c:v>
                </c:pt>
                <c:pt idx="6">
                  <c:v>498</c:v>
                </c:pt>
                <c:pt idx="7">
                  <c:v>126</c:v>
                </c:pt>
                <c:pt idx="8">
                  <c:v>81</c:v>
                </c:pt>
                <c:pt idx="9">
                  <c:v>0</c:v>
                </c:pt>
                <c:pt idx="10">
                  <c:v>792</c:v>
                </c:pt>
                <c:pt idx="11">
                  <c:v>66</c:v>
                </c:pt>
                <c:pt idx="12">
                  <c:v>1209</c:v>
                </c:pt>
                <c:pt idx="13">
                  <c:v>448</c:v>
                </c:pt>
                <c:pt idx="14">
                  <c:v>50</c:v>
                </c:pt>
                <c:pt idx="15">
                  <c:v>134</c:v>
                </c:pt>
                <c:pt idx="16">
                  <c:v>25</c:v>
                </c:pt>
                <c:pt idx="17">
                  <c:v>323</c:v>
                </c:pt>
                <c:pt idx="18">
                  <c:v>0</c:v>
                </c:pt>
                <c:pt idx="19">
                  <c:v>102</c:v>
                </c:pt>
                <c:pt idx="20">
                  <c:v>155</c:v>
                </c:pt>
                <c:pt idx="21">
                  <c:v>36</c:v>
                </c:pt>
                <c:pt idx="22">
                  <c:v>253</c:v>
                </c:pt>
                <c:pt idx="23">
                  <c:v>364</c:v>
                </c:pt>
                <c:pt idx="24">
                  <c:v>25</c:v>
                </c:pt>
                <c:pt idx="25">
                  <c:v>1127</c:v>
                </c:pt>
                <c:pt idx="26">
                  <c:v>373</c:v>
                </c:pt>
                <c:pt idx="27">
                  <c:v>0</c:v>
                </c:pt>
                <c:pt idx="28">
                  <c:v>59</c:v>
                </c:pt>
                <c:pt idx="29">
                  <c:v>46</c:v>
                </c:pt>
                <c:pt idx="30">
                  <c:v>47</c:v>
                </c:pt>
                <c:pt idx="31">
                  <c:v>35</c:v>
                </c:pt>
              </c:numCache>
            </c:numRef>
          </c:val>
          <c:extLst>
            <c:ext xmlns:c16="http://schemas.microsoft.com/office/drawing/2014/chart" uri="{C3380CC4-5D6E-409C-BE32-E72D297353CC}">
              <c16:uniqueId val="{00000036-6EB0-4B0B-B074-834311C8AF5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2.1494092543440483E-2"/>
          <c:y val="0.76488504151770531"/>
          <c:w val="0.95034038310478275"/>
          <c:h val="0.21986441425601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B9D2-4673-8106-BA787D1517B6}"/>
              </c:ext>
            </c:extLst>
          </c:dPt>
          <c:dPt>
            <c:idx val="1"/>
            <c:bubble3D val="0"/>
            <c:spPr>
              <a:solidFill>
                <a:schemeClr val="accent2"/>
              </a:solidFill>
              <a:ln>
                <a:noFill/>
              </a:ln>
              <a:effectLst/>
            </c:spPr>
            <c:extLst>
              <c:ext xmlns:c16="http://schemas.microsoft.com/office/drawing/2014/chart" uri="{C3380CC4-5D6E-409C-BE32-E72D297353CC}">
                <c16:uniqueId val="{00000003-B9D2-4673-8106-BA787D1517B6}"/>
              </c:ext>
            </c:extLst>
          </c:dPt>
          <c:dPt>
            <c:idx val="2"/>
            <c:bubble3D val="0"/>
            <c:spPr>
              <a:solidFill>
                <a:schemeClr val="accent3"/>
              </a:solidFill>
              <a:ln>
                <a:noFill/>
              </a:ln>
              <a:effectLst/>
            </c:spPr>
            <c:extLst>
              <c:ext xmlns:c16="http://schemas.microsoft.com/office/drawing/2014/chart" uri="{C3380CC4-5D6E-409C-BE32-E72D297353CC}">
                <c16:uniqueId val="{00000005-B9D2-4673-8106-BA787D1517B6}"/>
              </c:ext>
            </c:extLst>
          </c:dPt>
          <c:dPt>
            <c:idx val="3"/>
            <c:bubble3D val="0"/>
            <c:spPr>
              <a:solidFill>
                <a:schemeClr val="accent4"/>
              </a:solidFill>
              <a:ln>
                <a:noFill/>
              </a:ln>
              <a:effectLst/>
            </c:spPr>
            <c:extLst>
              <c:ext xmlns:c16="http://schemas.microsoft.com/office/drawing/2014/chart" uri="{C3380CC4-5D6E-409C-BE32-E72D297353CC}">
                <c16:uniqueId val="{00000007-B9D2-4673-8106-BA787D1517B6}"/>
              </c:ext>
            </c:extLst>
          </c:dPt>
          <c:dPt>
            <c:idx val="4"/>
            <c:bubble3D val="0"/>
            <c:spPr>
              <a:solidFill>
                <a:schemeClr val="accent5"/>
              </a:solidFill>
              <a:ln>
                <a:noFill/>
              </a:ln>
              <a:effectLst/>
            </c:spPr>
            <c:extLst>
              <c:ext xmlns:c16="http://schemas.microsoft.com/office/drawing/2014/chart" uri="{C3380CC4-5D6E-409C-BE32-E72D297353CC}">
                <c16:uniqueId val="{00000009-B9D2-4673-8106-BA787D1517B6}"/>
              </c:ext>
            </c:extLst>
          </c:dPt>
          <c:dPt>
            <c:idx val="5"/>
            <c:bubble3D val="0"/>
            <c:spPr>
              <a:solidFill>
                <a:schemeClr val="accent6"/>
              </a:solidFill>
              <a:ln>
                <a:noFill/>
              </a:ln>
              <a:effectLst/>
            </c:spPr>
            <c:extLst>
              <c:ext xmlns:c16="http://schemas.microsoft.com/office/drawing/2014/chart" uri="{C3380CC4-5D6E-409C-BE32-E72D297353CC}">
                <c16:uniqueId val="{0000000B-B9D2-4673-8106-BA787D1517B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B9D2-4673-8106-BA787D1517B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B9D2-4673-8106-BA787D1517B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B9D2-4673-8106-BA787D1517B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B9D2-4673-8106-BA787D1517B6}"/>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B9D2-4673-8106-BA787D1517B6}"/>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B9D2-4673-8106-BA787D1517B6}"/>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B9D2-4673-8106-BA787D1517B6}"/>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B9D2-4673-8106-BA787D1517B6}"/>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B9D2-4673-8106-BA787D1517B6}"/>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B9D2-4673-8106-BA787D1517B6}"/>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40C8-41F1-96C1-7F7716056CC1}"/>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40C8-41F1-96C1-7F7716056CC1}"/>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40C8-41F1-96C1-7F7716056CC1}"/>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40C8-41F1-96C1-7F7716056CC1}"/>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40C8-41F1-96C1-7F7716056CC1}"/>
              </c:ext>
            </c:extLst>
          </c:dPt>
          <c:cat>
            <c:strRef>
              <c:f>'OI 2021'!$I$146:$I$166</c:f>
              <c:strCache>
                <c:ptCount val="21"/>
                <c:pt idx="0">
                  <c:v>4MW</c:v>
                </c:pt>
                <c:pt idx="1">
                  <c:v>V90-2.0MW</c:v>
                </c:pt>
                <c:pt idx="2">
                  <c:v>V100-2.0MW</c:v>
                </c:pt>
                <c:pt idx="3">
                  <c:v>V105-3.45MW</c:v>
                </c:pt>
                <c:pt idx="4">
                  <c:v>V110-2.0MW</c:v>
                </c:pt>
                <c:pt idx="5">
                  <c:v>V110-2.2MW</c:v>
                </c:pt>
                <c:pt idx="6">
                  <c:v>V112-3.45MW</c:v>
                </c:pt>
                <c:pt idx="7">
                  <c:v>V117-3.45MW</c:v>
                </c:pt>
                <c:pt idx="8">
                  <c:v>V117-4.2MW</c:v>
                </c:pt>
                <c:pt idx="9">
                  <c:v>V120-2.2MW</c:v>
                </c:pt>
                <c:pt idx="10">
                  <c:v>V126-3.45MW</c:v>
                </c:pt>
                <c:pt idx="11">
                  <c:v>V126-4.2MW</c:v>
                </c:pt>
                <c:pt idx="12">
                  <c:v>V136-3.45MW</c:v>
                </c:pt>
                <c:pt idx="13">
                  <c:v>V136-4.2MW</c:v>
                </c:pt>
                <c:pt idx="14">
                  <c:v>V150-4.2MW</c:v>
                </c:pt>
                <c:pt idx="15">
                  <c:v>V150-4.5MW</c:v>
                </c:pt>
                <c:pt idx="16">
                  <c:v>V150-5.6MW</c:v>
                </c:pt>
                <c:pt idx="17">
                  <c:v>V162-5.6MW</c:v>
                </c:pt>
                <c:pt idx="18">
                  <c:v>V162-6.0MW</c:v>
                </c:pt>
                <c:pt idx="19">
                  <c:v>V162-6.2MW</c:v>
                </c:pt>
                <c:pt idx="20">
                  <c:v>V174-9.5MW</c:v>
                </c:pt>
              </c:strCache>
            </c:strRef>
          </c:cat>
          <c:val>
            <c:numRef>
              <c:f>'OI 2021'!$K$146:$K$166</c:f>
              <c:numCache>
                <c:formatCode>0</c:formatCode>
                <c:ptCount val="21"/>
                <c:pt idx="0">
                  <c:v>12</c:v>
                </c:pt>
                <c:pt idx="1">
                  <c:v>2</c:v>
                </c:pt>
                <c:pt idx="2">
                  <c:v>86</c:v>
                </c:pt>
                <c:pt idx="3">
                  <c:v>25</c:v>
                </c:pt>
                <c:pt idx="4">
                  <c:v>59</c:v>
                </c:pt>
                <c:pt idx="5">
                  <c:v>60.090909090909093</c:v>
                </c:pt>
                <c:pt idx="6">
                  <c:v>10</c:v>
                </c:pt>
                <c:pt idx="7">
                  <c:v>23</c:v>
                </c:pt>
                <c:pt idx="8">
                  <c:v>97</c:v>
                </c:pt>
                <c:pt idx="9">
                  <c:v>255</c:v>
                </c:pt>
                <c:pt idx="10">
                  <c:v>107</c:v>
                </c:pt>
                <c:pt idx="11">
                  <c:v>60</c:v>
                </c:pt>
                <c:pt idx="12">
                  <c:v>79</c:v>
                </c:pt>
                <c:pt idx="13">
                  <c:v>79</c:v>
                </c:pt>
                <c:pt idx="14">
                  <c:v>520</c:v>
                </c:pt>
                <c:pt idx="15">
                  <c:v>257</c:v>
                </c:pt>
                <c:pt idx="16">
                  <c:v>7</c:v>
                </c:pt>
                <c:pt idx="17">
                  <c:v>40</c:v>
                </c:pt>
                <c:pt idx="18">
                  <c:v>303</c:v>
                </c:pt>
                <c:pt idx="19">
                  <c:v>176</c:v>
                </c:pt>
                <c:pt idx="20">
                  <c:v>77</c:v>
                </c:pt>
              </c:numCache>
            </c:numRef>
          </c:val>
          <c:extLst>
            <c:ext xmlns:c16="http://schemas.microsoft.com/office/drawing/2014/chart" uri="{C3380CC4-5D6E-409C-BE32-E72D297353CC}">
              <c16:uniqueId val="{00000024-B9D2-4673-8106-BA787D1517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2021'!$M$146:$M$158</c:f>
              <c:strCache>
                <c:ptCount val="13"/>
                <c:pt idx="0">
                  <c:v>4MW</c:v>
                </c:pt>
                <c:pt idx="1">
                  <c:v>V90</c:v>
                </c:pt>
                <c:pt idx="2">
                  <c:v>V100</c:v>
                </c:pt>
                <c:pt idx="3">
                  <c:v>V105</c:v>
                </c:pt>
                <c:pt idx="4">
                  <c:v>V110</c:v>
                </c:pt>
                <c:pt idx="5">
                  <c:v>V112</c:v>
                </c:pt>
                <c:pt idx="6">
                  <c:v>V117</c:v>
                </c:pt>
                <c:pt idx="7">
                  <c:v>V120</c:v>
                </c:pt>
                <c:pt idx="8">
                  <c:v>V126</c:v>
                </c:pt>
                <c:pt idx="9">
                  <c:v>V136</c:v>
                </c:pt>
                <c:pt idx="10">
                  <c:v>V150</c:v>
                </c:pt>
                <c:pt idx="11">
                  <c:v>V162</c:v>
                </c:pt>
                <c:pt idx="12">
                  <c:v>V174</c:v>
                </c:pt>
              </c:strCache>
            </c:strRef>
          </c:cat>
          <c:val>
            <c:numRef>
              <c:f>'OI 2021'!$N$146:$N$158</c:f>
              <c:numCache>
                <c:formatCode>0</c:formatCode>
                <c:ptCount val="13"/>
                <c:pt idx="0">
                  <c:v>12</c:v>
                </c:pt>
                <c:pt idx="1">
                  <c:v>2</c:v>
                </c:pt>
                <c:pt idx="2">
                  <c:v>86</c:v>
                </c:pt>
                <c:pt idx="3">
                  <c:v>25</c:v>
                </c:pt>
                <c:pt idx="4">
                  <c:v>119.09090909090909</c:v>
                </c:pt>
                <c:pt idx="5">
                  <c:v>10</c:v>
                </c:pt>
                <c:pt idx="6">
                  <c:v>120</c:v>
                </c:pt>
                <c:pt idx="7">
                  <c:v>255</c:v>
                </c:pt>
                <c:pt idx="8">
                  <c:v>167</c:v>
                </c:pt>
                <c:pt idx="9">
                  <c:v>158</c:v>
                </c:pt>
                <c:pt idx="10">
                  <c:v>784</c:v>
                </c:pt>
                <c:pt idx="11">
                  <c:v>519</c:v>
                </c:pt>
                <c:pt idx="12">
                  <c:v>77</c:v>
                </c:pt>
              </c:numCache>
            </c:numRef>
          </c:val>
          <c:extLst>
            <c:ext xmlns:c16="http://schemas.microsoft.com/office/drawing/2014/chart" uri="{C3380CC4-5D6E-409C-BE32-E72D297353CC}">
              <c16:uniqueId val="{00000000-17FA-4A7C-B91B-6957BD929F0D}"/>
            </c:ext>
          </c:extLst>
        </c:ser>
        <c:dLbls>
          <c:showLegendKey val="0"/>
          <c:showVal val="0"/>
          <c:showCatName val="0"/>
          <c:showSerName val="0"/>
          <c:showPercent val="0"/>
          <c:showBubbleSize val="0"/>
        </c:dLbls>
        <c:gapWidth val="219"/>
        <c:overlap val="-27"/>
        <c:axId val="241147760"/>
        <c:axId val="241148152"/>
      </c:barChart>
      <c:catAx>
        <c:axId val="2411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152"/>
        <c:crosses val="autoZero"/>
        <c:auto val="1"/>
        <c:lblAlgn val="ctr"/>
        <c:lblOffset val="100"/>
        <c:noMultiLvlLbl val="0"/>
      </c:catAx>
      <c:valAx>
        <c:axId val="241148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7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C072-4958-B13C-7312DAA99865}"/>
              </c:ext>
            </c:extLst>
          </c:dPt>
          <c:dPt>
            <c:idx val="1"/>
            <c:bubble3D val="0"/>
            <c:spPr>
              <a:solidFill>
                <a:schemeClr val="accent2"/>
              </a:solidFill>
              <a:ln>
                <a:noFill/>
              </a:ln>
              <a:effectLst/>
            </c:spPr>
            <c:extLst>
              <c:ext xmlns:c16="http://schemas.microsoft.com/office/drawing/2014/chart" uri="{C3380CC4-5D6E-409C-BE32-E72D297353CC}">
                <c16:uniqueId val="{00000003-C072-4958-B13C-7312DAA99865}"/>
              </c:ext>
            </c:extLst>
          </c:dPt>
          <c:dPt>
            <c:idx val="2"/>
            <c:bubble3D val="0"/>
            <c:spPr>
              <a:solidFill>
                <a:schemeClr val="accent3"/>
              </a:solidFill>
              <a:ln>
                <a:noFill/>
              </a:ln>
              <a:effectLst/>
            </c:spPr>
            <c:extLst>
              <c:ext xmlns:c16="http://schemas.microsoft.com/office/drawing/2014/chart" uri="{C3380CC4-5D6E-409C-BE32-E72D297353CC}">
                <c16:uniqueId val="{00000005-C072-4958-B13C-7312DAA99865}"/>
              </c:ext>
            </c:extLst>
          </c:dPt>
          <c:dPt>
            <c:idx val="3"/>
            <c:bubble3D val="0"/>
            <c:spPr>
              <a:solidFill>
                <a:schemeClr val="accent4"/>
              </a:solidFill>
              <a:ln>
                <a:noFill/>
              </a:ln>
              <a:effectLst/>
            </c:spPr>
            <c:extLst>
              <c:ext xmlns:c16="http://schemas.microsoft.com/office/drawing/2014/chart" uri="{C3380CC4-5D6E-409C-BE32-E72D297353CC}">
                <c16:uniqueId val="{00000007-C072-4958-B13C-7312DAA99865}"/>
              </c:ext>
            </c:extLst>
          </c:dPt>
          <c:dPt>
            <c:idx val="4"/>
            <c:bubble3D val="0"/>
            <c:spPr>
              <a:solidFill>
                <a:schemeClr val="accent5"/>
              </a:solidFill>
              <a:ln>
                <a:noFill/>
              </a:ln>
              <a:effectLst/>
            </c:spPr>
            <c:extLst>
              <c:ext xmlns:c16="http://schemas.microsoft.com/office/drawing/2014/chart" uri="{C3380CC4-5D6E-409C-BE32-E72D297353CC}">
                <c16:uniqueId val="{00000009-C072-4958-B13C-7312DAA99865}"/>
              </c:ext>
            </c:extLst>
          </c:dPt>
          <c:dPt>
            <c:idx val="5"/>
            <c:bubble3D val="0"/>
            <c:spPr>
              <a:solidFill>
                <a:schemeClr val="accent6"/>
              </a:solidFill>
              <a:ln>
                <a:noFill/>
              </a:ln>
              <a:effectLst/>
            </c:spPr>
            <c:extLst>
              <c:ext xmlns:c16="http://schemas.microsoft.com/office/drawing/2014/chart" uri="{C3380CC4-5D6E-409C-BE32-E72D297353CC}">
                <c16:uniqueId val="{0000000B-C072-4958-B13C-7312DAA99865}"/>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C072-4958-B13C-7312DAA99865}"/>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C072-4958-B13C-7312DAA99865}"/>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C072-4958-B13C-7312DAA99865}"/>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C072-4958-B13C-7312DAA99865}"/>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C072-4958-B13C-7312DAA99865}"/>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C072-4958-B13C-7312DAA99865}"/>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C072-4958-B13C-7312DAA99865}"/>
              </c:ext>
            </c:extLst>
          </c:dPt>
          <c:cat>
            <c:strRef>
              <c:f>'OI 2021'!$M$146:$M$158</c:f>
              <c:strCache>
                <c:ptCount val="13"/>
                <c:pt idx="0">
                  <c:v>4MW</c:v>
                </c:pt>
                <c:pt idx="1">
                  <c:v>V90</c:v>
                </c:pt>
                <c:pt idx="2">
                  <c:v>V100</c:v>
                </c:pt>
                <c:pt idx="3">
                  <c:v>V105</c:v>
                </c:pt>
                <c:pt idx="4">
                  <c:v>V110</c:v>
                </c:pt>
                <c:pt idx="5">
                  <c:v>V112</c:v>
                </c:pt>
                <c:pt idx="6">
                  <c:v>V117</c:v>
                </c:pt>
                <c:pt idx="7">
                  <c:v>V120</c:v>
                </c:pt>
                <c:pt idx="8">
                  <c:v>V126</c:v>
                </c:pt>
                <c:pt idx="9">
                  <c:v>V136</c:v>
                </c:pt>
                <c:pt idx="10">
                  <c:v>V150</c:v>
                </c:pt>
                <c:pt idx="11">
                  <c:v>V162</c:v>
                </c:pt>
                <c:pt idx="12">
                  <c:v>V174</c:v>
                </c:pt>
              </c:strCache>
            </c:strRef>
          </c:cat>
          <c:val>
            <c:numRef>
              <c:f>'OI 2021'!$N$146:$N$158</c:f>
              <c:numCache>
                <c:formatCode>0</c:formatCode>
                <c:ptCount val="13"/>
                <c:pt idx="0">
                  <c:v>12</c:v>
                </c:pt>
                <c:pt idx="1">
                  <c:v>2</c:v>
                </c:pt>
                <c:pt idx="2">
                  <c:v>86</c:v>
                </c:pt>
                <c:pt idx="3">
                  <c:v>25</c:v>
                </c:pt>
                <c:pt idx="4">
                  <c:v>119.09090909090909</c:v>
                </c:pt>
                <c:pt idx="5">
                  <c:v>10</c:v>
                </c:pt>
                <c:pt idx="6">
                  <c:v>120</c:v>
                </c:pt>
                <c:pt idx="7">
                  <c:v>255</c:v>
                </c:pt>
                <c:pt idx="8">
                  <c:v>167</c:v>
                </c:pt>
                <c:pt idx="9">
                  <c:v>158</c:v>
                </c:pt>
                <c:pt idx="10">
                  <c:v>784</c:v>
                </c:pt>
                <c:pt idx="11">
                  <c:v>519</c:v>
                </c:pt>
                <c:pt idx="12">
                  <c:v>77</c:v>
                </c:pt>
              </c:numCache>
            </c:numRef>
          </c:val>
          <c:extLst>
            <c:ext xmlns:c16="http://schemas.microsoft.com/office/drawing/2014/chart" uri="{C3380CC4-5D6E-409C-BE32-E72D297353CC}">
              <c16:uniqueId val="{0000002A-C072-4958-B13C-7312DAA998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2020'!$I$144:$I$165</c:f>
              <c:strCache>
                <c:ptCount val="22"/>
                <c:pt idx="0">
                  <c:v>V90-2.0MW</c:v>
                </c:pt>
                <c:pt idx="1">
                  <c:v>V100-2.0MW</c:v>
                </c:pt>
                <c:pt idx="2">
                  <c:v>V105-3.45MW</c:v>
                </c:pt>
                <c:pt idx="3">
                  <c:v>V105-3.6MW</c:v>
                </c:pt>
                <c:pt idx="4">
                  <c:v>V110-2.0MW</c:v>
                </c:pt>
                <c:pt idx="5">
                  <c:v>V110-2.2MW</c:v>
                </c:pt>
                <c:pt idx="6">
                  <c:v>V112-3.45MW</c:v>
                </c:pt>
                <c:pt idx="7">
                  <c:v>V117-3.45MW</c:v>
                </c:pt>
                <c:pt idx="8">
                  <c:v>V117-4.2MW</c:v>
                </c:pt>
                <c:pt idx="9">
                  <c:v>V120-2.2MW</c:v>
                </c:pt>
                <c:pt idx="10">
                  <c:v>V126-3.45MW</c:v>
                </c:pt>
                <c:pt idx="11">
                  <c:v>V126-4.2MW</c:v>
                </c:pt>
                <c:pt idx="12">
                  <c:v>V136-3.45MW</c:v>
                </c:pt>
                <c:pt idx="13">
                  <c:v>V136-3.6MW</c:v>
                </c:pt>
                <c:pt idx="14">
                  <c:v>V136-4.2MW</c:v>
                </c:pt>
                <c:pt idx="15">
                  <c:v>V150-4.2MW</c:v>
                </c:pt>
                <c:pt idx="16">
                  <c:v>V150-4.3MW</c:v>
                </c:pt>
                <c:pt idx="17">
                  <c:v>V150-4.5MW</c:v>
                </c:pt>
                <c:pt idx="18">
                  <c:v>V150-5.6MW</c:v>
                </c:pt>
                <c:pt idx="19">
                  <c:v>V155-3.3MW</c:v>
                </c:pt>
                <c:pt idx="20">
                  <c:v>V162-5.6MW</c:v>
                </c:pt>
                <c:pt idx="21">
                  <c:v>V162-6.0MW</c:v>
                </c:pt>
              </c:strCache>
            </c:strRef>
          </c:cat>
          <c:val>
            <c:numRef>
              <c:f>'OI 2020'!$K$144:$K$165</c:f>
              <c:numCache>
                <c:formatCode>0</c:formatCode>
                <c:ptCount val="22"/>
                <c:pt idx="0">
                  <c:v>1</c:v>
                </c:pt>
                <c:pt idx="1">
                  <c:v>124</c:v>
                </c:pt>
                <c:pt idx="2">
                  <c:v>127</c:v>
                </c:pt>
                <c:pt idx="3">
                  <c:v>11</c:v>
                </c:pt>
                <c:pt idx="4">
                  <c:v>215</c:v>
                </c:pt>
                <c:pt idx="5">
                  <c:v>63</c:v>
                </c:pt>
                <c:pt idx="6">
                  <c:v>34</c:v>
                </c:pt>
                <c:pt idx="7">
                  <c:v>33</c:v>
                </c:pt>
                <c:pt idx="8">
                  <c:v>166</c:v>
                </c:pt>
                <c:pt idx="9">
                  <c:v>320</c:v>
                </c:pt>
                <c:pt idx="10">
                  <c:v>99</c:v>
                </c:pt>
                <c:pt idx="11">
                  <c:v>114</c:v>
                </c:pt>
                <c:pt idx="12">
                  <c:v>274</c:v>
                </c:pt>
                <c:pt idx="13">
                  <c:v>1</c:v>
                </c:pt>
                <c:pt idx="14">
                  <c:v>221</c:v>
                </c:pt>
                <c:pt idx="15">
                  <c:v>1025.9047619047619</c:v>
                </c:pt>
                <c:pt idx="16">
                  <c:v>29</c:v>
                </c:pt>
                <c:pt idx="17">
                  <c:v>91</c:v>
                </c:pt>
                <c:pt idx="18">
                  <c:v>22</c:v>
                </c:pt>
                <c:pt idx="19">
                  <c:v>141</c:v>
                </c:pt>
                <c:pt idx="20">
                  <c:v>179</c:v>
                </c:pt>
                <c:pt idx="21">
                  <c:v>38</c:v>
                </c:pt>
              </c:numCache>
            </c:numRef>
          </c:val>
          <c:extLst>
            <c:ext xmlns:c16="http://schemas.microsoft.com/office/drawing/2014/chart" uri="{C3380CC4-5D6E-409C-BE32-E72D297353CC}">
              <c16:uniqueId val="{00000000-4E25-4CE1-AF25-D67FFCBCF315}"/>
            </c:ext>
          </c:extLst>
        </c:ser>
        <c:dLbls>
          <c:showLegendKey val="0"/>
          <c:showVal val="0"/>
          <c:showCatName val="0"/>
          <c:showSerName val="0"/>
          <c:showPercent val="0"/>
          <c:showBubbleSize val="0"/>
        </c:dLbls>
        <c:gapWidth val="219"/>
        <c:overlap val="-27"/>
        <c:axId val="241147760"/>
        <c:axId val="241148152"/>
      </c:barChart>
      <c:catAx>
        <c:axId val="2411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152"/>
        <c:crosses val="autoZero"/>
        <c:auto val="1"/>
        <c:lblAlgn val="ctr"/>
        <c:lblOffset val="100"/>
        <c:noMultiLvlLbl val="0"/>
      </c:catAx>
      <c:valAx>
        <c:axId val="241148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7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a:t>
            </a:r>
            <a:r>
              <a:rPr lang="en-US" baseline="0"/>
              <a:t> contract horizon 2020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2020'!$D$178</c:f>
              <c:strCache>
                <c:ptCount val="1"/>
                <c:pt idx="0">
                  <c:v>AOM4000</c:v>
                </c:pt>
              </c:strCache>
            </c:strRef>
          </c:tx>
          <c:spPr>
            <a:solidFill>
              <a:schemeClr val="accent1"/>
            </a:solidFill>
            <a:ln>
              <a:noFill/>
            </a:ln>
            <a:effectLst/>
          </c:spPr>
          <c:invertIfNegative val="0"/>
          <c:cat>
            <c:strRef>
              <c:f>'OI 2020'!$C$179:$C$183</c:f>
              <c:strCache>
                <c:ptCount val="5"/>
                <c:pt idx="0">
                  <c:v>0-5</c:v>
                </c:pt>
                <c:pt idx="1">
                  <c:v>5-10</c:v>
                </c:pt>
                <c:pt idx="2">
                  <c:v>10-15</c:v>
                </c:pt>
                <c:pt idx="3">
                  <c:v>15-20</c:v>
                </c:pt>
                <c:pt idx="4">
                  <c:v>20+</c:v>
                </c:pt>
              </c:strCache>
            </c:strRef>
          </c:cat>
          <c:val>
            <c:numRef>
              <c:f>'OI 2020'!$D$179:$D$183</c:f>
              <c:numCache>
                <c:formatCode>General</c:formatCode>
                <c:ptCount val="5"/>
                <c:pt idx="0">
                  <c:v>993</c:v>
                </c:pt>
                <c:pt idx="1">
                  <c:v>327</c:v>
                </c:pt>
                <c:pt idx="2">
                  <c:v>46</c:v>
                </c:pt>
                <c:pt idx="3">
                  <c:v>653</c:v>
                </c:pt>
                <c:pt idx="4">
                  <c:v>68</c:v>
                </c:pt>
              </c:numCache>
            </c:numRef>
          </c:val>
          <c:extLst>
            <c:ext xmlns:c16="http://schemas.microsoft.com/office/drawing/2014/chart" uri="{C3380CC4-5D6E-409C-BE32-E72D297353CC}">
              <c16:uniqueId val="{00000000-83EA-4909-9BB3-AEAEAE0ED0B8}"/>
            </c:ext>
          </c:extLst>
        </c:ser>
        <c:ser>
          <c:idx val="1"/>
          <c:order val="1"/>
          <c:tx>
            <c:strRef>
              <c:f>'OI 2020'!$E$178</c:f>
              <c:strCache>
                <c:ptCount val="1"/>
                <c:pt idx="0">
                  <c:v>AOM5000</c:v>
                </c:pt>
              </c:strCache>
            </c:strRef>
          </c:tx>
          <c:spPr>
            <a:solidFill>
              <a:schemeClr val="accent2"/>
            </a:solidFill>
            <a:ln>
              <a:noFill/>
            </a:ln>
            <a:effectLst/>
          </c:spPr>
          <c:invertIfNegative val="0"/>
          <c:cat>
            <c:strRef>
              <c:f>'OI 2020'!$C$179:$C$183</c:f>
              <c:strCache>
                <c:ptCount val="5"/>
                <c:pt idx="0">
                  <c:v>0-5</c:v>
                </c:pt>
                <c:pt idx="1">
                  <c:v>5-10</c:v>
                </c:pt>
                <c:pt idx="2">
                  <c:v>10-15</c:v>
                </c:pt>
                <c:pt idx="3">
                  <c:v>15-20</c:v>
                </c:pt>
                <c:pt idx="4">
                  <c:v>20+</c:v>
                </c:pt>
              </c:strCache>
            </c:strRef>
          </c:cat>
          <c:val>
            <c:numRef>
              <c:f>'OI 2020'!$E$179:$E$183</c:f>
              <c:numCache>
                <c:formatCode>General</c:formatCode>
                <c:ptCount val="5"/>
                <c:pt idx="0">
                  <c:v>399</c:v>
                </c:pt>
                <c:pt idx="1">
                  <c:v>1615</c:v>
                </c:pt>
                <c:pt idx="2">
                  <c:v>1189</c:v>
                </c:pt>
                <c:pt idx="3">
                  <c:v>3255</c:v>
                </c:pt>
                <c:pt idx="4">
                  <c:v>2125</c:v>
                </c:pt>
              </c:numCache>
            </c:numRef>
          </c:val>
          <c:extLst>
            <c:ext xmlns:c16="http://schemas.microsoft.com/office/drawing/2014/chart" uri="{C3380CC4-5D6E-409C-BE32-E72D297353CC}">
              <c16:uniqueId val="{00000001-83EA-4909-9BB3-AEAEAE0ED0B8}"/>
            </c:ext>
          </c:extLst>
        </c:ser>
        <c:dLbls>
          <c:showLegendKey val="0"/>
          <c:showVal val="0"/>
          <c:showCatName val="0"/>
          <c:showSerName val="0"/>
          <c:showPercent val="0"/>
          <c:showBubbleSize val="0"/>
        </c:dLbls>
        <c:gapWidth val="219"/>
        <c:overlap val="-27"/>
        <c:axId val="241148936"/>
        <c:axId val="241149328"/>
      </c:barChart>
      <c:catAx>
        <c:axId val="24114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9328"/>
        <c:crosses val="autoZero"/>
        <c:auto val="1"/>
        <c:lblAlgn val="ctr"/>
        <c:lblOffset val="100"/>
        <c:noMultiLvlLbl val="0"/>
      </c:catAx>
      <c:valAx>
        <c:axId val="24114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67-45D0-99E2-85F4DDC343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67-45D0-99E2-85F4DDC343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67-45D0-99E2-85F4DDC343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67-45D0-99E2-85F4DDC3436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67-45D0-99E2-85F4DDC3436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667-45D0-99E2-85F4DDC3436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667-45D0-99E2-85F4DDC3436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667-45D0-99E2-85F4DDC3436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667-45D0-99E2-85F4DDC3436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667-45D0-99E2-85F4DDC3436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667-45D0-99E2-85F4DDC3436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667-45D0-99E2-85F4DDC3436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667-45D0-99E2-85F4DDC3436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667-45D0-99E2-85F4DDC3436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667-45D0-99E2-85F4DDC3436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667-45D0-99E2-85F4DDC3436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667-45D0-99E2-85F4DDC3436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667-45D0-99E2-85F4DDC3436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667-45D0-99E2-85F4DDC3436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667-45D0-99E2-85F4DDC3436B}"/>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667-45D0-99E2-85F4DDC3436B}"/>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667-45D0-99E2-85F4DDC3436B}"/>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667-45D0-99E2-85F4DDC3436B}"/>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6667-45D0-99E2-85F4DDC3436B}"/>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6667-45D0-99E2-85F4DDC3436B}"/>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6667-45D0-99E2-85F4DDC3436B}"/>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6667-45D0-99E2-85F4DDC3436B}"/>
              </c:ext>
            </c:extLst>
          </c:dPt>
          <c:cat>
            <c:strRef>
              <c:f>'OI 2020'!$C$143:$C$169</c:f>
              <c:strCache>
                <c:ptCount val="27"/>
                <c:pt idx="0">
                  <c:v>United states</c:v>
                </c:pt>
                <c:pt idx="1">
                  <c:v>China</c:v>
                </c:pt>
                <c:pt idx="2">
                  <c:v>Japan</c:v>
                </c:pt>
                <c:pt idx="3">
                  <c:v>Germany</c:v>
                </c:pt>
                <c:pt idx="4">
                  <c:v>India</c:v>
                </c:pt>
                <c:pt idx="5">
                  <c:v>Sweden</c:v>
                </c:pt>
                <c:pt idx="6">
                  <c:v>Canada</c:v>
                </c:pt>
                <c:pt idx="7">
                  <c:v>Italy</c:v>
                </c:pt>
                <c:pt idx="8">
                  <c:v>Colombia</c:v>
                </c:pt>
                <c:pt idx="9">
                  <c:v>Mexico</c:v>
                </c:pt>
                <c:pt idx="10">
                  <c:v>Australia</c:v>
                </c:pt>
                <c:pt idx="11">
                  <c:v>Norway</c:v>
                </c:pt>
                <c:pt idx="12">
                  <c:v>Brazil</c:v>
                </c:pt>
                <c:pt idx="13">
                  <c:v>Chile</c:v>
                </c:pt>
                <c:pt idx="14">
                  <c:v>Egypt</c:v>
                </c:pt>
                <c:pt idx="15">
                  <c:v>Ireland</c:v>
                </c:pt>
                <c:pt idx="16">
                  <c:v>Portugal</c:v>
                </c:pt>
                <c:pt idx="17">
                  <c:v>France</c:v>
                </c:pt>
                <c:pt idx="18">
                  <c:v>Vietnam</c:v>
                </c:pt>
                <c:pt idx="19">
                  <c:v>Greece</c:v>
                </c:pt>
                <c:pt idx="20">
                  <c:v>Spain</c:v>
                </c:pt>
                <c:pt idx="21">
                  <c:v>UK</c:v>
                </c:pt>
                <c:pt idx="22">
                  <c:v>Russia</c:v>
                </c:pt>
                <c:pt idx="23">
                  <c:v>Poland</c:v>
                </c:pt>
                <c:pt idx="24">
                  <c:v>Denmark</c:v>
                </c:pt>
                <c:pt idx="25">
                  <c:v>Finland</c:v>
                </c:pt>
                <c:pt idx="26">
                  <c:v>Netherlands</c:v>
                </c:pt>
              </c:strCache>
            </c:strRef>
          </c:cat>
          <c:val>
            <c:numRef>
              <c:f>'OI 2020'!$E$143:$E$169</c:f>
              <c:numCache>
                <c:formatCode>General</c:formatCode>
                <c:ptCount val="27"/>
                <c:pt idx="0">
                  <c:v>2192</c:v>
                </c:pt>
                <c:pt idx="1">
                  <c:v>1331</c:v>
                </c:pt>
                <c:pt idx="2">
                  <c:v>255</c:v>
                </c:pt>
                <c:pt idx="3">
                  <c:v>129</c:v>
                </c:pt>
                <c:pt idx="4">
                  <c:v>17</c:v>
                </c:pt>
                <c:pt idx="5">
                  <c:v>430</c:v>
                </c:pt>
                <c:pt idx="6">
                  <c:v>151</c:v>
                </c:pt>
                <c:pt idx="7">
                  <c:v>305</c:v>
                </c:pt>
                <c:pt idx="8">
                  <c:v>524</c:v>
                </c:pt>
                <c:pt idx="9">
                  <c:v>108</c:v>
                </c:pt>
                <c:pt idx="10">
                  <c:v>721</c:v>
                </c:pt>
                <c:pt idx="11">
                  <c:v>80</c:v>
                </c:pt>
                <c:pt idx="12">
                  <c:v>1398</c:v>
                </c:pt>
                <c:pt idx="13">
                  <c:v>109</c:v>
                </c:pt>
                <c:pt idx="14">
                  <c:v>252</c:v>
                </c:pt>
                <c:pt idx="15">
                  <c:v>63</c:v>
                </c:pt>
                <c:pt idx="16">
                  <c:v>8</c:v>
                </c:pt>
                <c:pt idx="17">
                  <c:v>183</c:v>
                </c:pt>
                <c:pt idx="18">
                  <c:v>918</c:v>
                </c:pt>
                <c:pt idx="19">
                  <c:v>187</c:v>
                </c:pt>
                <c:pt idx="20">
                  <c:v>81</c:v>
                </c:pt>
                <c:pt idx="21">
                  <c:v>578</c:v>
                </c:pt>
                <c:pt idx="22">
                  <c:v>478</c:v>
                </c:pt>
                <c:pt idx="23">
                  <c:v>665</c:v>
                </c:pt>
                <c:pt idx="24">
                  <c:v>153</c:v>
                </c:pt>
                <c:pt idx="25">
                  <c:v>452</c:v>
                </c:pt>
                <c:pt idx="26">
                  <c:v>725</c:v>
                </c:pt>
              </c:numCache>
            </c:numRef>
          </c:val>
          <c:extLst>
            <c:ext xmlns:c16="http://schemas.microsoft.com/office/drawing/2014/chart" uri="{C3380CC4-5D6E-409C-BE32-E72D297353CC}">
              <c16:uniqueId val="{00000040-6667-45D0-99E2-85F4DDC3436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F3C5-4450-867D-CD63B5F857E6}"/>
              </c:ext>
            </c:extLst>
          </c:dPt>
          <c:dPt>
            <c:idx val="1"/>
            <c:bubble3D val="0"/>
            <c:spPr>
              <a:solidFill>
                <a:schemeClr val="accent2"/>
              </a:solidFill>
              <a:ln>
                <a:noFill/>
              </a:ln>
              <a:effectLst/>
            </c:spPr>
            <c:extLst>
              <c:ext xmlns:c16="http://schemas.microsoft.com/office/drawing/2014/chart" uri="{C3380CC4-5D6E-409C-BE32-E72D297353CC}">
                <c16:uniqueId val="{00000003-F3C5-4450-867D-CD63B5F857E6}"/>
              </c:ext>
            </c:extLst>
          </c:dPt>
          <c:dPt>
            <c:idx val="2"/>
            <c:bubble3D val="0"/>
            <c:spPr>
              <a:solidFill>
                <a:schemeClr val="accent3"/>
              </a:solidFill>
              <a:ln>
                <a:noFill/>
              </a:ln>
              <a:effectLst/>
            </c:spPr>
            <c:extLst>
              <c:ext xmlns:c16="http://schemas.microsoft.com/office/drawing/2014/chart" uri="{C3380CC4-5D6E-409C-BE32-E72D297353CC}">
                <c16:uniqueId val="{00000005-F3C5-4450-867D-CD63B5F857E6}"/>
              </c:ext>
            </c:extLst>
          </c:dPt>
          <c:dPt>
            <c:idx val="3"/>
            <c:bubble3D val="0"/>
            <c:spPr>
              <a:solidFill>
                <a:schemeClr val="accent4"/>
              </a:solidFill>
              <a:ln>
                <a:noFill/>
              </a:ln>
              <a:effectLst/>
            </c:spPr>
            <c:extLst>
              <c:ext xmlns:c16="http://schemas.microsoft.com/office/drawing/2014/chart" uri="{C3380CC4-5D6E-409C-BE32-E72D297353CC}">
                <c16:uniqueId val="{00000007-F3C5-4450-867D-CD63B5F857E6}"/>
              </c:ext>
            </c:extLst>
          </c:dPt>
          <c:dPt>
            <c:idx val="4"/>
            <c:bubble3D val="0"/>
            <c:spPr>
              <a:solidFill>
                <a:schemeClr val="accent5"/>
              </a:solidFill>
              <a:ln>
                <a:noFill/>
              </a:ln>
              <a:effectLst/>
            </c:spPr>
            <c:extLst>
              <c:ext xmlns:c16="http://schemas.microsoft.com/office/drawing/2014/chart" uri="{C3380CC4-5D6E-409C-BE32-E72D297353CC}">
                <c16:uniqueId val="{00000009-F3C5-4450-867D-CD63B5F857E6}"/>
              </c:ext>
            </c:extLst>
          </c:dPt>
          <c:dPt>
            <c:idx val="5"/>
            <c:bubble3D val="0"/>
            <c:spPr>
              <a:solidFill>
                <a:schemeClr val="accent6"/>
              </a:solidFill>
              <a:ln>
                <a:noFill/>
              </a:ln>
              <a:effectLst/>
            </c:spPr>
            <c:extLst>
              <c:ext xmlns:c16="http://schemas.microsoft.com/office/drawing/2014/chart" uri="{C3380CC4-5D6E-409C-BE32-E72D297353CC}">
                <c16:uniqueId val="{0000000B-F3C5-4450-867D-CD63B5F857E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3C5-4450-867D-CD63B5F857E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3C5-4450-867D-CD63B5F857E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3C5-4450-867D-CD63B5F857E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3C5-4450-867D-CD63B5F857E6}"/>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F3C5-4450-867D-CD63B5F857E6}"/>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F3C5-4450-867D-CD63B5F857E6}"/>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F3C5-4450-867D-CD63B5F857E6}"/>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F3C5-4450-867D-CD63B5F857E6}"/>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F3C5-4450-867D-CD63B5F857E6}"/>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F3C5-4450-867D-CD63B5F857E6}"/>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F3C5-4450-867D-CD63B5F857E6}"/>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F3C5-4450-867D-CD63B5F857E6}"/>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AE22-4EDE-92C7-5D8DF359A291}"/>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AE22-4EDE-92C7-5D8DF359A291}"/>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AE22-4EDE-92C7-5D8DF359A291}"/>
              </c:ext>
            </c:extLst>
          </c:dPt>
          <c:cat>
            <c:strRef>
              <c:f>'OI 2020'!$I$145:$I$165</c:f>
              <c:strCache>
                <c:ptCount val="21"/>
                <c:pt idx="0">
                  <c:v>V100-2.0MW</c:v>
                </c:pt>
                <c:pt idx="1">
                  <c:v>V105-3.45MW</c:v>
                </c:pt>
                <c:pt idx="2">
                  <c:v>V105-3.6MW</c:v>
                </c:pt>
                <c:pt idx="3">
                  <c:v>V110-2.0MW</c:v>
                </c:pt>
                <c:pt idx="4">
                  <c:v>V110-2.2MW</c:v>
                </c:pt>
                <c:pt idx="5">
                  <c:v>V112-3.45MW</c:v>
                </c:pt>
                <c:pt idx="6">
                  <c:v>V117-3.45MW</c:v>
                </c:pt>
                <c:pt idx="7">
                  <c:v>V117-4.2MW</c:v>
                </c:pt>
                <c:pt idx="8">
                  <c:v>V120-2.2MW</c:v>
                </c:pt>
                <c:pt idx="9">
                  <c:v>V126-3.45MW</c:v>
                </c:pt>
                <c:pt idx="10">
                  <c:v>V126-4.2MW</c:v>
                </c:pt>
                <c:pt idx="11">
                  <c:v>V136-3.45MW</c:v>
                </c:pt>
                <c:pt idx="12">
                  <c:v>V136-3.6MW</c:v>
                </c:pt>
                <c:pt idx="13">
                  <c:v>V136-4.2MW</c:v>
                </c:pt>
                <c:pt idx="14">
                  <c:v>V150-4.2MW</c:v>
                </c:pt>
                <c:pt idx="15">
                  <c:v>V150-4.3MW</c:v>
                </c:pt>
                <c:pt idx="16">
                  <c:v>V150-4.5MW</c:v>
                </c:pt>
                <c:pt idx="17">
                  <c:v>V150-5.6MW</c:v>
                </c:pt>
                <c:pt idx="18">
                  <c:v>V155-3.3MW</c:v>
                </c:pt>
                <c:pt idx="19">
                  <c:v>V162-5.6MW</c:v>
                </c:pt>
                <c:pt idx="20">
                  <c:v>V162-6.0MW</c:v>
                </c:pt>
              </c:strCache>
            </c:strRef>
          </c:cat>
          <c:val>
            <c:numRef>
              <c:f>'OI 2020'!$K$145:$K$165</c:f>
              <c:numCache>
                <c:formatCode>0</c:formatCode>
                <c:ptCount val="21"/>
                <c:pt idx="0">
                  <c:v>124</c:v>
                </c:pt>
                <c:pt idx="1">
                  <c:v>127</c:v>
                </c:pt>
                <c:pt idx="2">
                  <c:v>11</c:v>
                </c:pt>
                <c:pt idx="3">
                  <c:v>215</c:v>
                </c:pt>
                <c:pt idx="4">
                  <c:v>63</c:v>
                </c:pt>
                <c:pt idx="5">
                  <c:v>34</c:v>
                </c:pt>
                <c:pt idx="6">
                  <c:v>33</c:v>
                </c:pt>
                <c:pt idx="7">
                  <c:v>166</c:v>
                </c:pt>
                <c:pt idx="8">
                  <c:v>320</c:v>
                </c:pt>
                <c:pt idx="9">
                  <c:v>99</c:v>
                </c:pt>
                <c:pt idx="10">
                  <c:v>114</c:v>
                </c:pt>
                <c:pt idx="11">
                  <c:v>274</c:v>
                </c:pt>
                <c:pt idx="12">
                  <c:v>1</c:v>
                </c:pt>
                <c:pt idx="13">
                  <c:v>221</c:v>
                </c:pt>
                <c:pt idx="14">
                  <c:v>1025.9047619047619</c:v>
                </c:pt>
                <c:pt idx="15">
                  <c:v>29</c:v>
                </c:pt>
                <c:pt idx="16">
                  <c:v>91</c:v>
                </c:pt>
                <c:pt idx="17">
                  <c:v>22</c:v>
                </c:pt>
                <c:pt idx="18">
                  <c:v>141</c:v>
                </c:pt>
                <c:pt idx="19">
                  <c:v>179</c:v>
                </c:pt>
                <c:pt idx="20">
                  <c:v>38</c:v>
                </c:pt>
              </c:numCache>
            </c:numRef>
          </c:val>
          <c:extLst>
            <c:ext xmlns:c16="http://schemas.microsoft.com/office/drawing/2014/chart" uri="{C3380CC4-5D6E-409C-BE32-E72D297353CC}">
              <c16:uniqueId val="{00000024-F3C5-4450-867D-CD63B5F857E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234299086421859"/>
          <c:y val="0.14277065862895555"/>
          <c:w val="0.27211871744248689"/>
          <c:h val="0.810896663488371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2020'!$M$144:$M$155</c:f>
              <c:strCache>
                <c:ptCount val="12"/>
                <c:pt idx="0">
                  <c:v>V90</c:v>
                </c:pt>
                <c:pt idx="1">
                  <c:v>V100</c:v>
                </c:pt>
                <c:pt idx="2">
                  <c:v>V105</c:v>
                </c:pt>
                <c:pt idx="3">
                  <c:v>V110</c:v>
                </c:pt>
                <c:pt idx="4">
                  <c:v>V112</c:v>
                </c:pt>
                <c:pt idx="5">
                  <c:v>V117</c:v>
                </c:pt>
                <c:pt idx="6">
                  <c:v>V120</c:v>
                </c:pt>
                <c:pt idx="7">
                  <c:v>V126</c:v>
                </c:pt>
                <c:pt idx="8">
                  <c:v>V136</c:v>
                </c:pt>
                <c:pt idx="9">
                  <c:v>V150</c:v>
                </c:pt>
                <c:pt idx="10">
                  <c:v>V155</c:v>
                </c:pt>
                <c:pt idx="11">
                  <c:v>V162</c:v>
                </c:pt>
              </c:strCache>
            </c:strRef>
          </c:cat>
          <c:val>
            <c:numRef>
              <c:f>'OI 2020'!$N$144:$N$155</c:f>
              <c:numCache>
                <c:formatCode>#,##0</c:formatCode>
                <c:ptCount val="12"/>
                <c:pt idx="0">
                  <c:v>1</c:v>
                </c:pt>
                <c:pt idx="1">
                  <c:v>124</c:v>
                </c:pt>
                <c:pt idx="2">
                  <c:v>138</c:v>
                </c:pt>
                <c:pt idx="3">
                  <c:v>278</c:v>
                </c:pt>
                <c:pt idx="4">
                  <c:v>34</c:v>
                </c:pt>
                <c:pt idx="5">
                  <c:v>199</c:v>
                </c:pt>
                <c:pt idx="6">
                  <c:v>320</c:v>
                </c:pt>
                <c:pt idx="7">
                  <c:v>213</c:v>
                </c:pt>
                <c:pt idx="8">
                  <c:v>496</c:v>
                </c:pt>
                <c:pt idx="9">
                  <c:v>1167.9047619047619</c:v>
                </c:pt>
                <c:pt idx="10">
                  <c:v>141</c:v>
                </c:pt>
                <c:pt idx="11">
                  <c:v>217</c:v>
                </c:pt>
              </c:numCache>
            </c:numRef>
          </c:val>
          <c:extLst>
            <c:ext xmlns:c16="http://schemas.microsoft.com/office/drawing/2014/chart" uri="{C3380CC4-5D6E-409C-BE32-E72D297353CC}">
              <c16:uniqueId val="{00000000-891C-4947-AA32-E810E56DFF81}"/>
            </c:ext>
          </c:extLst>
        </c:ser>
        <c:dLbls>
          <c:showLegendKey val="0"/>
          <c:showVal val="0"/>
          <c:showCatName val="0"/>
          <c:showSerName val="0"/>
          <c:showPercent val="0"/>
          <c:showBubbleSize val="0"/>
        </c:dLbls>
        <c:gapWidth val="219"/>
        <c:overlap val="-27"/>
        <c:axId val="241147760"/>
        <c:axId val="241148152"/>
      </c:barChart>
      <c:catAx>
        <c:axId val="2411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152"/>
        <c:crosses val="autoZero"/>
        <c:auto val="1"/>
        <c:lblAlgn val="ctr"/>
        <c:lblOffset val="100"/>
        <c:noMultiLvlLbl val="0"/>
      </c:catAx>
      <c:valAx>
        <c:axId val="241148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7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1436-471E-B965-A083D830E2A7}"/>
              </c:ext>
            </c:extLst>
          </c:dPt>
          <c:dPt>
            <c:idx val="1"/>
            <c:bubble3D val="0"/>
            <c:spPr>
              <a:solidFill>
                <a:schemeClr val="accent2"/>
              </a:solidFill>
              <a:ln>
                <a:noFill/>
              </a:ln>
              <a:effectLst/>
            </c:spPr>
            <c:extLst>
              <c:ext xmlns:c16="http://schemas.microsoft.com/office/drawing/2014/chart" uri="{C3380CC4-5D6E-409C-BE32-E72D297353CC}">
                <c16:uniqueId val="{00000003-1436-471E-B965-A083D830E2A7}"/>
              </c:ext>
            </c:extLst>
          </c:dPt>
          <c:dPt>
            <c:idx val="2"/>
            <c:bubble3D val="0"/>
            <c:spPr>
              <a:solidFill>
                <a:schemeClr val="accent3"/>
              </a:solidFill>
              <a:ln>
                <a:noFill/>
              </a:ln>
              <a:effectLst/>
            </c:spPr>
            <c:extLst>
              <c:ext xmlns:c16="http://schemas.microsoft.com/office/drawing/2014/chart" uri="{C3380CC4-5D6E-409C-BE32-E72D297353CC}">
                <c16:uniqueId val="{00000005-1436-471E-B965-A083D830E2A7}"/>
              </c:ext>
            </c:extLst>
          </c:dPt>
          <c:dPt>
            <c:idx val="3"/>
            <c:bubble3D val="0"/>
            <c:spPr>
              <a:solidFill>
                <a:schemeClr val="accent4"/>
              </a:solidFill>
              <a:ln>
                <a:noFill/>
              </a:ln>
              <a:effectLst/>
            </c:spPr>
            <c:extLst>
              <c:ext xmlns:c16="http://schemas.microsoft.com/office/drawing/2014/chart" uri="{C3380CC4-5D6E-409C-BE32-E72D297353CC}">
                <c16:uniqueId val="{00000007-1436-471E-B965-A083D830E2A7}"/>
              </c:ext>
            </c:extLst>
          </c:dPt>
          <c:dPt>
            <c:idx val="4"/>
            <c:bubble3D val="0"/>
            <c:spPr>
              <a:solidFill>
                <a:schemeClr val="accent5"/>
              </a:solidFill>
              <a:ln>
                <a:noFill/>
              </a:ln>
              <a:effectLst/>
            </c:spPr>
            <c:extLst>
              <c:ext xmlns:c16="http://schemas.microsoft.com/office/drawing/2014/chart" uri="{C3380CC4-5D6E-409C-BE32-E72D297353CC}">
                <c16:uniqueId val="{00000009-1436-471E-B965-A083D830E2A7}"/>
              </c:ext>
            </c:extLst>
          </c:dPt>
          <c:dPt>
            <c:idx val="5"/>
            <c:bubble3D val="0"/>
            <c:spPr>
              <a:solidFill>
                <a:schemeClr val="accent6"/>
              </a:solidFill>
              <a:ln>
                <a:noFill/>
              </a:ln>
              <a:effectLst/>
            </c:spPr>
            <c:extLst>
              <c:ext xmlns:c16="http://schemas.microsoft.com/office/drawing/2014/chart" uri="{C3380CC4-5D6E-409C-BE32-E72D297353CC}">
                <c16:uniqueId val="{0000000B-1436-471E-B965-A083D830E2A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436-471E-B965-A083D830E2A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436-471E-B965-A083D830E2A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436-471E-B965-A083D830E2A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1436-471E-B965-A083D830E2A7}"/>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1436-471E-B965-A083D830E2A7}"/>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1436-471E-B965-A083D830E2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'OI 2020'!$M$144:$M$155</c:f>
              <c:strCache>
                <c:ptCount val="12"/>
                <c:pt idx="0">
                  <c:v>V90</c:v>
                </c:pt>
                <c:pt idx="1">
                  <c:v>V100</c:v>
                </c:pt>
                <c:pt idx="2">
                  <c:v>V105</c:v>
                </c:pt>
                <c:pt idx="3">
                  <c:v>V110</c:v>
                </c:pt>
                <c:pt idx="4">
                  <c:v>V112</c:v>
                </c:pt>
                <c:pt idx="5">
                  <c:v>V117</c:v>
                </c:pt>
                <c:pt idx="6">
                  <c:v>V120</c:v>
                </c:pt>
                <c:pt idx="7">
                  <c:v>V126</c:v>
                </c:pt>
                <c:pt idx="8">
                  <c:v>V136</c:v>
                </c:pt>
                <c:pt idx="9">
                  <c:v>V150</c:v>
                </c:pt>
                <c:pt idx="10">
                  <c:v>V155</c:v>
                </c:pt>
                <c:pt idx="11">
                  <c:v>V162</c:v>
                </c:pt>
              </c:strCache>
            </c:strRef>
          </c:cat>
          <c:val>
            <c:numRef>
              <c:f>'OI 2020'!$N$144:$N$155</c:f>
              <c:numCache>
                <c:formatCode>#,##0</c:formatCode>
                <c:ptCount val="12"/>
                <c:pt idx="0">
                  <c:v>1</c:v>
                </c:pt>
                <c:pt idx="1">
                  <c:v>124</c:v>
                </c:pt>
                <c:pt idx="2">
                  <c:v>138</c:v>
                </c:pt>
                <c:pt idx="3">
                  <c:v>278</c:v>
                </c:pt>
                <c:pt idx="4">
                  <c:v>34</c:v>
                </c:pt>
                <c:pt idx="5">
                  <c:v>199</c:v>
                </c:pt>
                <c:pt idx="6">
                  <c:v>320</c:v>
                </c:pt>
                <c:pt idx="7">
                  <c:v>213</c:v>
                </c:pt>
                <c:pt idx="8">
                  <c:v>496</c:v>
                </c:pt>
                <c:pt idx="9">
                  <c:v>1167.9047619047619</c:v>
                </c:pt>
                <c:pt idx="10">
                  <c:v>141</c:v>
                </c:pt>
                <c:pt idx="11">
                  <c:v>217</c:v>
                </c:pt>
              </c:numCache>
            </c:numRef>
          </c:val>
          <c:extLst>
            <c:ext xmlns:c16="http://schemas.microsoft.com/office/drawing/2014/chart" uri="{C3380CC4-5D6E-409C-BE32-E72D297353CC}">
              <c16:uniqueId val="{00000024-1436-471E-B965-A083D830E2A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4028818025397134"/>
          <c:y val="0.17395899184004676"/>
          <c:w val="0.14417352805273392"/>
          <c:h val="0.74851999706618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2019</a:t>
            </a:r>
          </a:p>
        </c:rich>
      </c:tx>
      <c:overlay val="0"/>
      <c:spPr>
        <a:noFill/>
        <a:ln>
          <a:noFill/>
        </a:ln>
        <a:effectLst/>
      </c:spPr>
    </c:title>
    <c:autoTitleDeleted val="0"/>
    <c:plotArea>
      <c:layout/>
      <c:barChart>
        <c:barDir val="col"/>
        <c:grouping val="clustered"/>
        <c:varyColors val="0"/>
        <c:ser>
          <c:idx val="1"/>
          <c:order val="0"/>
          <c:tx>
            <c:v>Number</c:v>
          </c:tx>
          <c:invertIfNegative val="0"/>
          <c:cat>
            <c:strRef>
              <c:f>'OI 2019'!$I$115:$I$131</c:f>
              <c:strCache>
                <c:ptCount val="17"/>
                <c:pt idx="0">
                  <c:v>V105-3.45MW</c:v>
                </c:pt>
                <c:pt idx="1">
                  <c:v>V110-2.0MW</c:v>
                </c:pt>
                <c:pt idx="2">
                  <c:v>V110-2.2MW</c:v>
                </c:pt>
                <c:pt idx="3">
                  <c:v>V112-3.3MW</c:v>
                </c:pt>
                <c:pt idx="4">
                  <c:v>V112-3.45MW</c:v>
                </c:pt>
                <c:pt idx="5">
                  <c:v>V117-3.45MW</c:v>
                </c:pt>
                <c:pt idx="6">
                  <c:v>V117-4.2MW</c:v>
                </c:pt>
                <c:pt idx="7">
                  <c:v>V120-2.0MW</c:v>
                </c:pt>
                <c:pt idx="8">
                  <c:v>V120-2.2MW</c:v>
                </c:pt>
                <c:pt idx="9">
                  <c:v>V126-3.45MW</c:v>
                </c:pt>
                <c:pt idx="10">
                  <c:v>V126-4.2MW</c:v>
                </c:pt>
                <c:pt idx="11">
                  <c:v>V136-3.45MW</c:v>
                </c:pt>
                <c:pt idx="12">
                  <c:v>V136-3.6MW</c:v>
                </c:pt>
                <c:pt idx="13">
                  <c:v>V136-4.2MW</c:v>
                </c:pt>
                <c:pt idx="14">
                  <c:v>V150-4.2MW</c:v>
                </c:pt>
                <c:pt idx="15">
                  <c:v>V150-5.6MW</c:v>
                </c:pt>
                <c:pt idx="16">
                  <c:v>V162-5.6MW</c:v>
                </c:pt>
              </c:strCache>
            </c:strRef>
          </c:cat>
          <c:val>
            <c:numRef>
              <c:f>'OI 2019'!$L$115:$L$131</c:f>
              <c:numCache>
                <c:formatCode>0</c:formatCode>
                <c:ptCount val="17"/>
                <c:pt idx="0">
                  <c:v>17</c:v>
                </c:pt>
                <c:pt idx="1">
                  <c:v>255</c:v>
                </c:pt>
                <c:pt idx="2">
                  <c:v>66</c:v>
                </c:pt>
                <c:pt idx="3">
                  <c:v>9</c:v>
                </c:pt>
                <c:pt idx="4">
                  <c:v>72</c:v>
                </c:pt>
                <c:pt idx="5">
                  <c:v>46</c:v>
                </c:pt>
                <c:pt idx="6">
                  <c:v>107</c:v>
                </c:pt>
                <c:pt idx="7">
                  <c:v>15</c:v>
                </c:pt>
                <c:pt idx="8">
                  <c:v>1254.8181818181815</c:v>
                </c:pt>
                <c:pt idx="9">
                  <c:v>132.44927536231884</c:v>
                </c:pt>
                <c:pt idx="10">
                  <c:v>60</c:v>
                </c:pt>
                <c:pt idx="11">
                  <c:v>114.88888888888889</c:v>
                </c:pt>
                <c:pt idx="12">
                  <c:v>12</c:v>
                </c:pt>
                <c:pt idx="13">
                  <c:v>237.91029900332228</c:v>
                </c:pt>
                <c:pt idx="14">
                  <c:v>1056.8571428571429</c:v>
                </c:pt>
                <c:pt idx="15">
                  <c:v>50.964285714285715</c:v>
                </c:pt>
                <c:pt idx="16">
                  <c:v>45</c:v>
                </c:pt>
              </c:numCache>
            </c:numRef>
          </c:val>
          <c:extLst>
            <c:ext xmlns:c16="http://schemas.microsoft.com/office/drawing/2014/chart" uri="{C3380CC4-5D6E-409C-BE32-E72D297353CC}">
              <c16:uniqueId val="{00000003-3F64-498D-97E2-3A0A1E8CD70D}"/>
            </c:ext>
          </c:extLst>
        </c:ser>
        <c:dLbls>
          <c:showLegendKey val="0"/>
          <c:showVal val="0"/>
          <c:showCatName val="0"/>
          <c:showSerName val="0"/>
          <c:showPercent val="0"/>
          <c:showBubbleSize val="0"/>
        </c:dLbls>
        <c:gapWidth val="219"/>
        <c:overlap val="-27"/>
        <c:axId val="241147760"/>
        <c:axId val="241148152"/>
      </c:barChart>
      <c:barChart>
        <c:barDir val="col"/>
        <c:grouping val="clustered"/>
        <c:varyColors val="0"/>
        <c:ser>
          <c:idx val="0"/>
          <c:order val="1"/>
          <c:tx>
            <c:v>MW</c:v>
          </c:tx>
          <c:spPr>
            <a:solidFill>
              <a:schemeClr val="accent1"/>
            </a:solidFill>
            <a:ln>
              <a:noFill/>
            </a:ln>
            <a:effectLst/>
          </c:spPr>
          <c:invertIfNegative val="0"/>
          <c:cat>
            <c:strRef>
              <c:f>'OI 2019'!$I$115:$I$131</c:f>
              <c:strCache>
                <c:ptCount val="17"/>
                <c:pt idx="0">
                  <c:v>V105-3.45MW</c:v>
                </c:pt>
                <c:pt idx="1">
                  <c:v>V110-2.0MW</c:v>
                </c:pt>
                <c:pt idx="2">
                  <c:v>V110-2.2MW</c:v>
                </c:pt>
                <c:pt idx="3">
                  <c:v>V112-3.3MW</c:v>
                </c:pt>
                <c:pt idx="4">
                  <c:v>V112-3.45MW</c:v>
                </c:pt>
                <c:pt idx="5">
                  <c:v>V117-3.45MW</c:v>
                </c:pt>
                <c:pt idx="6">
                  <c:v>V117-4.2MW</c:v>
                </c:pt>
                <c:pt idx="7">
                  <c:v>V120-2.0MW</c:v>
                </c:pt>
                <c:pt idx="8">
                  <c:v>V120-2.2MW</c:v>
                </c:pt>
                <c:pt idx="9">
                  <c:v>V126-3.45MW</c:v>
                </c:pt>
                <c:pt idx="10">
                  <c:v>V126-4.2MW</c:v>
                </c:pt>
                <c:pt idx="11">
                  <c:v>V136-3.45MW</c:v>
                </c:pt>
                <c:pt idx="12">
                  <c:v>V136-3.6MW</c:v>
                </c:pt>
                <c:pt idx="13">
                  <c:v>V136-4.2MW</c:v>
                </c:pt>
                <c:pt idx="14">
                  <c:v>V150-4.2MW</c:v>
                </c:pt>
                <c:pt idx="15">
                  <c:v>V150-5.6MW</c:v>
                </c:pt>
                <c:pt idx="16">
                  <c:v>V162-5.6MW</c:v>
                </c:pt>
              </c:strCache>
            </c:strRef>
          </c:cat>
          <c:val>
            <c:numRef>
              <c:f>'OI 2019'!$M$115:$M$131</c:f>
              <c:numCache>
                <c:formatCode>General</c:formatCode>
                <c:ptCount val="17"/>
                <c:pt idx="0">
                  <c:v>42</c:v>
                </c:pt>
                <c:pt idx="1">
                  <c:v>500.20000000000005</c:v>
                </c:pt>
                <c:pt idx="2">
                  <c:v>175.8</c:v>
                </c:pt>
                <c:pt idx="3">
                  <c:v>16.8</c:v>
                </c:pt>
                <c:pt idx="4">
                  <c:v>355.4</c:v>
                </c:pt>
                <c:pt idx="5">
                  <c:v>190.8</c:v>
                </c:pt>
                <c:pt idx="6">
                  <c:v>263.39999999999998</c:v>
                </c:pt>
                <c:pt idx="7">
                  <c:v>84</c:v>
                </c:pt>
                <c:pt idx="8">
                  <c:v>1401.0500000000004</c:v>
                </c:pt>
                <c:pt idx="9">
                  <c:v>644.85</c:v>
                </c:pt>
                <c:pt idx="10">
                  <c:v>36</c:v>
                </c:pt>
                <c:pt idx="11">
                  <c:v>962.4</c:v>
                </c:pt>
                <c:pt idx="12">
                  <c:v>34</c:v>
                </c:pt>
                <c:pt idx="13">
                  <c:v>2019.1999999999998</c:v>
                </c:pt>
                <c:pt idx="14">
                  <c:v>3442.2999999999997</c:v>
                </c:pt>
                <c:pt idx="15">
                  <c:v>102</c:v>
                </c:pt>
                <c:pt idx="16">
                  <c:v>322.8</c:v>
                </c:pt>
              </c:numCache>
            </c:numRef>
          </c:val>
          <c:extLst>
            <c:ext xmlns:c16="http://schemas.microsoft.com/office/drawing/2014/chart" uri="{C3380CC4-5D6E-409C-BE32-E72D297353CC}">
              <c16:uniqueId val="{00000002-3F64-498D-97E2-3A0A1E8CD70D}"/>
            </c:ext>
          </c:extLst>
        </c:ser>
        <c:dLbls>
          <c:showLegendKey val="0"/>
          <c:showVal val="0"/>
          <c:showCatName val="0"/>
          <c:showSerName val="0"/>
          <c:showPercent val="0"/>
          <c:showBubbleSize val="0"/>
        </c:dLbls>
        <c:gapWidth val="500"/>
        <c:overlap val="90"/>
        <c:axId val="351849272"/>
        <c:axId val="426182640"/>
      </c:barChart>
      <c:catAx>
        <c:axId val="2411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152"/>
        <c:crosses val="autoZero"/>
        <c:auto val="1"/>
        <c:lblAlgn val="ctr"/>
        <c:lblOffset val="100"/>
        <c:noMultiLvlLbl val="0"/>
      </c:catAx>
      <c:valAx>
        <c:axId val="241148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7760"/>
        <c:crosses val="autoZero"/>
        <c:crossBetween val="between"/>
      </c:valAx>
      <c:valAx>
        <c:axId val="426182640"/>
        <c:scaling>
          <c:orientation val="minMax"/>
        </c:scaling>
        <c:delete val="0"/>
        <c:axPos val="r"/>
        <c:numFmt formatCode="General" sourceLinked="1"/>
        <c:majorTickMark val="out"/>
        <c:minorTickMark val="none"/>
        <c:tickLblPos val="nextTo"/>
        <c:crossAx val="351849272"/>
        <c:crosses val="max"/>
        <c:crossBetween val="between"/>
      </c:valAx>
      <c:catAx>
        <c:axId val="351849272"/>
        <c:scaling>
          <c:orientation val="minMax"/>
        </c:scaling>
        <c:delete val="1"/>
        <c:axPos val="b"/>
        <c:numFmt formatCode="General" sourceLinked="1"/>
        <c:majorTickMark val="out"/>
        <c:minorTickMark val="none"/>
        <c:tickLblPos val="nextTo"/>
        <c:crossAx val="426182640"/>
        <c:crosses val="autoZero"/>
        <c:auto val="1"/>
        <c:lblAlgn val="ctr"/>
        <c:lblOffset val="100"/>
        <c:noMultiLvlLbl val="0"/>
      </c:catAx>
    </c:plotArea>
    <c:legend>
      <c:legendPos val="r"/>
      <c:overlay val="0"/>
    </c:legend>
    <c:plotVisOnly val="1"/>
    <c:dispBlanksAs val="gap"/>
    <c:showDLblsOverMax val="0"/>
  </c:chart>
  <c:txPr>
    <a:bodyPr/>
    <a:lstStyle/>
    <a:p>
      <a:pPr>
        <a:defRPr/>
      </a:pPr>
      <a:endParaRPr lang="da-DK"/>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a:t>
            </a:r>
            <a:r>
              <a:rPr lang="en-US" baseline="0"/>
              <a:t> contract horizon 2019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2019'!$D$147</c:f>
              <c:strCache>
                <c:ptCount val="1"/>
                <c:pt idx="0">
                  <c:v>AOM4000</c:v>
                </c:pt>
              </c:strCache>
            </c:strRef>
          </c:tx>
          <c:spPr>
            <a:solidFill>
              <a:schemeClr val="accent1"/>
            </a:solidFill>
            <a:ln>
              <a:noFill/>
            </a:ln>
            <a:effectLst/>
          </c:spPr>
          <c:invertIfNegative val="0"/>
          <c:cat>
            <c:strRef>
              <c:f>'OI 2019'!$C$148:$C$152</c:f>
              <c:strCache>
                <c:ptCount val="5"/>
                <c:pt idx="0">
                  <c:v>0-5</c:v>
                </c:pt>
                <c:pt idx="1">
                  <c:v>5-10</c:v>
                </c:pt>
                <c:pt idx="2">
                  <c:v>10-15</c:v>
                </c:pt>
                <c:pt idx="3">
                  <c:v>15-20</c:v>
                </c:pt>
                <c:pt idx="4">
                  <c:v>20+</c:v>
                </c:pt>
              </c:strCache>
            </c:strRef>
          </c:cat>
          <c:val>
            <c:numRef>
              <c:f>'OI 2019'!$D$148:$D$152</c:f>
              <c:numCache>
                <c:formatCode>General</c:formatCode>
                <c:ptCount val="5"/>
                <c:pt idx="0">
                  <c:v>324</c:v>
                </c:pt>
                <c:pt idx="1">
                  <c:v>98</c:v>
                </c:pt>
                <c:pt idx="2">
                  <c:v>783</c:v>
                </c:pt>
                <c:pt idx="3">
                  <c:v>763</c:v>
                </c:pt>
                <c:pt idx="4">
                  <c:v>246</c:v>
                </c:pt>
              </c:numCache>
            </c:numRef>
          </c:val>
          <c:extLst>
            <c:ext xmlns:c16="http://schemas.microsoft.com/office/drawing/2014/chart" uri="{C3380CC4-5D6E-409C-BE32-E72D297353CC}">
              <c16:uniqueId val="{00000000-9A7B-4FED-8F30-76AE436DA180}"/>
            </c:ext>
          </c:extLst>
        </c:ser>
        <c:ser>
          <c:idx val="1"/>
          <c:order val="1"/>
          <c:tx>
            <c:strRef>
              <c:f>'OI 2019'!$E$147</c:f>
              <c:strCache>
                <c:ptCount val="1"/>
                <c:pt idx="0">
                  <c:v>AOM5000</c:v>
                </c:pt>
              </c:strCache>
            </c:strRef>
          </c:tx>
          <c:spPr>
            <a:solidFill>
              <a:schemeClr val="accent2"/>
            </a:solidFill>
            <a:ln>
              <a:noFill/>
            </a:ln>
            <a:effectLst/>
          </c:spPr>
          <c:invertIfNegative val="0"/>
          <c:cat>
            <c:strRef>
              <c:f>'OI 2019'!$C$148:$C$152</c:f>
              <c:strCache>
                <c:ptCount val="5"/>
                <c:pt idx="0">
                  <c:v>0-5</c:v>
                </c:pt>
                <c:pt idx="1">
                  <c:v>5-10</c:v>
                </c:pt>
                <c:pt idx="2">
                  <c:v>10-15</c:v>
                </c:pt>
                <c:pt idx="3">
                  <c:v>15-20</c:v>
                </c:pt>
                <c:pt idx="4">
                  <c:v>20+</c:v>
                </c:pt>
              </c:strCache>
            </c:strRef>
          </c:cat>
          <c:val>
            <c:numRef>
              <c:f>'OI 2019'!$E$148:$E$152</c:f>
              <c:numCache>
                <c:formatCode>General</c:formatCode>
                <c:ptCount val="5"/>
                <c:pt idx="0">
                  <c:v>417</c:v>
                </c:pt>
                <c:pt idx="1">
                  <c:v>2040</c:v>
                </c:pt>
                <c:pt idx="2">
                  <c:v>522</c:v>
                </c:pt>
                <c:pt idx="3">
                  <c:v>1067</c:v>
                </c:pt>
                <c:pt idx="4">
                  <c:v>2167</c:v>
                </c:pt>
              </c:numCache>
            </c:numRef>
          </c:val>
          <c:extLst>
            <c:ext xmlns:c16="http://schemas.microsoft.com/office/drawing/2014/chart" uri="{C3380CC4-5D6E-409C-BE32-E72D297353CC}">
              <c16:uniqueId val="{00000001-9A7B-4FED-8F30-76AE436DA180}"/>
            </c:ext>
          </c:extLst>
        </c:ser>
        <c:dLbls>
          <c:showLegendKey val="0"/>
          <c:showVal val="0"/>
          <c:showCatName val="0"/>
          <c:showSerName val="0"/>
          <c:showPercent val="0"/>
          <c:showBubbleSize val="0"/>
        </c:dLbls>
        <c:gapWidth val="219"/>
        <c:overlap val="-27"/>
        <c:axId val="241148936"/>
        <c:axId val="241149328"/>
      </c:barChart>
      <c:catAx>
        <c:axId val="24114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9328"/>
        <c:crosses val="autoZero"/>
        <c:auto val="1"/>
        <c:lblAlgn val="ctr"/>
        <c:lblOffset val="100"/>
        <c:noMultiLvlLbl val="0"/>
      </c:catAx>
      <c:valAx>
        <c:axId val="24114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FF-4F4D-BF7E-08CB43DA79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FF-4F4D-BF7E-08CB43DA79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FF-4F4D-BF7E-08CB43DA79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FF-4F4D-BF7E-08CB43DA79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FF-4F4D-BF7E-08CB43DA798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CFF-4F4D-BF7E-08CB43DA798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CFF-4F4D-BF7E-08CB43DA798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CFF-4F4D-BF7E-08CB43DA798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CFF-4F4D-BF7E-08CB43DA798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CFF-4F4D-BF7E-08CB43DA798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CFF-4F4D-BF7E-08CB43DA798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CFF-4F4D-BF7E-08CB43DA798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CFF-4F4D-BF7E-08CB43DA798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DCFF-4F4D-BF7E-08CB43DA798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DCFF-4F4D-BF7E-08CB43DA798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DCFF-4F4D-BF7E-08CB43DA798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DCFF-4F4D-BF7E-08CB43DA798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DCFF-4F4D-BF7E-08CB43DA798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DCFF-4F4D-BF7E-08CB43DA798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DCFF-4F4D-BF7E-08CB43DA798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DCFF-4F4D-BF7E-08CB43DA798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DCFF-4F4D-BF7E-08CB43DA798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DCFF-4F4D-BF7E-08CB43DA798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DCFF-4F4D-BF7E-08CB43DA798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DCFF-4F4D-BF7E-08CB43DA798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DCFF-4F4D-BF7E-08CB43DA798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DCFF-4F4D-BF7E-08CB43DA798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DCFF-4F4D-BF7E-08CB43DA798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DCFF-4F4D-BF7E-08CB43DA798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DCFF-4F4D-BF7E-08CB43DA798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DCFF-4F4D-BF7E-08CB43DA798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DCFF-4F4D-BF7E-08CB43DA7985}"/>
              </c:ext>
            </c:extLst>
          </c:dPt>
          <c:cat>
            <c:strRef>
              <c:f>'OI 2019'!$C$112:$C$143</c:f>
              <c:strCache>
                <c:ptCount val="32"/>
                <c:pt idx="0">
                  <c:v>United states</c:v>
                </c:pt>
                <c:pt idx="1">
                  <c:v>China</c:v>
                </c:pt>
                <c:pt idx="2">
                  <c:v>Saudi Arabia</c:v>
                </c:pt>
                <c:pt idx="3">
                  <c:v>Germany</c:v>
                </c:pt>
                <c:pt idx="4">
                  <c:v>India</c:v>
                </c:pt>
                <c:pt idx="5">
                  <c:v>Sweden</c:v>
                </c:pt>
                <c:pt idx="6">
                  <c:v>El Salvador</c:v>
                </c:pt>
                <c:pt idx="7">
                  <c:v>Italy</c:v>
                </c:pt>
                <c:pt idx="8">
                  <c:v>Kazakhstan</c:v>
                </c:pt>
                <c:pt idx="9">
                  <c:v>Mexico</c:v>
                </c:pt>
                <c:pt idx="10">
                  <c:v>Australia</c:v>
                </c:pt>
                <c:pt idx="11">
                  <c:v>Norway</c:v>
                </c:pt>
                <c:pt idx="12">
                  <c:v>Brazil</c:v>
                </c:pt>
                <c:pt idx="13">
                  <c:v>Chile</c:v>
                </c:pt>
                <c:pt idx="14">
                  <c:v>South Korea</c:v>
                </c:pt>
                <c:pt idx="15">
                  <c:v>Jordan</c:v>
                </c:pt>
                <c:pt idx="16">
                  <c:v>New Zealand</c:v>
                </c:pt>
                <c:pt idx="17">
                  <c:v>France</c:v>
                </c:pt>
                <c:pt idx="18">
                  <c:v>Vietnam</c:v>
                </c:pt>
                <c:pt idx="19">
                  <c:v>Greece</c:v>
                </c:pt>
                <c:pt idx="20">
                  <c:v>Serbia</c:v>
                </c:pt>
                <c:pt idx="21">
                  <c:v>UK</c:v>
                </c:pt>
                <c:pt idx="22">
                  <c:v>Russia</c:v>
                </c:pt>
                <c:pt idx="23">
                  <c:v>Sri Lanka</c:v>
                </c:pt>
                <c:pt idx="24">
                  <c:v>Taiwan</c:v>
                </c:pt>
                <c:pt idx="25">
                  <c:v>Poland</c:v>
                </c:pt>
                <c:pt idx="26">
                  <c:v>Denmark</c:v>
                </c:pt>
                <c:pt idx="27">
                  <c:v>Finland</c:v>
                </c:pt>
                <c:pt idx="28">
                  <c:v>Thailand</c:v>
                </c:pt>
                <c:pt idx="29">
                  <c:v>Ukraine</c:v>
                </c:pt>
                <c:pt idx="30">
                  <c:v>South Africa</c:v>
                </c:pt>
                <c:pt idx="31">
                  <c:v>Panama</c:v>
                </c:pt>
              </c:strCache>
            </c:strRef>
          </c:cat>
          <c:val>
            <c:numRef>
              <c:f>'OI 2019'!$E$112:$E$143</c:f>
              <c:numCache>
                <c:formatCode>General</c:formatCode>
                <c:ptCount val="32"/>
                <c:pt idx="0">
                  <c:v>5661</c:v>
                </c:pt>
                <c:pt idx="1">
                  <c:v>317</c:v>
                </c:pt>
                <c:pt idx="2">
                  <c:v>415</c:v>
                </c:pt>
                <c:pt idx="3">
                  <c:v>112</c:v>
                </c:pt>
                <c:pt idx="4">
                  <c:v>101</c:v>
                </c:pt>
                <c:pt idx="5">
                  <c:v>250</c:v>
                </c:pt>
                <c:pt idx="6">
                  <c:v>54</c:v>
                </c:pt>
                <c:pt idx="7">
                  <c:v>98</c:v>
                </c:pt>
                <c:pt idx="8">
                  <c:v>48</c:v>
                </c:pt>
                <c:pt idx="9">
                  <c:v>294</c:v>
                </c:pt>
                <c:pt idx="10">
                  <c:v>462</c:v>
                </c:pt>
                <c:pt idx="11">
                  <c:v>72</c:v>
                </c:pt>
                <c:pt idx="12">
                  <c:v>1810</c:v>
                </c:pt>
                <c:pt idx="13">
                  <c:v>185</c:v>
                </c:pt>
                <c:pt idx="14">
                  <c:v>42</c:v>
                </c:pt>
                <c:pt idx="15">
                  <c:v>0</c:v>
                </c:pt>
                <c:pt idx="16">
                  <c:v>222</c:v>
                </c:pt>
                <c:pt idx="17">
                  <c:v>0</c:v>
                </c:pt>
                <c:pt idx="18">
                  <c:v>192</c:v>
                </c:pt>
                <c:pt idx="19">
                  <c:v>201</c:v>
                </c:pt>
                <c:pt idx="20">
                  <c:v>0</c:v>
                </c:pt>
                <c:pt idx="21">
                  <c:v>47</c:v>
                </c:pt>
                <c:pt idx="22">
                  <c:v>351</c:v>
                </c:pt>
                <c:pt idx="23">
                  <c:v>0</c:v>
                </c:pt>
                <c:pt idx="24">
                  <c:v>122</c:v>
                </c:pt>
                <c:pt idx="25">
                  <c:v>317</c:v>
                </c:pt>
                <c:pt idx="26">
                  <c:v>111</c:v>
                </c:pt>
                <c:pt idx="27">
                  <c:v>802</c:v>
                </c:pt>
                <c:pt idx="28">
                  <c:v>0</c:v>
                </c:pt>
                <c:pt idx="29">
                  <c:v>164</c:v>
                </c:pt>
                <c:pt idx="30">
                  <c:v>35</c:v>
                </c:pt>
                <c:pt idx="31">
                  <c:v>0</c:v>
                </c:pt>
              </c:numCache>
            </c:numRef>
          </c:val>
          <c:extLst>
            <c:ext xmlns:c16="http://schemas.microsoft.com/office/drawing/2014/chart" uri="{C3380CC4-5D6E-409C-BE32-E72D297353CC}">
              <c16:uniqueId val="{00000040-DCFF-4F4D-BF7E-08CB43DA798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2.5557553799992354E-2"/>
          <c:y val="0.13807735373211999"/>
          <c:w val="0.79324643317840049"/>
          <c:h val="0.76948309325781661"/>
        </c:manualLayout>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4553-482E-AD39-3B9FABE488B2}"/>
              </c:ext>
            </c:extLst>
          </c:dPt>
          <c:dPt>
            <c:idx val="1"/>
            <c:bubble3D val="0"/>
            <c:spPr>
              <a:solidFill>
                <a:schemeClr val="accent2"/>
              </a:solidFill>
              <a:ln>
                <a:noFill/>
              </a:ln>
              <a:effectLst/>
            </c:spPr>
            <c:extLst>
              <c:ext xmlns:c16="http://schemas.microsoft.com/office/drawing/2014/chart" uri="{C3380CC4-5D6E-409C-BE32-E72D297353CC}">
                <c16:uniqueId val="{00000003-4553-482E-AD39-3B9FABE488B2}"/>
              </c:ext>
            </c:extLst>
          </c:dPt>
          <c:dPt>
            <c:idx val="2"/>
            <c:bubble3D val="0"/>
            <c:spPr>
              <a:solidFill>
                <a:schemeClr val="accent3"/>
              </a:solidFill>
              <a:ln>
                <a:noFill/>
              </a:ln>
              <a:effectLst/>
            </c:spPr>
            <c:extLst>
              <c:ext xmlns:c16="http://schemas.microsoft.com/office/drawing/2014/chart" uri="{C3380CC4-5D6E-409C-BE32-E72D297353CC}">
                <c16:uniqueId val="{00000005-4553-482E-AD39-3B9FABE488B2}"/>
              </c:ext>
            </c:extLst>
          </c:dPt>
          <c:dPt>
            <c:idx val="3"/>
            <c:bubble3D val="0"/>
            <c:spPr>
              <a:solidFill>
                <a:schemeClr val="accent4"/>
              </a:solidFill>
              <a:ln>
                <a:noFill/>
              </a:ln>
              <a:effectLst/>
            </c:spPr>
            <c:extLst>
              <c:ext xmlns:c16="http://schemas.microsoft.com/office/drawing/2014/chart" uri="{C3380CC4-5D6E-409C-BE32-E72D297353CC}">
                <c16:uniqueId val="{00000007-4553-482E-AD39-3B9FABE488B2}"/>
              </c:ext>
            </c:extLst>
          </c:dPt>
          <c:dPt>
            <c:idx val="4"/>
            <c:bubble3D val="0"/>
            <c:spPr>
              <a:solidFill>
                <a:schemeClr val="accent5"/>
              </a:solidFill>
              <a:ln>
                <a:noFill/>
              </a:ln>
              <a:effectLst/>
            </c:spPr>
            <c:extLst>
              <c:ext xmlns:c16="http://schemas.microsoft.com/office/drawing/2014/chart" uri="{C3380CC4-5D6E-409C-BE32-E72D297353CC}">
                <c16:uniqueId val="{00000009-4553-482E-AD39-3B9FABE488B2}"/>
              </c:ext>
            </c:extLst>
          </c:dPt>
          <c:dPt>
            <c:idx val="5"/>
            <c:bubble3D val="0"/>
            <c:spPr>
              <a:solidFill>
                <a:schemeClr val="accent6"/>
              </a:solidFill>
              <a:ln>
                <a:noFill/>
              </a:ln>
              <a:effectLst/>
            </c:spPr>
            <c:extLst>
              <c:ext xmlns:c16="http://schemas.microsoft.com/office/drawing/2014/chart" uri="{C3380CC4-5D6E-409C-BE32-E72D297353CC}">
                <c16:uniqueId val="{0000000B-4553-482E-AD39-3B9FABE488B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553-482E-AD39-3B9FABE488B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4553-482E-AD39-3B9FABE488B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4553-482E-AD39-3B9FABE488B2}"/>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4553-482E-AD39-3B9FABE488B2}"/>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4553-482E-AD39-3B9FABE488B2}"/>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4553-482E-AD39-3B9FABE488B2}"/>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4553-482E-AD39-3B9FABE488B2}"/>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4553-482E-AD39-3B9FABE488B2}"/>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4553-482E-AD39-3B9FABE488B2}"/>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4553-482E-AD39-3B9FABE488B2}"/>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4553-482E-AD39-3B9FABE488B2}"/>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4553-482E-AD39-3B9FABE488B2}"/>
              </c:ext>
            </c:extLst>
          </c:dPt>
          <c:cat>
            <c:strRef>
              <c:f>'OI 2019'!$I$115:$I$132</c:f>
              <c:strCache>
                <c:ptCount val="17"/>
                <c:pt idx="0">
                  <c:v>V105-3.45MW</c:v>
                </c:pt>
                <c:pt idx="1">
                  <c:v>V110-2.0MW</c:v>
                </c:pt>
                <c:pt idx="2">
                  <c:v>V110-2.2MW</c:v>
                </c:pt>
                <c:pt idx="3">
                  <c:v>V112-3.3MW</c:v>
                </c:pt>
                <c:pt idx="4">
                  <c:v>V112-3.45MW</c:v>
                </c:pt>
                <c:pt idx="5">
                  <c:v>V117-3.45MW</c:v>
                </c:pt>
                <c:pt idx="6">
                  <c:v>V117-4.2MW</c:v>
                </c:pt>
                <c:pt idx="7">
                  <c:v>V120-2.0MW</c:v>
                </c:pt>
                <c:pt idx="8">
                  <c:v>V120-2.2MW</c:v>
                </c:pt>
                <c:pt idx="9">
                  <c:v>V126-3.45MW</c:v>
                </c:pt>
                <c:pt idx="10">
                  <c:v>V126-4.2MW</c:v>
                </c:pt>
                <c:pt idx="11">
                  <c:v>V136-3.45MW</c:v>
                </c:pt>
                <c:pt idx="12">
                  <c:v>V136-3.6MW</c:v>
                </c:pt>
                <c:pt idx="13">
                  <c:v>V136-4.2MW</c:v>
                </c:pt>
                <c:pt idx="14">
                  <c:v>V150-4.2MW</c:v>
                </c:pt>
                <c:pt idx="15">
                  <c:v>V150-5.6MW</c:v>
                </c:pt>
                <c:pt idx="16">
                  <c:v>V162-5.6MW</c:v>
                </c:pt>
              </c:strCache>
            </c:strRef>
          </c:cat>
          <c:val>
            <c:numRef>
              <c:f>'OI 2019'!$L$115:$L$132</c:f>
              <c:numCache>
                <c:formatCode>0</c:formatCode>
                <c:ptCount val="18"/>
                <c:pt idx="0">
                  <c:v>17</c:v>
                </c:pt>
                <c:pt idx="1">
                  <c:v>255</c:v>
                </c:pt>
                <c:pt idx="2">
                  <c:v>66</c:v>
                </c:pt>
                <c:pt idx="3">
                  <c:v>9</c:v>
                </c:pt>
                <c:pt idx="4">
                  <c:v>72</c:v>
                </c:pt>
                <c:pt idx="5">
                  <c:v>46</c:v>
                </c:pt>
                <c:pt idx="6">
                  <c:v>107</c:v>
                </c:pt>
                <c:pt idx="7">
                  <c:v>15</c:v>
                </c:pt>
                <c:pt idx="8">
                  <c:v>1254.8181818181815</c:v>
                </c:pt>
                <c:pt idx="9">
                  <c:v>132.44927536231884</c:v>
                </c:pt>
                <c:pt idx="10">
                  <c:v>60</c:v>
                </c:pt>
                <c:pt idx="11">
                  <c:v>114.88888888888889</c:v>
                </c:pt>
                <c:pt idx="12">
                  <c:v>12</c:v>
                </c:pt>
                <c:pt idx="13">
                  <c:v>237.91029900332228</c:v>
                </c:pt>
                <c:pt idx="14">
                  <c:v>1056.8571428571429</c:v>
                </c:pt>
                <c:pt idx="15">
                  <c:v>50.964285714285715</c:v>
                </c:pt>
                <c:pt idx="16">
                  <c:v>45</c:v>
                </c:pt>
              </c:numCache>
            </c:numRef>
          </c:val>
          <c:extLst>
            <c:ext xmlns:c16="http://schemas.microsoft.com/office/drawing/2014/chart" uri="{C3380CC4-5D6E-409C-BE32-E72D297353CC}">
              <c16:uniqueId val="{00000024-4553-482E-AD39-3B9FABE488B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2019'!$I$115:$I$131</c:f>
              <c:strCache>
                <c:ptCount val="17"/>
                <c:pt idx="0">
                  <c:v>V105-3.45MW</c:v>
                </c:pt>
                <c:pt idx="1">
                  <c:v>V110-2.0MW</c:v>
                </c:pt>
                <c:pt idx="2">
                  <c:v>V110-2.2MW</c:v>
                </c:pt>
                <c:pt idx="3">
                  <c:v>V112-3.3MW</c:v>
                </c:pt>
                <c:pt idx="4">
                  <c:v>V112-3.45MW</c:v>
                </c:pt>
                <c:pt idx="5">
                  <c:v>V117-3.45MW</c:v>
                </c:pt>
                <c:pt idx="6">
                  <c:v>V117-4.2MW</c:v>
                </c:pt>
                <c:pt idx="7">
                  <c:v>V120-2.0MW</c:v>
                </c:pt>
                <c:pt idx="8">
                  <c:v>V120-2.2MW</c:v>
                </c:pt>
                <c:pt idx="9">
                  <c:v>V126-3.45MW</c:v>
                </c:pt>
                <c:pt idx="10">
                  <c:v>V126-4.2MW</c:v>
                </c:pt>
                <c:pt idx="11">
                  <c:v>V136-3.45MW</c:v>
                </c:pt>
                <c:pt idx="12">
                  <c:v>V136-3.6MW</c:v>
                </c:pt>
                <c:pt idx="13">
                  <c:v>V136-4.2MW</c:v>
                </c:pt>
                <c:pt idx="14">
                  <c:v>V150-4.2MW</c:v>
                </c:pt>
                <c:pt idx="15">
                  <c:v>V150-5.6MW</c:v>
                </c:pt>
                <c:pt idx="16">
                  <c:v>V162-5.6MW</c:v>
                </c:pt>
              </c:strCache>
            </c:strRef>
          </c:cat>
          <c:val>
            <c:numRef>
              <c:f>'OI 2019'!$M$115:$M$131</c:f>
              <c:numCache>
                <c:formatCode>General</c:formatCode>
                <c:ptCount val="17"/>
                <c:pt idx="0">
                  <c:v>42</c:v>
                </c:pt>
                <c:pt idx="1">
                  <c:v>500.20000000000005</c:v>
                </c:pt>
                <c:pt idx="2">
                  <c:v>175.8</c:v>
                </c:pt>
                <c:pt idx="3">
                  <c:v>16.8</c:v>
                </c:pt>
                <c:pt idx="4">
                  <c:v>355.4</c:v>
                </c:pt>
                <c:pt idx="5">
                  <c:v>190.8</c:v>
                </c:pt>
                <c:pt idx="6">
                  <c:v>263.39999999999998</c:v>
                </c:pt>
                <c:pt idx="7">
                  <c:v>84</c:v>
                </c:pt>
                <c:pt idx="8">
                  <c:v>1401.0500000000004</c:v>
                </c:pt>
                <c:pt idx="9">
                  <c:v>644.85</c:v>
                </c:pt>
                <c:pt idx="10">
                  <c:v>36</c:v>
                </c:pt>
                <c:pt idx="11">
                  <c:v>962.4</c:v>
                </c:pt>
                <c:pt idx="12">
                  <c:v>34</c:v>
                </c:pt>
                <c:pt idx="13">
                  <c:v>2019.1999999999998</c:v>
                </c:pt>
                <c:pt idx="14">
                  <c:v>3442.2999999999997</c:v>
                </c:pt>
                <c:pt idx="15">
                  <c:v>102</c:v>
                </c:pt>
                <c:pt idx="16">
                  <c:v>322.8</c:v>
                </c:pt>
              </c:numCache>
            </c:numRef>
          </c:val>
          <c:extLst>
            <c:ext xmlns:c16="http://schemas.microsoft.com/office/drawing/2014/chart" uri="{C3380CC4-5D6E-409C-BE32-E72D297353CC}">
              <c16:uniqueId val="{00000000-CDC3-4D61-A205-9A12813D1BB9}"/>
            </c:ext>
          </c:extLst>
        </c:ser>
        <c:dLbls>
          <c:showLegendKey val="0"/>
          <c:showVal val="0"/>
          <c:showCatName val="0"/>
          <c:showSerName val="0"/>
          <c:showPercent val="0"/>
          <c:showBubbleSize val="0"/>
        </c:dLbls>
        <c:gapWidth val="219"/>
        <c:overlap val="-27"/>
        <c:axId val="241147760"/>
        <c:axId val="241148152"/>
      </c:barChart>
      <c:catAx>
        <c:axId val="2411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8152"/>
        <c:crosses val="autoZero"/>
        <c:auto val="1"/>
        <c:lblAlgn val="ctr"/>
        <c:lblOffset val="100"/>
        <c:noMultiLvlLbl val="0"/>
      </c:catAx>
      <c:valAx>
        <c:axId val="241148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47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2018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2018'!$I$114:$I$131</c:f>
              <c:strCache>
                <c:ptCount val="18"/>
                <c:pt idx="0">
                  <c:v>V100-2.0MW</c:v>
                </c:pt>
                <c:pt idx="1">
                  <c:v>V110-2.0MW</c:v>
                </c:pt>
                <c:pt idx="2">
                  <c:v>V112-3.0MW</c:v>
                </c:pt>
                <c:pt idx="3">
                  <c:v>V112-3.45MW</c:v>
                </c:pt>
                <c:pt idx="4">
                  <c:v>V116-2.0MW</c:v>
                </c:pt>
                <c:pt idx="5">
                  <c:v>V117-3.45MW</c:v>
                </c:pt>
                <c:pt idx="6">
                  <c:v>V120-2.0MW</c:v>
                </c:pt>
                <c:pt idx="7">
                  <c:v>V120-2.2MW</c:v>
                </c:pt>
                <c:pt idx="8">
                  <c:v>V117-3.3MW</c:v>
                </c:pt>
                <c:pt idx="9">
                  <c:v>V117-4.2MW</c:v>
                </c:pt>
                <c:pt idx="10">
                  <c:v>V126-3.45MW</c:v>
                </c:pt>
                <c:pt idx="11">
                  <c:v>V126-3.6MW</c:v>
                </c:pt>
                <c:pt idx="12">
                  <c:v>V105-3.45MW</c:v>
                </c:pt>
                <c:pt idx="13">
                  <c:v>V110-2.2MW</c:v>
                </c:pt>
                <c:pt idx="14">
                  <c:v>V136-3.45MW</c:v>
                </c:pt>
                <c:pt idx="15">
                  <c:v>V136-3.6MW</c:v>
                </c:pt>
                <c:pt idx="16">
                  <c:v>V136-4.2MW</c:v>
                </c:pt>
                <c:pt idx="17">
                  <c:v>V150-4.2MW</c:v>
                </c:pt>
              </c:strCache>
            </c:strRef>
          </c:cat>
          <c:val>
            <c:numRef>
              <c:f>'OI 2018'!$L$114:$L$131</c:f>
              <c:numCache>
                <c:formatCode>0</c:formatCode>
                <c:ptCount val="18"/>
                <c:pt idx="0">
                  <c:v>141</c:v>
                </c:pt>
                <c:pt idx="1">
                  <c:v>360.09090909090912</c:v>
                </c:pt>
                <c:pt idx="2">
                  <c:v>19</c:v>
                </c:pt>
                <c:pt idx="3">
                  <c:v>22.95125164690382</c:v>
                </c:pt>
                <c:pt idx="4">
                  <c:v>216</c:v>
                </c:pt>
                <c:pt idx="5">
                  <c:v>178.15217391304347</c:v>
                </c:pt>
                <c:pt idx="6">
                  <c:v>195</c:v>
                </c:pt>
                <c:pt idx="7">
                  <c:v>264.72727272727275</c:v>
                </c:pt>
                <c:pt idx="8">
                  <c:v>10</c:v>
                </c:pt>
                <c:pt idx="9">
                  <c:v>31</c:v>
                </c:pt>
                <c:pt idx="10">
                  <c:v>230.11212814645307</c:v>
                </c:pt>
                <c:pt idx="11">
                  <c:v>31</c:v>
                </c:pt>
                <c:pt idx="12">
                  <c:v>0</c:v>
                </c:pt>
                <c:pt idx="13">
                  <c:v>183.18181818181816</c:v>
                </c:pt>
                <c:pt idx="14">
                  <c:v>717.71789982201881</c:v>
                </c:pt>
                <c:pt idx="15">
                  <c:v>103</c:v>
                </c:pt>
                <c:pt idx="16">
                  <c:v>406.8095238095238</c:v>
                </c:pt>
                <c:pt idx="17">
                  <c:v>267</c:v>
                </c:pt>
              </c:numCache>
            </c:numRef>
          </c:val>
          <c:extLst>
            <c:ext xmlns:c16="http://schemas.microsoft.com/office/drawing/2014/chart" uri="{C3380CC4-5D6E-409C-BE32-E72D297353CC}">
              <c16:uniqueId val="{00000000-91CD-4F85-952D-F69024E8E12A}"/>
            </c:ext>
          </c:extLst>
        </c:ser>
        <c:dLbls>
          <c:showLegendKey val="0"/>
          <c:showVal val="0"/>
          <c:showCatName val="0"/>
          <c:showSerName val="0"/>
          <c:showPercent val="0"/>
          <c:showBubbleSize val="0"/>
        </c:dLbls>
        <c:gapWidth val="219"/>
        <c:overlap val="-27"/>
        <c:axId val="241150896"/>
        <c:axId val="241339976"/>
      </c:barChart>
      <c:catAx>
        <c:axId val="24115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339976"/>
        <c:crosses val="autoZero"/>
        <c:auto val="1"/>
        <c:lblAlgn val="ctr"/>
        <c:lblOffset val="100"/>
        <c:noMultiLvlLbl val="0"/>
      </c:catAx>
      <c:valAx>
        <c:axId val="2413399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150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a:t>
            </a:r>
            <a:r>
              <a:rPr lang="en-US" baseline="0"/>
              <a:t> contract horizon 2018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2018'!$D$146</c:f>
              <c:strCache>
                <c:ptCount val="1"/>
                <c:pt idx="0">
                  <c:v>AOM4000</c:v>
                </c:pt>
              </c:strCache>
            </c:strRef>
          </c:tx>
          <c:spPr>
            <a:solidFill>
              <a:schemeClr val="accent1"/>
            </a:solidFill>
            <a:ln>
              <a:noFill/>
            </a:ln>
            <a:effectLst/>
          </c:spPr>
          <c:invertIfNegative val="0"/>
          <c:cat>
            <c:strRef>
              <c:f>'OI 2018'!$C$147:$C$151</c:f>
              <c:strCache>
                <c:ptCount val="5"/>
                <c:pt idx="0">
                  <c:v>0-5</c:v>
                </c:pt>
                <c:pt idx="1">
                  <c:v>5-10</c:v>
                </c:pt>
                <c:pt idx="2">
                  <c:v>10-15</c:v>
                </c:pt>
                <c:pt idx="3">
                  <c:v>15-20</c:v>
                </c:pt>
                <c:pt idx="4">
                  <c:v>20+</c:v>
                </c:pt>
              </c:strCache>
            </c:strRef>
          </c:cat>
          <c:val>
            <c:numRef>
              <c:f>'OI 2018'!$D$147:$D$151</c:f>
              <c:numCache>
                <c:formatCode>General</c:formatCode>
                <c:ptCount val="5"/>
                <c:pt idx="0">
                  <c:v>580</c:v>
                </c:pt>
                <c:pt idx="1">
                  <c:v>0</c:v>
                </c:pt>
                <c:pt idx="2">
                  <c:v>154</c:v>
                </c:pt>
                <c:pt idx="3">
                  <c:v>131.79999999999995</c:v>
                </c:pt>
                <c:pt idx="4">
                  <c:v>0</c:v>
                </c:pt>
              </c:numCache>
            </c:numRef>
          </c:val>
          <c:extLst>
            <c:ext xmlns:c16="http://schemas.microsoft.com/office/drawing/2014/chart" uri="{C3380CC4-5D6E-409C-BE32-E72D297353CC}">
              <c16:uniqueId val="{00000000-7E6F-45FB-833A-81ABFA3C4173}"/>
            </c:ext>
          </c:extLst>
        </c:ser>
        <c:ser>
          <c:idx val="1"/>
          <c:order val="1"/>
          <c:tx>
            <c:strRef>
              <c:f>'OI 2018'!$E$146</c:f>
              <c:strCache>
                <c:ptCount val="1"/>
                <c:pt idx="0">
                  <c:v>AOM5000</c:v>
                </c:pt>
              </c:strCache>
            </c:strRef>
          </c:tx>
          <c:spPr>
            <a:solidFill>
              <a:schemeClr val="accent2"/>
            </a:solidFill>
            <a:ln>
              <a:noFill/>
            </a:ln>
            <a:effectLst/>
          </c:spPr>
          <c:invertIfNegative val="0"/>
          <c:cat>
            <c:strRef>
              <c:f>'OI 2018'!$C$147:$C$151</c:f>
              <c:strCache>
                <c:ptCount val="5"/>
                <c:pt idx="0">
                  <c:v>0-5</c:v>
                </c:pt>
                <c:pt idx="1">
                  <c:v>5-10</c:v>
                </c:pt>
                <c:pt idx="2">
                  <c:v>10-15</c:v>
                </c:pt>
                <c:pt idx="3">
                  <c:v>15-20</c:v>
                </c:pt>
                <c:pt idx="4">
                  <c:v>20+</c:v>
                </c:pt>
              </c:strCache>
            </c:strRef>
          </c:cat>
          <c:val>
            <c:numRef>
              <c:f>'OI 2018'!$E$147:$E$151</c:f>
              <c:numCache>
                <c:formatCode>General</c:formatCode>
                <c:ptCount val="5"/>
                <c:pt idx="0">
                  <c:v>1808</c:v>
                </c:pt>
                <c:pt idx="1">
                  <c:v>1594</c:v>
                </c:pt>
                <c:pt idx="2">
                  <c:v>946.39999999999964</c:v>
                </c:pt>
                <c:pt idx="3">
                  <c:v>1092</c:v>
                </c:pt>
                <c:pt idx="4">
                  <c:v>1402</c:v>
                </c:pt>
              </c:numCache>
            </c:numRef>
          </c:val>
          <c:extLst>
            <c:ext xmlns:c16="http://schemas.microsoft.com/office/drawing/2014/chart" uri="{C3380CC4-5D6E-409C-BE32-E72D297353CC}">
              <c16:uniqueId val="{00000001-7E6F-45FB-833A-81ABFA3C4173}"/>
            </c:ext>
          </c:extLst>
        </c:ser>
        <c:dLbls>
          <c:showLegendKey val="0"/>
          <c:showVal val="0"/>
          <c:showCatName val="0"/>
          <c:showSerName val="0"/>
          <c:showPercent val="0"/>
          <c:showBubbleSize val="0"/>
        </c:dLbls>
        <c:gapWidth val="219"/>
        <c:overlap val="-27"/>
        <c:axId val="241340760"/>
        <c:axId val="241341152"/>
      </c:barChart>
      <c:catAx>
        <c:axId val="241340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341152"/>
        <c:crosses val="autoZero"/>
        <c:auto val="1"/>
        <c:lblAlgn val="ctr"/>
        <c:lblOffset val="100"/>
        <c:noMultiLvlLbl val="0"/>
      </c:catAx>
      <c:valAx>
        <c:axId val="24134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340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A3-4476-AE2A-BC436FF320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A3-4476-AE2A-BC436FF320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A3-4476-AE2A-BC436FF320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A3-4476-AE2A-BC436FF3209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CA3-4476-AE2A-BC436FF3209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CA3-4476-AE2A-BC436FF3209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CA3-4476-AE2A-BC436FF3209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CA3-4476-AE2A-BC436FF3209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CA3-4476-AE2A-BC436FF3209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CA3-4476-AE2A-BC436FF3209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CA3-4476-AE2A-BC436FF3209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CA3-4476-AE2A-BC436FF3209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CA3-4476-AE2A-BC436FF3209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CA3-4476-AE2A-BC436FF3209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CA3-4476-AE2A-BC436FF3209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CA3-4476-AE2A-BC436FF3209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CA3-4476-AE2A-BC436FF3209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CA3-4476-AE2A-BC436FF3209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CA3-4476-AE2A-BC436FF3209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CCA3-4476-AE2A-BC436FF3209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CCA3-4476-AE2A-BC436FF3209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CCA3-4476-AE2A-BC436FF32098}"/>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CCA3-4476-AE2A-BC436FF32098}"/>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CCA3-4476-AE2A-BC436FF32098}"/>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CCA3-4476-AE2A-BC436FF32098}"/>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CCA3-4476-AE2A-BC436FF32098}"/>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CCA3-4476-AE2A-BC436FF32098}"/>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CCA3-4476-AE2A-BC436FF32098}"/>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CCA3-4476-AE2A-BC436FF32098}"/>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CCA3-4476-AE2A-BC436FF32098}"/>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CCA3-4476-AE2A-BC436FF32098}"/>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CCA3-4476-AE2A-BC436FF32098}"/>
              </c:ext>
            </c:extLst>
          </c:dPt>
          <c:cat>
            <c:strRef>
              <c:f>'OI 2018'!$C$111:$C$142</c:f>
              <c:strCache>
                <c:ptCount val="32"/>
                <c:pt idx="0">
                  <c:v>United states</c:v>
                </c:pt>
                <c:pt idx="1">
                  <c:v>China</c:v>
                </c:pt>
                <c:pt idx="2">
                  <c:v>Argentina</c:v>
                </c:pt>
                <c:pt idx="3">
                  <c:v>Germany</c:v>
                </c:pt>
                <c:pt idx="4">
                  <c:v>India</c:v>
                </c:pt>
                <c:pt idx="5">
                  <c:v>Sweden</c:v>
                </c:pt>
                <c:pt idx="6">
                  <c:v>Japan</c:v>
                </c:pt>
                <c:pt idx="7">
                  <c:v>Italy</c:v>
                </c:pt>
                <c:pt idx="8">
                  <c:v>Bolivia</c:v>
                </c:pt>
                <c:pt idx="9">
                  <c:v>Mexico</c:v>
                </c:pt>
                <c:pt idx="10">
                  <c:v>Australia</c:v>
                </c:pt>
                <c:pt idx="11">
                  <c:v>Norway</c:v>
                </c:pt>
                <c:pt idx="12">
                  <c:v>Brazil</c:v>
                </c:pt>
                <c:pt idx="13">
                  <c:v>Canada</c:v>
                </c:pt>
                <c:pt idx="14">
                  <c:v>The Netherlands</c:v>
                </c:pt>
                <c:pt idx="15">
                  <c:v>Jordan</c:v>
                </c:pt>
                <c:pt idx="16">
                  <c:v>Senegal</c:v>
                </c:pt>
                <c:pt idx="17">
                  <c:v>France</c:v>
                </c:pt>
                <c:pt idx="18">
                  <c:v>Kazakhstan</c:v>
                </c:pt>
                <c:pt idx="19">
                  <c:v>Greece</c:v>
                </c:pt>
                <c:pt idx="20">
                  <c:v>Serbia</c:v>
                </c:pt>
                <c:pt idx="21">
                  <c:v>Dominican Republic</c:v>
                </c:pt>
                <c:pt idx="22">
                  <c:v>Russia</c:v>
                </c:pt>
                <c:pt idx="23">
                  <c:v>Sri Lanka</c:v>
                </c:pt>
                <c:pt idx="24">
                  <c:v>Taiwan</c:v>
                </c:pt>
                <c:pt idx="25">
                  <c:v>Poland</c:v>
                </c:pt>
                <c:pt idx="26">
                  <c:v>Denmark</c:v>
                </c:pt>
                <c:pt idx="27">
                  <c:v>Finland</c:v>
                </c:pt>
                <c:pt idx="28">
                  <c:v>Thailand</c:v>
                </c:pt>
                <c:pt idx="29">
                  <c:v>Ukraine</c:v>
                </c:pt>
                <c:pt idx="30">
                  <c:v>South Africa</c:v>
                </c:pt>
                <c:pt idx="31">
                  <c:v>Panama</c:v>
                </c:pt>
              </c:strCache>
            </c:strRef>
          </c:cat>
          <c:val>
            <c:numRef>
              <c:f>'OI 2018'!$E$111:$E$142</c:f>
              <c:numCache>
                <c:formatCode>General</c:formatCode>
                <c:ptCount val="32"/>
                <c:pt idx="0">
                  <c:v>3851</c:v>
                </c:pt>
                <c:pt idx="1">
                  <c:v>291</c:v>
                </c:pt>
                <c:pt idx="2">
                  <c:v>384</c:v>
                </c:pt>
                <c:pt idx="3">
                  <c:v>79.8</c:v>
                </c:pt>
                <c:pt idx="4">
                  <c:v>422</c:v>
                </c:pt>
                <c:pt idx="5">
                  <c:v>702</c:v>
                </c:pt>
                <c:pt idx="6">
                  <c:v>47</c:v>
                </c:pt>
                <c:pt idx="7">
                  <c:v>255</c:v>
                </c:pt>
                <c:pt idx="8">
                  <c:v>108</c:v>
                </c:pt>
                <c:pt idx="9">
                  <c:v>306</c:v>
                </c:pt>
                <c:pt idx="10">
                  <c:v>1099</c:v>
                </c:pt>
                <c:pt idx="11">
                  <c:v>575.4</c:v>
                </c:pt>
                <c:pt idx="12">
                  <c:v>252</c:v>
                </c:pt>
                <c:pt idx="13">
                  <c:v>408</c:v>
                </c:pt>
                <c:pt idx="14">
                  <c:v>30</c:v>
                </c:pt>
                <c:pt idx="15">
                  <c:v>149</c:v>
                </c:pt>
                <c:pt idx="16">
                  <c:v>159</c:v>
                </c:pt>
                <c:pt idx="17">
                  <c:v>26</c:v>
                </c:pt>
                <c:pt idx="18">
                  <c:v>52</c:v>
                </c:pt>
                <c:pt idx="19">
                  <c:v>106</c:v>
                </c:pt>
                <c:pt idx="20">
                  <c:v>69</c:v>
                </c:pt>
                <c:pt idx="21">
                  <c:v>48</c:v>
                </c:pt>
                <c:pt idx="22">
                  <c:v>198</c:v>
                </c:pt>
                <c:pt idx="23">
                  <c:v>104</c:v>
                </c:pt>
                <c:pt idx="24">
                  <c:v>0</c:v>
                </c:pt>
                <c:pt idx="25">
                  <c:v>88</c:v>
                </c:pt>
                <c:pt idx="26">
                  <c:v>29</c:v>
                </c:pt>
                <c:pt idx="27">
                  <c:v>130</c:v>
                </c:pt>
                <c:pt idx="28">
                  <c:v>45</c:v>
                </c:pt>
                <c:pt idx="29">
                  <c:v>196</c:v>
                </c:pt>
                <c:pt idx="30">
                  <c:v>442</c:v>
                </c:pt>
                <c:pt idx="31">
                  <c:v>66</c:v>
                </c:pt>
              </c:numCache>
            </c:numRef>
          </c:val>
          <c:extLst>
            <c:ext xmlns:c16="http://schemas.microsoft.com/office/drawing/2014/chart" uri="{C3380CC4-5D6E-409C-BE32-E72D297353CC}">
              <c16:uniqueId val="{00000040-CCA3-4476-AE2A-BC436FF320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2018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4.3530405670084246E-2"/>
          <c:y val="0.12468272538174165"/>
          <c:w val="0.7987720083985772"/>
          <c:h val="0.85766941890659665"/>
        </c:manualLayout>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EA38-4989-9920-BB1F6545B9BA}"/>
              </c:ext>
            </c:extLst>
          </c:dPt>
          <c:dPt>
            <c:idx val="1"/>
            <c:bubble3D val="0"/>
            <c:spPr>
              <a:solidFill>
                <a:schemeClr val="accent2"/>
              </a:solidFill>
              <a:ln>
                <a:noFill/>
              </a:ln>
              <a:effectLst/>
            </c:spPr>
            <c:extLst>
              <c:ext xmlns:c16="http://schemas.microsoft.com/office/drawing/2014/chart" uri="{C3380CC4-5D6E-409C-BE32-E72D297353CC}">
                <c16:uniqueId val="{00000003-EA38-4989-9920-BB1F6545B9BA}"/>
              </c:ext>
            </c:extLst>
          </c:dPt>
          <c:dPt>
            <c:idx val="2"/>
            <c:bubble3D val="0"/>
            <c:spPr>
              <a:solidFill>
                <a:schemeClr val="accent3"/>
              </a:solidFill>
              <a:ln>
                <a:noFill/>
              </a:ln>
              <a:effectLst/>
            </c:spPr>
            <c:extLst>
              <c:ext xmlns:c16="http://schemas.microsoft.com/office/drawing/2014/chart" uri="{C3380CC4-5D6E-409C-BE32-E72D297353CC}">
                <c16:uniqueId val="{00000005-EA38-4989-9920-BB1F6545B9BA}"/>
              </c:ext>
            </c:extLst>
          </c:dPt>
          <c:dPt>
            <c:idx val="3"/>
            <c:bubble3D val="0"/>
            <c:spPr>
              <a:solidFill>
                <a:schemeClr val="accent4"/>
              </a:solidFill>
              <a:ln>
                <a:noFill/>
              </a:ln>
              <a:effectLst/>
            </c:spPr>
            <c:extLst>
              <c:ext xmlns:c16="http://schemas.microsoft.com/office/drawing/2014/chart" uri="{C3380CC4-5D6E-409C-BE32-E72D297353CC}">
                <c16:uniqueId val="{00000007-EA38-4989-9920-BB1F6545B9BA}"/>
              </c:ext>
            </c:extLst>
          </c:dPt>
          <c:dPt>
            <c:idx val="4"/>
            <c:bubble3D val="0"/>
            <c:spPr>
              <a:solidFill>
                <a:schemeClr val="accent5"/>
              </a:solidFill>
              <a:ln>
                <a:noFill/>
              </a:ln>
              <a:effectLst/>
            </c:spPr>
            <c:extLst>
              <c:ext xmlns:c16="http://schemas.microsoft.com/office/drawing/2014/chart" uri="{C3380CC4-5D6E-409C-BE32-E72D297353CC}">
                <c16:uniqueId val="{00000009-EA38-4989-9920-BB1F6545B9BA}"/>
              </c:ext>
            </c:extLst>
          </c:dPt>
          <c:dPt>
            <c:idx val="5"/>
            <c:bubble3D val="0"/>
            <c:spPr>
              <a:solidFill>
                <a:schemeClr val="accent6"/>
              </a:solidFill>
              <a:ln>
                <a:noFill/>
              </a:ln>
              <a:effectLst/>
            </c:spPr>
            <c:extLst>
              <c:ext xmlns:c16="http://schemas.microsoft.com/office/drawing/2014/chart" uri="{C3380CC4-5D6E-409C-BE32-E72D297353CC}">
                <c16:uniqueId val="{0000000B-EA38-4989-9920-BB1F6545B9B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EA38-4989-9920-BB1F6545B9B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EA38-4989-9920-BB1F6545B9B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EA38-4989-9920-BB1F6545B9B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EA38-4989-9920-BB1F6545B9B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EA38-4989-9920-BB1F6545B9B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EA38-4989-9920-BB1F6545B9B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EA38-4989-9920-BB1F6545B9B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EA38-4989-9920-BB1F6545B9B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EA38-4989-9920-BB1F6545B9B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EA38-4989-9920-BB1F6545B9B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EA38-4989-9920-BB1F6545B9B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EA38-4989-9920-BB1F6545B9BA}"/>
              </c:ext>
            </c:extLst>
          </c:dPt>
          <c:cat>
            <c:strRef>
              <c:f>'OI 2018'!$I$114:$I$131</c:f>
              <c:strCache>
                <c:ptCount val="18"/>
                <c:pt idx="0">
                  <c:v>V100-2.0MW</c:v>
                </c:pt>
                <c:pt idx="1">
                  <c:v>V110-2.0MW</c:v>
                </c:pt>
                <c:pt idx="2">
                  <c:v>V112-3.0MW</c:v>
                </c:pt>
                <c:pt idx="3">
                  <c:v>V112-3.45MW</c:v>
                </c:pt>
                <c:pt idx="4">
                  <c:v>V116-2.0MW</c:v>
                </c:pt>
                <c:pt idx="5">
                  <c:v>V117-3.45MW</c:v>
                </c:pt>
                <c:pt idx="6">
                  <c:v>V120-2.0MW</c:v>
                </c:pt>
                <c:pt idx="7">
                  <c:v>V120-2.2MW</c:v>
                </c:pt>
                <c:pt idx="8">
                  <c:v>V117-3.3MW</c:v>
                </c:pt>
                <c:pt idx="9">
                  <c:v>V117-4.2MW</c:v>
                </c:pt>
                <c:pt idx="10">
                  <c:v>V126-3.45MW</c:v>
                </c:pt>
                <c:pt idx="11">
                  <c:v>V126-3.6MW</c:v>
                </c:pt>
                <c:pt idx="12">
                  <c:v>V105-3.45MW</c:v>
                </c:pt>
                <c:pt idx="13">
                  <c:v>V110-2.2MW</c:v>
                </c:pt>
                <c:pt idx="14">
                  <c:v>V136-3.45MW</c:v>
                </c:pt>
                <c:pt idx="15">
                  <c:v>V136-3.6MW</c:v>
                </c:pt>
                <c:pt idx="16">
                  <c:v>V136-4.2MW</c:v>
                </c:pt>
                <c:pt idx="17">
                  <c:v>V150-4.2MW</c:v>
                </c:pt>
              </c:strCache>
            </c:strRef>
          </c:cat>
          <c:val>
            <c:numRef>
              <c:f>'OI 2018'!$L$114:$L$131</c:f>
              <c:numCache>
                <c:formatCode>0</c:formatCode>
                <c:ptCount val="18"/>
                <c:pt idx="0">
                  <c:v>141</c:v>
                </c:pt>
                <c:pt idx="1">
                  <c:v>360.09090909090912</c:v>
                </c:pt>
                <c:pt idx="2">
                  <c:v>19</c:v>
                </c:pt>
                <c:pt idx="3">
                  <c:v>22.95125164690382</c:v>
                </c:pt>
                <c:pt idx="4">
                  <c:v>216</c:v>
                </c:pt>
                <c:pt idx="5">
                  <c:v>178.15217391304347</c:v>
                </c:pt>
                <c:pt idx="6">
                  <c:v>195</c:v>
                </c:pt>
                <c:pt idx="7">
                  <c:v>264.72727272727275</c:v>
                </c:pt>
                <c:pt idx="8">
                  <c:v>10</c:v>
                </c:pt>
                <c:pt idx="9">
                  <c:v>31</c:v>
                </c:pt>
                <c:pt idx="10">
                  <c:v>230.11212814645307</c:v>
                </c:pt>
                <c:pt idx="11">
                  <c:v>31</c:v>
                </c:pt>
                <c:pt idx="12">
                  <c:v>0</c:v>
                </c:pt>
                <c:pt idx="13">
                  <c:v>183.18181818181816</c:v>
                </c:pt>
                <c:pt idx="14">
                  <c:v>717.71789982201881</c:v>
                </c:pt>
                <c:pt idx="15">
                  <c:v>103</c:v>
                </c:pt>
                <c:pt idx="16">
                  <c:v>406.8095238095238</c:v>
                </c:pt>
                <c:pt idx="17">
                  <c:v>267</c:v>
                </c:pt>
              </c:numCache>
            </c:numRef>
          </c:val>
          <c:extLst>
            <c:ext xmlns:c16="http://schemas.microsoft.com/office/drawing/2014/chart" uri="{C3380CC4-5D6E-409C-BE32-E72D297353CC}">
              <c16:uniqueId val="{00000024-EA38-4989-9920-BB1F6545B9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98-423F-998B-A85915F79B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98-423F-998B-A85915F79B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98-423F-998B-A85915F79B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98-423F-998B-A85915F79B8C}"/>
              </c:ext>
            </c:extLst>
          </c:dPt>
          <c:cat>
            <c:strRef>
              <c:f>'OI 2018'!$I$134:$I$137</c:f>
              <c:strCache>
                <c:ptCount val="4"/>
                <c:pt idx="0">
                  <c:v>1 qtr</c:v>
                </c:pt>
                <c:pt idx="1">
                  <c:v>2 qtr</c:v>
                </c:pt>
                <c:pt idx="2">
                  <c:v>3 qtr</c:v>
                </c:pt>
                <c:pt idx="3">
                  <c:v>4 qtr</c:v>
                </c:pt>
              </c:strCache>
            </c:strRef>
          </c:cat>
          <c:val>
            <c:numRef>
              <c:f>'OI 2018'!$L$134:$L$137</c:f>
              <c:numCache>
                <c:formatCode>General</c:formatCode>
                <c:ptCount val="4"/>
                <c:pt idx="0">
                  <c:v>1176</c:v>
                </c:pt>
                <c:pt idx="1">
                  <c:v>2695.2</c:v>
                </c:pt>
                <c:pt idx="2">
                  <c:v>2672</c:v>
                </c:pt>
                <c:pt idx="3">
                  <c:v>4174</c:v>
                </c:pt>
              </c:numCache>
            </c:numRef>
          </c:val>
          <c:extLst>
            <c:ext xmlns:c16="http://schemas.microsoft.com/office/drawing/2014/chart" uri="{C3380CC4-5D6E-409C-BE32-E72D297353CC}">
              <c16:uniqueId val="{00000008-2198-423F-998B-A85915F79B8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2017'!$I$112:$I$128</c:f>
              <c:strCache>
                <c:ptCount val="17"/>
                <c:pt idx="0">
                  <c:v>2MW</c:v>
                </c:pt>
                <c:pt idx="1">
                  <c:v>V100-2.0MW</c:v>
                </c:pt>
                <c:pt idx="2">
                  <c:v>V105-3.45MW</c:v>
                </c:pt>
                <c:pt idx="3">
                  <c:v>V110-2.0MW</c:v>
                </c:pt>
                <c:pt idx="4">
                  <c:v>V110-2.2MW</c:v>
                </c:pt>
                <c:pt idx="5">
                  <c:v>V112-3.3MW</c:v>
                </c:pt>
                <c:pt idx="6">
                  <c:v>V112-3.45MW</c:v>
                </c:pt>
                <c:pt idx="7">
                  <c:v>V116-2.0MW</c:v>
                </c:pt>
                <c:pt idx="8">
                  <c:v>V117-3.45MW</c:v>
                </c:pt>
                <c:pt idx="9">
                  <c:v>V126-3.3MW</c:v>
                </c:pt>
                <c:pt idx="10">
                  <c:v>V126-3.45MW</c:v>
                </c:pt>
                <c:pt idx="11">
                  <c:v>V126-3.6MW</c:v>
                </c:pt>
                <c:pt idx="12">
                  <c:v>V136-3.0MW</c:v>
                </c:pt>
                <c:pt idx="13">
                  <c:v>V136-3.45MW</c:v>
                </c:pt>
                <c:pt idx="14">
                  <c:v>V136-3.6MW</c:v>
                </c:pt>
                <c:pt idx="15">
                  <c:v>V136-4.2MW</c:v>
                </c:pt>
                <c:pt idx="16">
                  <c:v>4MW</c:v>
                </c:pt>
              </c:strCache>
            </c:strRef>
          </c:cat>
          <c:val>
            <c:numRef>
              <c:f>'OI 2017'!$L$112:$L$128</c:f>
              <c:numCache>
                <c:formatCode>0</c:formatCode>
                <c:ptCount val="17"/>
                <c:pt idx="0">
                  <c:v>175</c:v>
                </c:pt>
                <c:pt idx="1">
                  <c:v>72</c:v>
                </c:pt>
                <c:pt idx="2">
                  <c:v>31.714975845410628</c:v>
                </c:pt>
                <c:pt idx="3">
                  <c:v>1409.5</c:v>
                </c:pt>
                <c:pt idx="4">
                  <c:v>40.36363636363636</c:v>
                </c:pt>
                <c:pt idx="5">
                  <c:v>26.060606060606062</c:v>
                </c:pt>
                <c:pt idx="6">
                  <c:v>40.125603864734295</c:v>
                </c:pt>
                <c:pt idx="7">
                  <c:v>33</c:v>
                </c:pt>
                <c:pt idx="8">
                  <c:v>66.932367149758448</c:v>
                </c:pt>
                <c:pt idx="9">
                  <c:v>22.121212121212121</c:v>
                </c:pt>
                <c:pt idx="10">
                  <c:v>310.80676328502415</c:v>
                </c:pt>
                <c:pt idx="11">
                  <c:v>24.444444444444443</c:v>
                </c:pt>
                <c:pt idx="12">
                  <c:v>60</c:v>
                </c:pt>
                <c:pt idx="13">
                  <c:v>634.83409610983983</c:v>
                </c:pt>
                <c:pt idx="14">
                  <c:v>44.166666666666671</c:v>
                </c:pt>
                <c:pt idx="15">
                  <c:v>85</c:v>
                </c:pt>
                <c:pt idx="16">
                  <c:v>79.5</c:v>
                </c:pt>
              </c:numCache>
            </c:numRef>
          </c:val>
          <c:extLst>
            <c:ext xmlns:c16="http://schemas.microsoft.com/office/drawing/2014/chart" uri="{C3380CC4-5D6E-409C-BE32-E72D297353CC}">
              <c16:uniqueId val="{00000000-3ACD-4288-87E9-013779943639}"/>
            </c:ext>
          </c:extLst>
        </c:ser>
        <c:dLbls>
          <c:showLegendKey val="0"/>
          <c:showVal val="0"/>
          <c:showCatName val="0"/>
          <c:showSerName val="0"/>
          <c:showPercent val="0"/>
          <c:showBubbleSize val="0"/>
        </c:dLbls>
        <c:gapWidth val="219"/>
        <c:overlap val="-27"/>
        <c:axId val="241343112"/>
        <c:axId val="241343504"/>
      </c:barChart>
      <c:catAx>
        <c:axId val="241343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343504"/>
        <c:crosses val="autoZero"/>
        <c:auto val="1"/>
        <c:lblAlgn val="ctr"/>
        <c:lblOffset val="100"/>
        <c:noMultiLvlLbl val="0"/>
      </c:catAx>
      <c:valAx>
        <c:axId val="241343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343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a:t>
            </a:r>
            <a:r>
              <a:rPr lang="en-US" baseline="0"/>
              <a:t> contract horizon 2017</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2017'!$D$139</c:f>
              <c:strCache>
                <c:ptCount val="1"/>
                <c:pt idx="0">
                  <c:v>AOM4000</c:v>
                </c:pt>
              </c:strCache>
            </c:strRef>
          </c:tx>
          <c:spPr>
            <a:solidFill>
              <a:schemeClr val="accent1"/>
            </a:solidFill>
            <a:ln>
              <a:noFill/>
            </a:ln>
            <a:effectLst/>
          </c:spPr>
          <c:invertIfNegative val="0"/>
          <c:cat>
            <c:strRef>
              <c:f>'OI 2017'!$C$140:$C$144</c:f>
              <c:strCache>
                <c:ptCount val="5"/>
                <c:pt idx="0">
                  <c:v>0-5</c:v>
                </c:pt>
                <c:pt idx="1">
                  <c:v>5-10</c:v>
                </c:pt>
                <c:pt idx="2">
                  <c:v>10-15</c:v>
                </c:pt>
                <c:pt idx="3">
                  <c:v>15-20</c:v>
                </c:pt>
                <c:pt idx="4">
                  <c:v>20+</c:v>
                </c:pt>
              </c:strCache>
            </c:strRef>
          </c:cat>
          <c:val>
            <c:numRef>
              <c:f>'OI 2017'!$D$140:$D$144</c:f>
              <c:numCache>
                <c:formatCode>General</c:formatCode>
                <c:ptCount val="5"/>
                <c:pt idx="0">
                  <c:v>297</c:v>
                </c:pt>
                <c:pt idx="1">
                  <c:v>447</c:v>
                </c:pt>
                <c:pt idx="2">
                  <c:v>310</c:v>
                </c:pt>
                <c:pt idx="3">
                  <c:v>255</c:v>
                </c:pt>
                <c:pt idx="4">
                  <c:v>54</c:v>
                </c:pt>
              </c:numCache>
            </c:numRef>
          </c:val>
          <c:extLst>
            <c:ext xmlns:c16="http://schemas.microsoft.com/office/drawing/2014/chart" uri="{C3380CC4-5D6E-409C-BE32-E72D297353CC}">
              <c16:uniqueId val="{00000000-3E3C-45A7-AF46-E7C2A4A7E60D}"/>
            </c:ext>
          </c:extLst>
        </c:ser>
        <c:ser>
          <c:idx val="1"/>
          <c:order val="1"/>
          <c:tx>
            <c:strRef>
              <c:f>'OI 2017'!$E$139</c:f>
              <c:strCache>
                <c:ptCount val="1"/>
                <c:pt idx="0">
                  <c:v>AOM5000</c:v>
                </c:pt>
              </c:strCache>
            </c:strRef>
          </c:tx>
          <c:spPr>
            <a:solidFill>
              <a:schemeClr val="accent2"/>
            </a:solidFill>
            <a:ln>
              <a:noFill/>
            </a:ln>
            <a:effectLst/>
          </c:spPr>
          <c:invertIfNegative val="0"/>
          <c:cat>
            <c:strRef>
              <c:f>'OI 2017'!$C$140:$C$144</c:f>
              <c:strCache>
                <c:ptCount val="5"/>
                <c:pt idx="0">
                  <c:v>0-5</c:v>
                </c:pt>
                <c:pt idx="1">
                  <c:v>5-10</c:v>
                </c:pt>
                <c:pt idx="2">
                  <c:v>10-15</c:v>
                </c:pt>
                <c:pt idx="3">
                  <c:v>15-20</c:v>
                </c:pt>
                <c:pt idx="4">
                  <c:v>20+</c:v>
                </c:pt>
              </c:strCache>
            </c:strRef>
          </c:cat>
          <c:val>
            <c:numRef>
              <c:f>'OI 2017'!$E$140:$E$144</c:f>
              <c:numCache>
                <c:formatCode>General</c:formatCode>
                <c:ptCount val="5"/>
                <c:pt idx="0">
                  <c:v>726</c:v>
                </c:pt>
                <c:pt idx="1">
                  <c:v>765</c:v>
                </c:pt>
                <c:pt idx="2">
                  <c:v>966</c:v>
                </c:pt>
                <c:pt idx="3">
                  <c:v>1236</c:v>
                </c:pt>
                <c:pt idx="4">
                  <c:v>49</c:v>
                </c:pt>
              </c:numCache>
            </c:numRef>
          </c:val>
          <c:extLst>
            <c:ext xmlns:c16="http://schemas.microsoft.com/office/drawing/2014/chart" uri="{C3380CC4-5D6E-409C-BE32-E72D297353CC}">
              <c16:uniqueId val="{00000001-3E3C-45A7-AF46-E7C2A4A7E60D}"/>
            </c:ext>
          </c:extLst>
        </c:ser>
        <c:dLbls>
          <c:showLegendKey val="0"/>
          <c:showVal val="0"/>
          <c:showCatName val="0"/>
          <c:showSerName val="0"/>
          <c:showPercent val="0"/>
          <c:showBubbleSize val="0"/>
        </c:dLbls>
        <c:gapWidth val="219"/>
        <c:overlap val="-27"/>
        <c:axId val="241946880"/>
        <c:axId val="241947272"/>
      </c:barChart>
      <c:catAx>
        <c:axId val="24194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947272"/>
        <c:crosses val="autoZero"/>
        <c:auto val="1"/>
        <c:lblAlgn val="ctr"/>
        <c:lblOffset val="100"/>
        <c:noMultiLvlLbl val="0"/>
      </c:catAx>
      <c:valAx>
        <c:axId val="241947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946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03-4A00-9FD8-BB83C8553C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03-4A00-9FD8-BB83C8553C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03-4A00-9FD8-BB83C8553C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03-4A00-9FD8-BB83C8553C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03-4A00-9FD8-BB83C8553CE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D03-4A00-9FD8-BB83C8553CE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D03-4A00-9FD8-BB83C8553CE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D03-4A00-9FD8-BB83C8553CE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D03-4A00-9FD8-BB83C8553CE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D03-4A00-9FD8-BB83C8553CE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D03-4A00-9FD8-BB83C8553CE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D03-4A00-9FD8-BB83C8553CE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D03-4A00-9FD8-BB83C8553CE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D03-4A00-9FD8-BB83C8553CE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D03-4A00-9FD8-BB83C8553CE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D03-4A00-9FD8-BB83C8553CE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D03-4A00-9FD8-BB83C8553CE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9D03-4A00-9FD8-BB83C8553CE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9D03-4A00-9FD8-BB83C8553CE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9D03-4A00-9FD8-BB83C8553CE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9D03-4A00-9FD8-BB83C8553CE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9D03-4A00-9FD8-BB83C8553CE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9D03-4A00-9FD8-BB83C8553CE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9D03-4A00-9FD8-BB83C8553CE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9D03-4A00-9FD8-BB83C8553CE2}"/>
              </c:ext>
            </c:extLst>
          </c:dPt>
          <c:cat>
            <c:strRef>
              <c:f>'OI 2017'!$C$111:$C$135</c:f>
              <c:strCache>
                <c:ptCount val="25"/>
                <c:pt idx="0">
                  <c:v>United states</c:v>
                </c:pt>
                <c:pt idx="1">
                  <c:v>China</c:v>
                </c:pt>
                <c:pt idx="2">
                  <c:v>Argentina</c:v>
                </c:pt>
                <c:pt idx="3">
                  <c:v>Germany</c:v>
                </c:pt>
                <c:pt idx="4">
                  <c:v>India</c:v>
                </c:pt>
                <c:pt idx="5">
                  <c:v>Sweden</c:v>
                </c:pt>
                <c:pt idx="6">
                  <c:v>Austria</c:v>
                </c:pt>
                <c:pt idx="7">
                  <c:v>Italy</c:v>
                </c:pt>
                <c:pt idx="8">
                  <c:v>Greece</c:v>
                </c:pt>
                <c:pt idx="9">
                  <c:v>Mexico</c:v>
                </c:pt>
                <c:pt idx="10">
                  <c:v>Australia</c:v>
                </c:pt>
                <c:pt idx="11">
                  <c:v>Norway</c:v>
                </c:pt>
                <c:pt idx="12">
                  <c:v>Brazil</c:v>
                </c:pt>
                <c:pt idx="13">
                  <c:v>Canada</c:v>
                </c:pt>
                <c:pt idx="14">
                  <c:v>Chile</c:v>
                </c:pt>
                <c:pt idx="15">
                  <c:v>Den Dominikanske Republik</c:v>
                </c:pt>
                <c:pt idx="16">
                  <c:v>Holland</c:v>
                </c:pt>
                <c:pt idx="17">
                  <c:v>Irland</c:v>
                </c:pt>
                <c:pt idx="18">
                  <c:v>Mongoliet</c:v>
                </c:pt>
                <c:pt idx="19">
                  <c:v>Russia</c:v>
                </c:pt>
                <c:pt idx="20">
                  <c:v>South Korea</c:v>
                </c:pt>
                <c:pt idx="21">
                  <c:v>Spanien</c:v>
                </c:pt>
                <c:pt idx="22">
                  <c:v>Thailand</c:v>
                </c:pt>
                <c:pt idx="23">
                  <c:v>Ukraine</c:v>
                </c:pt>
                <c:pt idx="24">
                  <c:v>Wales</c:v>
                </c:pt>
              </c:strCache>
            </c:strRef>
          </c:cat>
          <c:val>
            <c:numRef>
              <c:f>'OI 2017'!$E$111:$E$135</c:f>
              <c:numCache>
                <c:formatCode>General</c:formatCode>
                <c:ptCount val="25"/>
                <c:pt idx="0">
                  <c:v>2916</c:v>
                </c:pt>
                <c:pt idx="1">
                  <c:v>758</c:v>
                </c:pt>
                <c:pt idx="2">
                  <c:v>582</c:v>
                </c:pt>
                <c:pt idx="3">
                  <c:v>219</c:v>
                </c:pt>
                <c:pt idx="4">
                  <c:v>566</c:v>
                </c:pt>
                <c:pt idx="5">
                  <c:v>1088</c:v>
                </c:pt>
                <c:pt idx="6">
                  <c:v>111</c:v>
                </c:pt>
                <c:pt idx="7">
                  <c:v>169</c:v>
                </c:pt>
                <c:pt idx="8">
                  <c:v>166</c:v>
                </c:pt>
                <c:pt idx="9">
                  <c:v>635</c:v>
                </c:pt>
                <c:pt idx="10">
                  <c:v>97</c:v>
                </c:pt>
                <c:pt idx="11">
                  <c:v>104</c:v>
                </c:pt>
                <c:pt idx="12">
                  <c:v>53</c:v>
                </c:pt>
                <c:pt idx="13">
                  <c:v>300</c:v>
                </c:pt>
                <c:pt idx="14">
                  <c:v>32</c:v>
                </c:pt>
                <c:pt idx="15">
                  <c:v>48</c:v>
                </c:pt>
                <c:pt idx="16">
                  <c:v>22</c:v>
                </c:pt>
                <c:pt idx="17">
                  <c:v>14</c:v>
                </c:pt>
                <c:pt idx="18">
                  <c:v>55</c:v>
                </c:pt>
                <c:pt idx="19">
                  <c:v>50</c:v>
                </c:pt>
                <c:pt idx="20">
                  <c:v>21</c:v>
                </c:pt>
                <c:pt idx="21">
                  <c:v>86</c:v>
                </c:pt>
                <c:pt idx="22">
                  <c:v>180</c:v>
                </c:pt>
                <c:pt idx="23">
                  <c:v>41</c:v>
                </c:pt>
                <c:pt idx="24">
                  <c:v>96</c:v>
                </c:pt>
              </c:numCache>
            </c:numRef>
          </c:val>
          <c:extLst>
            <c:ext xmlns:c16="http://schemas.microsoft.com/office/drawing/2014/chart" uri="{C3380CC4-5D6E-409C-BE32-E72D297353CC}">
              <c16:uniqueId val="{00000032-9D03-4A00-9FD8-BB83C8553CE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2017'!$D$148</c:f>
              <c:strCache>
                <c:ptCount val="1"/>
                <c:pt idx="0">
                  <c:v>2017</c:v>
                </c:pt>
              </c:strCache>
            </c:strRef>
          </c:tx>
          <c:spPr>
            <a:solidFill>
              <a:schemeClr val="accent1"/>
            </a:solidFill>
            <a:ln>
              <a:noFill/>
            </a:ln>
            <a:effectLst/>
          </c:spPr>
          <c:invertIfNegative val="0"/>
          <c:cat>
            <c:strRef>
              <c:f>'OI 2017'!$C$149:$C$152</c:f>
              <c:strCache>
                <c:ptCount val="4"/>
                <c:pt idx="0">
                  <c:v>AOM 2000</c:v>
                </c:pt>
                <c:pt idx="1">
                  <c:v>AOM3000</c:v>
                </c:pt>
                <c:pt idx="2">
                  <c:v>AOM4000</c:v>
                </c:pt>
                <c:pt idx="3">
                  <c:v>AOM5000</c:v>
                </c:pt>
              </c:strCache>
            </c:strRef>
          </c:cat>
          <c:val>
            <c:numRef>
              <c:f>'OI 2017'!$D$149:$D$152</c:f>
              <c:numCache>
                <c:formatCode>General</c:formatCode>
                <c:ptCount val="4"/>
                <c:pt idx="0">
                  <c:v>1.3</c:v>
                </c:pt>
                <c:pt idx="1">
                  <c:v>3.4</c:v>
                </c:pt>
                <c:pt idx="2">
                  <c:v>33.700000000000003</c:v>
                </c:pt>
                <c:pt idx="3">
                  <c:v>61.6</c:v>
                </c:pt>
              </c:numCache>
            </c:numRef>
          </c:val>
          <c:extLst>
            <c:ext xmlns:c16="http://schemas.microsoft.com/office/drawing/2014/chart" uri="{C3380CC4-5D6E-409C-BE32-E72D297353CC}">
              <c16:uniqueId val="{00000000-9D45-4807-AFD2-8D09B09B083E}"/>
            </c:ext>
          </c:extLst>
        </c:ser>
        <c:ser>
          <c:idx val="1"/>
          <c:order val="1"/>
          <c:tx>
            <c:strRef>
              <c:f>'OI 2017'!$E$148</c:f>
              <c:strCache>
                <c:ptCount val="1"/>
                <c:pt idx="0">
                  <c:v>2016</c:v>
                </c:pt>
              </c:strCache>
            </c:strRef>
          </c:tx>
          <c:spPr>
            <a:solidFill>
              <a:schemeClr val="accent2"/>
            </a:solidFill>
            <a:ln>
              <a:noFill/>
            </a:ln>
            <a:effectLst/>
          </c:spPr>
          <c:invertIfNegative val="0"/>
          <c:cat>
            <c:strRef>
              <c:f>'OI 2017'!$C$149:$C$152</c:f>
              <c:strCache>
                <c:ptCount val="4"/>
                <c:pt idx="0">
                  <c:v>AOM 2000</c:v>
                </c:pt>
                <c:pt idx="1">
                  <c:v>AOM3000</c:v>
                </c:pt>
                <c:pt idx="2">
                  <c:v>AOM4000</c:v>
                </c:pt>
                <c:pt idx="3">
                  <c:v>AOM5000</c:v>
                </c:pt>
              </c:strCache>
            </c:strRef>
          </c:cat>
          <c:val>
            <c:numRef>
              <c:f>'OI 2017'!$E$149:$E$152</c:f>
              <c:numCache>
                <c:formatCode>General</c:formatCode>
                <c:ptCount val="4"/>
                <c:pt idx="0">
                  <c:v>2.7</c:v>
                </c:pt>
                <c:pt idx="1">
                  <c:v>4.2</c:v>
                </c:pt>
                <c:pt idx="2">
                  <c:v>47</c:v>
                </c:pt>
                <c:pt idx="3">
                  <c:v>46.1</c:v>
                </c:pt>
              </c:numCache>
            </c:numRef>
          </c:val>
          <c:extLst>
            <c:ext xmlns:c16="http://schemas.microsoft.com/office/drawing/2014/chart" uri="{C3380CC4-5D6E-409C-BE32-E72D297353CC}">
              <c16:uniqueId val="{00000001-9D45-4807-AFD2-8D09B09B083E}"/>
            </c:ext>
          </c:extLst>
        </c:ser>
        <c:ser>
          <c:idx val="2"/>
          <c:order val="2"/>
          <c:tx>
            <c:strRef>
              <c:f>'OI 2017'!$F$148</c:f>
              <c:strCache>
                <c:ptCount val="1"/>
                <c:pt idx="0">
                  <c:v>2015</c:v>
                </c:pt>
              </c:strCache>
            </c:strRef>
          </c:tx>
          <c:spPr>
            <a:solidFill>
              <a:schemeClr val="accent3"/>
            </a:solidFill>
            <a:ln>
              <a:noFill/>
            </a:ln>
            <a:effectLst/>
          </c:spPr>
          <c:invertIfNegative val="0"/>
          <c:cat>
            <c:strRef>
              <c:f>'OI 2017'!$C$149:$C$152</c:f>
              <c:strCache>
                <c:ptCount val="4"/>
                <c:pt idx="0">
                  <c:v>AOM 2000</c:v>
                </c:pt>
                <c:pt idx="1">
                  <c:v>AOM3000</c:v>
                </c:pt>
                <c:pt idx="2">
                  <c:v>AOM4000</c:v>
                </c:pt>
                <c:pt idx="3">
                  <c:v>AOM5000</c:v>
                </c:pt>
              </c:strCache>
            </c:strRef>
          </c:cat>
          <c:val>
            <c:numRef>
              <c:f>'OI 2017'!$F$149:$F$152</c:f>
              <c:numCache>
                <c:formatCode>General</c:formatCode>
                <c:ptCount val="4"/>
                <c:pt idx="0">
                  <c:v>4.3</c:v>
                </c:pt>
                <c:pt idx="1">
                  <c:v>6.4</c:v>
                </c:pt>
                <c:pt idx="2">
                  <c:v>42.3</c:v>
                </c:pt>
                <c:pt idx="3">
                  <c:v>47</c:v>
                </c:pt>
              </c:numCache>
            </c:numRef>
          </c:val>
          <c:extLst>
            <c:ext xmlns:c16="http://schemas.microsoft.com/office/drawing/2014/chart" uri="{C3380CC4-5D6E-409C-BE32-E72D297353CC}">
              <c16:uniqueId val="{00000002-9D45-4807-AFD2-8D09B09B083E}"/>
            </c:ext>
          </c:extLst>
        </c:ser>
        <c:ser>
          <c:idx val="3"/>
          <c:order val="3"/>
          <c:tx>
            <c:strRef>
              <c:f>'OI 2017'!$G$148</c:f>
              <c:strCache>
                <c:ptCount val="1"/>
                <c:pt idx="0">
                  <c:v>2014</c:v>
                </c:pt>
              </c:strCache>
            </c:strRef>
          </c:tx>
          <c:spPr>
            <a:solidFill>
              <a:schemeClr val="accent4"/>
            </a:solidFill>
            <a:ln>
              <a:noFill/>
            </a:ln>
            <a:effectLst/>
          </c:spPr>
          <c:invertIfNegative val="0"/>
          <c:cat>
            <c:strRef>
              <c:f>'OI 2017'!$C$149:$C$152</c:f>
              <c:strCache>
                <c:ptCount val="4"/>
                <c:pt idx="0">
                  <c:v>AOM 2000</c:v>
                </c:pt>
                <c:pt idx="1">
                  <c:v>AOM3000</c:v>
                </c:pt>
                <c:pt idx="2">
                  <c:v>AOM4000</c:v>
                </c:pt>
                <c:pt idx="3">
                  <c:v>AOM5000</c:v>
                </c:pt>
              </c:strCache>
            </c:strRef>
          </c:cat>
          <c:val>
            <c:numRef>
              <c:f>'OI 2017'!$G$149:$G$152</c:f>
              <c:numCache>
                <c:formatCode>General</c:formatCode>
                <c:ptCount val="4"/>
                <c:pt idx="0">
                  <c:v>0.2</c:v>
                </c:pt>
                <c:pt idx="1">
                  <c:v>1.3</c:v>
                </c:pt>
                <c:pt idx="2">
                  <c:v>40.9</c:v>
                </c:pt>
                <c:pt idx="3">
                  <c:v>57.6</c:v>
                </c:pt>
              </c:numCache>
            </c:numRef>
          </c:val>
          <c:extLst>
            <c:ext xmlns:c16="http://schemas.microsoft.com/office/drawing/2014/chart" uri="{C3380CC4-5D6E-409C-BE32-E72D297353CC}">
              <c16:uniqueId val="{00000003-9D45-4807-AFD2-8D09B09B083E}"/>
            </c:ext>
          </c:extLst>
        </c:ser>
        <c:dLbls>
          <c:showLegendKey val="0"/>
          <c:showVal val="0"/>
          <c:showCatName val="0"/>
          <c:showSerName val="0"/>
          <c:showPercent val="0"/>
          <c:showBubbleSize val="0"/>
        </c:dLbls>
        <c:gapWidth val="219"/>
        <c:overlap val="-27"/>
        <c:axId val="241948448"/>
        <c:axId val="241948840"/>
      </c:barChart>
      <c:catAx>
        <c:axId val="24194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948840"/>
        <c:crosses val="autoZero"/>
        <c:auto val="1"/>
        <c:lblAlgn val="ctr"/>
        <c:lblOffset val="100"/>
        <c:noMultiLvlLbl val="0"/>
      </c:catAx>
      <c:valAx>
        <c:axId val="241948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94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0D-4B6D-A4EE-B80365837C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0D-4B6D-A4EE-B80365837C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0D-4B6D-A4EE-B80365837C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0D-4B6D-A4EE-B80365837C87}"/>
              </c:ext>
            </c:extLst>
          </c:dPt>
          <c:cat>
            <c:strRef>
              <c:f>'OI 2017'!$I$131:$I$134</c:f>
              <c:strCache>
                <c:ptCount val="4"/>
                <c:pt idx="0">
                  <c:v>1 qtr</c:v>
                </c:pt>
                <c:pt idx="1">
                  <c:v>2 qtr</c:v>
                </c:pt>
                <c:pt idx="2">
                  <c:v>3 qtr</c:v>
                </c:pt>
                <c:pt idx="3">
                  <c:v>4 qtr</c:v>
                </c:pt>
              </c:strCache>
            </c:strRef>
          </c:cat>
          <c:val>
            <c:numRef>
              <c:f>'OI 2017'!$L$131:$L$134</c:f>
              <c:numCache>
                <c:formatCode>General</c:formatCode>
                <c:ptCount val="4"/>
                <c:pt idx="0">
                  <c:v>1353</c:v>
                </c:pt>
                <c:pt idx="1">
                  <c:v>1956</c:v>
                </c:pt>
                <c:pt idx="2">
                  <c:v>1739</c:v>
                </c:pt>
                <c:pt idx="3">
                  <c:v>3361</c:v>
                </c:pt>
              </c:numCache>
            </c:numRef>
          </c:val>
          <c:extLst>
            <c:ext xmlns:c16="http://schemas.microsoft.com/office/drawing/2014/chart" uri="{C3380CC4-5D6E-409C-BE32-E72D297353CC}">
              <c16:uniqueId val="{00000008-2C0D-4B6D-A4EE-B80365837C8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Ordered 2016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2016'!$I$87:$I$99</c:f>
              <c:strCache>
                <c:ptCount val="13"/>
                <c:pt idx="0">
                  <c:v>2MW</c:v>
                </c:pt>
                <c:pt idx="1">
                  <c:v>3MW</c:v>
                </c:pt>
                <c:pt idx="2">
                  <c:v>V90-3.0MW</c:v>
                </c:pt>
                <c:pt idx="3">
                  <c:v>V100-1.8MW</c:v>
                </c:pt>
                <c:pt idx="4">
                  <c:v>V100-2.0MW</c:v>
                </c:pt>
                <c:pt idx="5">
                  <c:v>V105-3.45MW</c:v>
                </c:pt>
                <c:pt idx="6">
                  <c:v>V110-2.0MW</c:v>
                </c:pt>
                <c:pt idx="7">
                  <c:v>V112-3.3MW</c:v>
                </c:pt>
                <c:pt idx="8">
                  <c:v>V112-3.45MW</c:v>
                </c:pt>
                <c:pt idx="9">
                  <c:v>V117-3.3MW</c:v>
                </c:pt>
                <c:pt idx="10">
                  <c:v>V117-3.45MW</c:v>
                </c:pt>
                <c:pt idx="11">
                  <c:v>V126-3.3MW</c:v>
                </c:pt>
                <c:pt idx="12">
                  <c:v>V126-3.45MW</c:v>
                </c:pt>
              </c:strCache>
            </c:strRef>
          </c:cat>
          <c:val>
            <c:numRef>
              <c:f>'OI 2016'!$L$87:$L$99</c:f>
              <c:numCache>
                <c:formatCode>0</c:formatCode>
                <c:ptCount val="13"/>
                <c:pt idx="0">
                  <c:v>184.6</c:v>
                </c:pt>
                <c:pt idx="1">
                  <c:v>26</c:v>
                </c:pt>
                <c:pt idx="2">
                  <c:v>40</c:v>
                </c:pt>
                <c:pt idx="3">
                  <c:v>15</c:v>
                </c:pt>
                <c:pt idx="4">
                  <c:v>104</c:v>
                </c:pt>
                <c:pt idx="5">
                  <c:v>8.9855072463768106</c:v>
                </c:pt>
                <c:pt idx="6">
                  <c:v>1354.3636363636363</c:v>
                </c:pt>
                <c:pt idx="7">
                  <c:v>34.848484848484851</c:v>
                </c:pt>
                <c:pt idx="8">
                  <c:v>164.15942028985506</c:v>
                </c:pt>
                <c:pt idx="9">
                  <c:v>53.939393939393945</c:v>
                </c:pt>
                <c:pt idx="10">
                  <c:v>398.97101449275362</c:v>
                </c:pt>
                <c:pt idx="11">
                  <c:v>58.787878787878796</c:v>
                </c:pt>
                <c:pt idx="12">
                  <c:v>350.91787439613523</c:v>
                </c:pt>
              </c:numCache>
            </c:numRef>
          </c:val>
          <c:extLst>
            <c:ext xmlns:c16="http://schemas.microsoft.com/office/drawing/2014/chart" uri="{C3380CC4-5D6E-409C-BE32-E72D297353CC}">
              <c16:uniqueId val="{00000000-3FD7-4778-B0A8-41FC1CEFA075}"/>
            </c:ext>
          </c:extLst>
        </c:ser>
        <c:dLbls>
          <c:showLegendKey val="0"/>
          <c:showVal val="0"/>
          <c:showCatName val="0"/>
          <c:showSerName val="0"/>
          <c:showPercent val="0"/>
          <c:showBubbleSize val="0"/>
        </c:dLbls>
        <c:gapWidth val="219"/>
        <c:overlap val="-27"/>
        <c:axId val="241950016"/>
        <c:axId val="242829632"/>
      </c:barChart>
      <c:catAx>
        <c:axId val="24195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829632"/>
        <c:crosses val="autoZero"/>
        <c:auto val="1"/>
        <c:lblAlgn val="ctr"/>
        <c:lblOffset val="100"/>
        <c:noMultiLvlLbl val="0"/>
      </c:catAx>
      <c:valAx>
        <c:axId val="2428296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1950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 time horizon - 2016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2016'!$D$115</c:f>
              <c:strCache>
                <c:ptCount val="1"/>
                <c:pt idx="0">
                  <c:v>AOM4000</c:v>
                </c:pt>
              </c:strCache>
            </c:strRef>
          </c:tx>
          <c:spPr>
            <a:solidFill>
              <a:schemeClr val="accent1"/>
            </a:solidFill>
            <a:ln>
              <a:noFill/>
            </a:ln>
            <a:effectLst/>
          </c:spPr>
          <c:invertIfNegative val="0"/>
          <c:cat>
            <c:strRef>
              <c:f>'OI 2016'!$C$116:$C$121</c:f>
              <c:strCache>
                <c:ptCount val="6"/>
                <c:pt idx="0">
                  <c:v>0-5</c:v>
                </c:pt>
                <c:pt idx="1">
                  <c:v>5-10</c:v>
                </c:pt>
                <c:pt idx="2">
                  <c:v>10-15</c:v>
                </c:pt>
                <c:pt idx="3">
                  <c:v>15-20</c:v>
                </c:pt>
                <c:pt idx="4">
                  <c:v>20+</c:v>
                </c:pt>
                <c:pt idx="5">
                  <c:v>no info</c:v>
                </c:pt>
              </c:strCache>
            </c:strRef>
          </c:cat>
          <c:val>
            <c:numRef>
              <c:f>'OI 2016'!$D$116:$D$121</c:f>
              <c:numCache>
                <c:formatCode>General</c:formatCode>
                <c:ptCount val="6"/>
                <c:pt idx="0">
                  <c:v>438</c:v>
                </c:pt>
                <c:pt idx="1">
                  <c:v>521</c:v>
                </c:pt>
                <c:pt idx="2">
                  <c:v>323</c:v>
                </c:pt>
                <c:pt idx="3">
                  <c:v>536</c:v>
                </c:pt>
                <c:pt idx="4">
                  <c:v>0</c:v>
                </c:pt>
                <c:pt idx="5">
                  <c:v>31</c:v>
                </c:pt>
              </c:numCache>
            </c:numRef>
          </c:val>
          <c:extLst>
            <c:ext xmlns:c16="http://schemas.microsoft.com/office/drawing/2014/chart" uri="{C3380CC4-5D6E-409C-BE32-E72D297353CC}">
              <c16:uniqueId val="{00000000-0C69-4E78-BAE8-6BE3F4DFBCAB}"/>
            </c:ext>
          </c:extLst>
        </c:ser>
        <c:ser>
          <c:idx val="1"/>
          <c:order val="1"/>
          <c:tx>
            <c:strRef>
              <c:f>'OI 2016'!$E$115</c:f>
              <c:strCache>
                <c:ptCount val="1"/>
                <c:pt idx="0">
                  <c:v>AOM5000</c:v>
                </c:pt>
              </c:strCache>
            </c:strRef>
          </c:tx>
          <c:spPr>
            <a:solidFill>
              <a:schemeClr val="accent2"/>
            </a:solidFill>
            <a:ln>
              <a:noFill/>
            </a:ln>
            <a:effectLst/>
          </c:spPr>
          <c:invertIfNegative val="0"/>
          <c:cat>
            <c:strRef>
              <c:f>'OI 2016'!$C$116:$C$121</c:f>
              <c:strCache>
                <c:ptCount val="6"/>
                <c:pt idx="0">
                  <c:v>0-5</c:v>
                </c:pt>
                <c:pt idx="1">
                  <c:v>5-10</c:v>
                </c:pt>
                <c:pt idx="2">
                  <c:v>10-15</c:v>
                </c:pt>
                <c:pt idx="3">
                  <c:v>15-20</c:v>
                </c:pt>
                <c:pt idx="4">
                  <c:v>20+</c:v>
                </c:pt>
                <c:pt idx="5">
                  <c:v>no info</c:v>
                </c:pt>
              </c:strCache>
            </c:strRef>
          </c:cat>
          <c:val>
            <c:numRef>
              <c:f>'OI 2016'!$E$116:$E$121</c:f>
              <c:numCache>
                <c:formatCode>General</c:formatCode>
                <c:ptCount val="6"/>
                <c:pt idx="0">
                  <c:v>1880</c:v>
                </c:pt>
                <c:pt idx="1">
                  <c:v>365</c:v>
                </c:pt>
                <c:pt idx="2">
                  <c:v>351</c:v>
                </c:pt>
                <c:pt idx="3">
                  <c:v>172</c:v>
                </c:pt>
                <c:pt idx="4">
                  <c:v>0</c:v>
                </c:pt>
                <c:pt idx="5">
                  <c:v>422</c:v>
                </c:pt>
              </c:numCache>
            </c:numRef>
          </c:val>
          <c:extLst>
            <c:ext xmlns:c16="http://schemas.microsoft.com/office/drawing/2014/chart" uri="{C3380CC4-5D6E-409C-BE32-E72D297353CC}">
              <c16:uniqueId val="{00000001-0C69-4E78-BAE8-6BE3F4DFBCAB}"/>
            </c:ext>
          </c:extLst>
        </c:ser>
        <c:dLbls>
          <c:showLegendKey val="0"/>
          <c:showVal val="0"/>
          <c:showCatName val="0"/>
          <c:showSerName val="0"/>
          <c:showPercent val="0"/>
          <c:showBubbleSize val="0"/>
        </c:dLbls>
        <c:gapWidth val="219"/>
        <c:overlap val="-27"/>
        <c:axId val="242830416"/>
        <c:axId val="242830808"/>
      </c:barChart>
      <c:catAx>
        <c:axId val="24283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830808"/>
        <c:crosses val="autoZero"/>
        <c:auto val="1"/>
        <c:lblAlgn val="ctr"/>
        <c:lblOffset val="100"/>
        <c:noMultiLvlLbl val="0"/>
      </c:catAx>
      <c:valAx>
        <c:axId val="242830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830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D4-4A67-AED9-AB49EEBD7D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D4-4A67-AED9-AB49EEBD7D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D4-4A67-AED9-AB49EEBD7D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D4-4A67-AED9-AB49EEBD7D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1D4-4A67-AED9-AB49EEBD7DE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1D4-4A67-AED9-AB49EEBD7DE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1D4-4A67-AED9-AB49EEBD7DE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1D4-4A67-AED9-AB49EEBD7DE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1D4-4A67-AED9-AB49EEBD7DE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1D4-4A67-AED9-AB49EEBD7DE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1D4-4A67-AED9-AB49EEBD7DE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1D4-4A67-AED9-AB49EEBD7DE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1D4-4A67-AED9-AB49EEBD7DE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1D4-4A67-AED9-AB49EEBD7DE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1D4-4A67-AED9-AB49EEBD7DE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1D4-4A67-AED9-AB49EEBD7DE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1D4-4A67-AED9-AB49EEBD7DE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1D4-4A67-AED9-AB49EEBD7DE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1D4-4A67-AED9-AB49EEBD7DE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1D4-4A67-AED9-AB49EEBD7DE9}"/>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21D4-4A67-AED9-AB49EEBD7DE9}"/>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21D4-4A67-AED9-AB49EEBD7DE9}"/>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21D4-4A67-AED9-AB49EEBD7DE9}"/>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21D4-4A67-AED9-AB49EEBD7DE9}"/>
              </c:ext>
            </c:extLst>
          </c:dPt>
          <c:cat>
            <c:strRef>
              <c:f>'OI 2016'!$C$86:$C$109</c:f>
              <c:strCache>
                <c:ptCount val="24"/>
                <c:pt idx="0">
                  <c:v>USA</c:v>
                </c:pt>
                <c:pt idx="1">
                  <c:v>China</c:v>
                </c:pt>
                <c:pt idx="2">
                  <c:v>Sweden</c:v>
                </c:pt>
                <c:pt idx="3">
                  <c:v>Brazil</c:v>
                </c:pt>
                <c:pt idx="4">
                  <c:v>Germany</c:v>
                </c:pt>
                <c:pt idx="5">
                  <c:v>Australia</c:v>
                </c:pt>
                <c:pt idx="6">
                  <c:v>Norway</c:v>
                </c:pt>
                <c:pt idx="7">
                  <c:v>UK</c:v>
                </c:pt>
                <c:pt idx="8">
                  <c:v>Canada</c:v>
                </c:pt>
                <c:pt idx="9">
                  <c:v>Denmark</c:v>
                </c:pt>
                <c:pt idx="10">
                  <c:v>France</c:v>
                </c:pt>
                <c:pt idx="11">
                  <c:v>Greece</c:v>
                </c:pt>
                <c:pt idx="12">
                  <c:v>Honduras</c:v>
                </c:pt>
                <c:pt idx="13">
                  <c:v>Ireland</c:v>
                </c:pt>
                <c:pt idx="14">
                  <c:v>Jordan</c:v>
                </c:pt>
                <c:pt idx="15">
                  <c:v>Mongolia</c:v>
                </c:pt>
                <c:pt idx="16">
                  <c:v>Morocco</c:v>
                </c:pt>
                <c:pt idx="17">
                  <c:v>Poland</c:v>
                </c:pt>
                <c:pt idx="18">
                  <c:v>South Korea</c:v>
                </c:pt>
                <c:pt idx="19">
                  <c:v>Spain</c:v>
                </c:pt>
                <c:pt idx="20">
                  <c:v>Turkey</c:v>
                </c:pt>
                <c:pt idx="21">
                  <c:v>Ukraine</c:v>
                </c:pt>
                <c:pt idx="22">
                  <c:v>Uruguay</c:v>
                </c:pt>
                <c:pt idx="23">
                  <c:v>Vietnam</c:v>
                </c:pt>
              </c:strCache>
            </c:strRef>
          </c:cat>
          <c:val>
            <c:numRef>
              <c:f>'OI 2016'!$E$86:$E$109</c:f>
              <c:numCache>
                <c:formatCode>General</c:formatCode>
                <c:ptCount val="24"/>
                <c:pt idx="0">
                  <c:v>3284</c:v>
                </c:pt>
                <c:pt idx="1">
                  <c:v>399</c:v>
                </c:pt>
                <c:pt idx="2">
                  <c:v>470</c:v>
                </c:pt>
                <c:pt idx="3">
                  <c:v>371</c:v>
                </c:pt>
                <c:pt idx="4">
                  <c:v>159</c:v>
                </c:pt>
                <c:pt idx="5">
                  <c:v>480</c:v>
                </c:pt>
                <c:pt idx="6">
                  <c:v>1165</c:v>
                </c:pt>
                <c:pt idx="7">
                  <c:v>259</c:v>
                </c:pt>
                <c:pt idx="8">
                  <c:v>224</c:v>
                </c:pt>
                <c:pt idx="9">
                  <c:v>45</c:v>
                </c:pt>
                <c:pt idx="10">
                  <c:v>112</c:v>
                </c:pt>
                <c:pt idx="11">
                  <c:v>26</c:v>
                </c:pt>
                <c:pt idx="12">
                  <c:v>59</c:v>
                </c:pt>
                <c:pt idx="13">
                  <c:v>36</c:v>
                </c:pt>
                <c:pt idx="14">
                  <c:v>89</c:v>
                </c:pt>
                <c:pt idx="15">
                  <c:v>50</c:v>
                </c:pt>
                <c:pt idx="16">
                  <c:v>120</c:v>
                </c:pt>
                <c:pt idx="17">
                  <c:v>56</c:v>
                </c:pt>
                <c:pt idx="18">
                  <c:v>24</c:v>
                </c:pt>
                <c:pt idx="19">
                  <c:v>27</c:v>
                </c:pt>
                <c:pt idx="20">
                  <c:v>26</c:v>
                </c:pt>
                <c:pt idx="21">
                  <c:v>21</c:v>
                </c:pt>
                <c:pt idx="22">
                  <c:v>53</c:v>
                </c:pt>
                <c:pt idx="23">
                  <c:v>30</c:v>
                </c:pt>
              </c:numCache>
            </c:numRef>
          </c:val>
          <c:extLst>
            <c:ext xmlns:c16="http://schemas.microsoft.com/office/drawing/2014/chart" uri="{C3380CC4-5D6E-409C-BE32-E72D297353CC}">
              <c16:uniqueId val="{00000030-21D4-4A67-AED9-AB49EEBD7DE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11-4C55-93AC-F159F47DCE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11-4C55-93AC-F159F47DCE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11-4C55-93AC-F159F47DCE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11-4C55-93AC-F159F47DCEC3}"/>
              </c:ext>
            </c:extLst>
          </c:dPt>
          <c:cat>
            <c:strRef>
              <c:f>'OI 2016'!$I$103:$I$106</c:f>
              <c:strCache>
                <c:ptCount val="4"/>
                <c:pt idx="0">
                  <c:v>1 qtr</c:v>
                </c:pt>
                <c:pt idx="1">
                  <c:v>2 qtr</c:v>
                </c:pt>
                <c:pt idx="2">
                  <c:v>3 qtr</c:v>
                </c:pt>
                <c:pt idx="3">
                  <c:v>4 qtr</c:v>
                </c:pt>
              </c:strCache>
            </c:strRef>
          </c:cat>
          <c:val>
            <c:numRef>
              <c:f>'OI 2016'!$L$103:$L$106</c:f>
              <c:numCache>
                <c:formatCode>General</c:formatCode>
                <c:ptCount val="4"/>
                <c:pt idx="0">
                  <c:v>1806</c:v>
                </c:pt>
                <c:pt idx="1">
                  <c:v>1124</c:v>
                </c:pt>
                <c:pt idx="2">
                  <c:v>1350</c:v>
                </c:pt>
                <c:pt idx="3">
                  <c:v>3305</c:v>
                </c:pt>
              </c:numCache>
            </c:numRef>
          </c:val>
          <c:extLst>
            <c:ext xmlns:c16="http://schemas.microsoft.com/office/drawing/2014/chart" uri="{C3380CC4-5D6E-409C-BE32-E72D297353CC}">
              <c16:uniqueId val="{00000008-8711-4C55-93AC-F159F47DCEC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Orders 2015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2015'!$I$87:$I$101</c:f>
              <c:strCache>
                <c:ptCount val="15"/>
                <c:pt idx="0">
                  <c:v>2MW</c:v>
                </c:pt>
                <c:pt idx="1">
                  <c:v>V90-2.0MW</c:v>
                </c:pt>
                <c:pt idx="2">
                  <c:v>V90-3.0MW</c:v>
                </c:pt>
                <c:pt idx="3">
                  <c:v>V100-1.8MW</c:v>
                </c:pt>
                <c:pt idx="4">
                  <c:v>V100-2.0MW</c:v>
                </c:pt>
                <c:pt idx="5">
                  <c:v>V110-2.0MW</c:v>
                </c:pt>
                <c:pt idx="6">
                  <c:v>V112-3.075MW</c:v>
                </c:pt>
                <c:pt idx="7">
                  <c:v>V112-3.0MW</c:v>
                </c:pt>
                <c:pt idx="8">
                  <c:v>V112-3.3MW</c:v>
                </c:pt>
                <c:pt idx="9">
                  <c:v>V112-3.45MW</c:v>
                </c:pt>
                <c:pt idx="10">
                  <c:v>V117-3.3MW</c:v>
                </c:pt>
                <c:pt idx="11">
                  <c:v>V117-3.45MW</c:v>
                </c:pt>
                <c:pt idx="12">
                  <c:v>V126-3.3MW</c:v>
                </c:pt>
                <c:pt idx="13">
                  <c:v>V126-3.45MW</c:v>
                </c:pt>
                <c:pt idx="14">
                  <c:v>V136-3.45MW</c:v>
                </c:pt>
              </c:strCache>
            </c:strRef>
          </c:cat>
          <c:val>
            <c:numRef>
              <c:f>'OI 2015'!$L$87:$L$101</c:f>
              <c:numCache>
                <c:formatCode>0</c:formatCode>
                <c:ptCount val="15"/>
                <c:pt idx="0">
                  <c:v>75</c:v>
                </c:pt>
                <c:pt idx="1">
                  <c:v>49</c:v>
                </c:pt>
                <c:pt idx="2">
                  <c:v>29</c:v>
                </c:pt>
                <c:pt idx="3">
                  <c:v>70</c:v>
                </c:pt>
                <c:pt idx="4">
                  <c:v>486</c:v>
                </c:pt>
                <c:pt idx="5">
                  <c:v>860</c:v>
                </c:pt>
                <c:pt idx="6">
                  <c:v>13.008130081300813</c:v>
                </c:pt>
                <c:pt idx="7">
                  <c:v>12</c:v>
                </c:pt>
                <c:pt idx="8">
                  <c:v>212.12121212121212</c:v>
                </c:pt>
                <c:pt idx="9">
                  <c:v>140.69652000347131</c:v>
                </c:pt>
                <c:pt idx="10">
                  <c:v>365.45454545454544</c:v>
                </c:pt>
                <c:pt idx="11">
                  <c:v>30</c:v>
                </c:pt>
                <c:pt idx="12">
                  <c:v>218.78787878787878</c:v>
                </c:pt>
                <c:pt idx="13">
                  <c:v>26.956521739130434</c:v>
                </c:pt>
                <c:pt idx="14">
                  <c:v>33.913043478260867</c:v>
                </c:pt>
              </c:numCache>
            </c:numRef>
          </c:val>
          <c:extLst>
            <c:ext xmlns:c16="http://schemas.microsoft.com/office/drawing/2014/chart" uri="{C3380CC4-5D6E-409C-BE32-E72D297353CC}">
              <c16:uniqueId val="{00000000-3CDD-4478-96E5-AB4DCEAB8DB5}"/>
            </c:ext>
          </c:extLst>
        </c:ser>
        <c:dLbls>
          <c:showLegendKey val="0"/>
          <c:showVal val="0"/>
          <c:showCatName val="0"/>
          <c:showSerName val="0"/>
          <c:showPercent val="0"/>
          <c:showBubbleSize val="0"/>
        </c:dLbls>
        <c:gapWidth val="219"/>
        <c:overlap val="-27"/>
        <c:axId val="242832768"/>
        <c:axId val="242833160"/>
      </c:barChart>
      <c:catAx>
        <c:axId val="24283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833160"/>
        <c:crosses val="autoZero"/>
        <c:auto val="1"/>
        <c:lblAlgn val="ctr"/>
        <c:lblOffset val="100"/>
        <c:noMultiLvlLbl val="0"/>
      </c:catAx>
      <c:valAx>
        <c:axId val="242833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832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 time horizon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2015'!$D$115</c:f>
              <c:strCache>
                <c:ptCount val="1"/>
                <c:pt idx="0">
                  <c:v>AOM4000</c:v>
                </c:pt>
              </c:strCache>
            </c:strRef>
          </c:tx>
          <c:spPr>
            <a:solidFill>
              <a:schemeClr val="accent1"/>
            </a:solidFill>
            <a:ln>
              <a:noFill/>
            </a:ln>
            <a:effectLst/>
          </c:spPr>
          <c:invertIfNegative val="0"/>
          <c:cat>
            <c:strRef>
              <c:f>'OI 2015'!$C$116:$C$121</c:f>
              <c:strCache>
                <c:ptCount val="6"/>
                <c:pt idx="0">
                  <c:v>0-5</c:v>
                </c:pt>
                <c:pt idx="1">
                  <c:v>5-10</c:v>
                </c:pt>
                <c:pt idx="2">
                  <c:v>10-15</c:v>
                </c:pt>
                <c:pt idx="3">
                  <c:v>15-20</c:v>
                </c:pt>
                <c:pt idx="4">
                  <c:v>20+</c:v>
                </c:pt>
                <c:pt idx="5">
                  <c:v>no info</c:v>
                </c:pt>
              </c:strCache>
            </c:strRef>
          </c:cat>
          <c:val>
            <c:numRef>
              <c:f>'OI 2015'!$D$116:$D$121</c:f>
              <c:numCache>
                <c:formatCode>General</c:formatCode>
                <c:ptCount val="6"/>
                <c:pt idx="0">
                  <c:v>33</c:v>
                </c:pt>
                <c:pt idx="1">
                  <c:v>0</c:v>
                </c:pt>
                <c:pt idx="2">
                  <c:v>0</c:v>
                </c:pt>
                <c:pt idx="3">
                  <c:v>0</c:v>
                </c:pt>
                <c:pt idx="4">
                  <c:v>0</c:v>
                </c:pt>
                <c:pt idx="5">
                  <c:v>2330</c:v>
                </c:pt>
              </c:numCache>
            </c:numRef>
          </c:val>
          <c:extLst>
            <c:ext xmlns:c16="http://schemas.microsoft.com/office/drawing/2014/chart" uri="{C3380CC4-5D6E-409C-BE32-E72D297353CC}">
              <c16:uniqueId val="{00000000-D5C2-46AB-BFD6-64F1058D4E54}"/>
            </c:ext>
          </c:extLst>
        </c:ser>
        <c:ser>
          <c:idx val="1"/>
          <c:order val="1"/>
          <c:tx>
            <c:strRef>
              <c:f>'OI 2015'!$E$115</c:f>
              <c:strCache>
                <c:ptCount val="1"/>
                <c:pt idx="0">
                  <c:v>AOM5000</c:v>
                </c:pt>
              </c:strCache>
            </c:strRef>
          </c:tx>
          <c:spPr>
            <a:solidFill>
              <a:schemeClr val="accent2"/>
            </a:solidFill>
            <a:ln>
              <a:noFill/>
            </a:ln>
            <a:effectLst/>
          </c:spPr>
          <c:invertIfNegative val="0"/>
          <c:cat>
            <c:strRef>
              <c:f>'OI 2015'!$C$116:$C$121</c:f>
              <c:strCache>
                <c:ptCount val="6"/>
                <c:pt idx="0">
                  <c:v>0-5</c:v>
                </c:pt>
                <c:pt idx="1">
                  <c:v>5-10</c:v>
                </c:pt>
                <c:pt idx="2">
                  <c:v>10-15</c:v>
                </c:pt>
                <c:pt idx="3">
                  <c:v>15-20</c:v>
                </c:pt>
                <c:pt idx="4">
                  <c:v>20+</c:v>
                </c:pt>
                <c:pt idx="5">
                  <c:v>no info</c:v>
                </c:pt>
              </c:strCache>
            </c:strRef>
          </c:cat>
          <c:val>
            <c:numRef>
              <c:f>'OI 2015'!$E$116:$E$121</c:f>
              <c:numCache>
                <c:formatCode>General</c:formatCode>
                <c:ptCount val="6"/>
                <c:pt idx="0">
                  <c:v>0</c:v>
                </c:pt>
                <c:pt idx="1">
                  <c:v>0</c:v>
                </c:pt>
                <c:pt idx="2">
                  <c:v>0</c:v>
                </c:pt>
                <c:pt idx="3">
                  <c:v>0</c:v>
                </c:pt>
                <c:pt idx="4">
                  <c:v>0</c:v>
                </c:pt>
                <c:pt idx="5">
                  <c:v>3421</c:v>
                </c:pt>
              </c:numCache>
            </c:numRef>
          </c:val>
          <c:extLst>
            <c:ext xmlns:c16="http://schemas.microsoft.com/office/drawing/2014/chart" uri="{C3380CC4-5D6E-409C-BE32-E72D297353CC}">
              <c16:uniqueId val="{00000001-D5C2-46AB-BFD6-64F1058D4E54}"/>
            </c:ext>
          </c:extLst>
        </c:ser>
        <c:dLbls>
          <c:showLegendKey val="0"/>
          <c:showVal val="0"/>
          <c:showCatName val="0"/>
          <c:showSerName val="0"/>
          <c:showPercent val="0"/>
          <c:showBubbleSize val="0"/>
        </c:dLbls>
        <c:gapWidth val="219"/>
        <c:overlap val="-27"/>
        <c:axId val="242001096"/>
        <c:axId val="242001488"/>
      </c:barChart>
      <c:catAx>
        <c:axId val="242001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001488"/>
        <c:crosses val="autoZero"/>
        <c:auto val="1"/>
        <c:lblAlgn val="ctr"/>
        <c:lblOffset val="100"/>
        <c:noMultiLvlLbl val="0"/>
      </c:catAx>
      <c:valAx>
        <c:axId val="24200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001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B0-49E3-AF99-DCD4C00FF6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B0-49E3-AF99-DCD4C00FF6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B0-49E3-AF99-DCD4C00FF6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B0-49E3-AF99-DCD4C00FF63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B0-49E3-AF99-DCD4C00FF63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4B0-49E3-AF99-DCD4C00FF63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4B0-49E3-AF99-DCD4C00FF63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4B0-49E3-AF99-DCD4C00FF63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4B0-49E3-AF99-DCD4C00FF63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4B0-49E3-AF99-DCD4C00FF63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4B0-49E3-AF99-DCD4C00FF63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4B0-49E3-AF99-DCD4C00FF63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4B0-49E3-AF99-DCD4C00FF63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4B0-49E3-AF99-DCD4C00FF63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4B0-49E3-AF99-DCD4C00FF63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4B0-49E3-AF99-DCD4C00FF63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4B0-49E3-AF99-DCD4C00FF63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4B0-49E3-AF99-DCD4C00FF63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4B0-49E3-AF99-DCD4C00FF63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4B0-49E3-AF99-DCD4C00FF63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4B0-49E3-AF99-DCD4C00FF63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4B0-49E3-AF99-DCD4C00FF63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04B0-49E3-AF99-DCD4C00FF63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04B0-49E3-AF99-DCD4C00FF637}"/>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04B0-49E3-AF99-DCD4C00FF637}"/>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04B0-49E3-AF99-DCD4C00FF637}"/>
              </c:ext>
            </c:extLst>
          </c:dPt>
          <c:cat>
            <c:strRef>
              <c:f>'OI 2015'!$C$86:$C$111</c:f>
              <c:strCache>
                <c:ptCount val="26"/>
                <c:pt idx="0">
                  <c:v>USA</c:v>
                </c:pt>
                <c:pt idx="1">
                  <c:v>China</c:v>
                </c:pt>
                <c:pt idx="2">
                  <c:v>Finland</c:v>
                </c:pt>
                <c:pt idx="3">
                  <c:v>Sweden</c:v>
                </c:pt>
                <c:pt idx="4">
                  <c:v>Germany</c:v>
                </c:pt>
                <c:pt idx="5">
                  <c:v>Poland</c:v>
                </c:pt>
                <c:pt idx="6">
                  <c:v>Brazil</c:v>
                </c:pt>
                <c:pt idx="7">
                  <c:v>UK</c:v>
                </c:pt>
                <c:pt idx="9">
                  <c:v>South Korea</c:v>
                </c:pt>
                <c:pt idx="10">
                  <c:v>Denmark</c:v>
                </c:pt>
                <c:pt idx="11">
                  <c:v>Mexico</c:v>
                </c:pt>
                <c:pt idx="12">
                  <c:v>Turkey</c:v>
                </c:pt>
                <c:pt idx="13">
                  <c:v>India</c:v>
                </c:pt>
                <c:pt idx="14">
                  <c:v>Uruguay</c:v>
                </c:pt>
                <c:pt idx="15">
                  <c:v>Jamaica</c:v>
                </c:pt>
                <c:pt idx="16">
                  <c:v>Costa Rica</c:v>
                </c:pt>
                <c:pt idx="17">
                  <c:v>Australia</c:v>
                </c:pt>
                <c:pt idx="18">
                  <c:v>Austria</c:v>
                </c:pt>
                <c:pt idx="19">
                  <c:v>UK - Offshore</c:v>
                </c:pt>
                <c:pt idx="20">
                  <c:v>Italy</c:v>
                </c:pt>
                <c:pt idx="21">
                  <c:v>Chile</c:v>
                </c:pt>
                <c:pt idx="22">
                  <c:v>Vietnam</c:v>
                </c:pt>
                <c:pt idx="23">
                  <c:v>Thailand</c:v>
                </c:pt>
                <c:pt idx="24">
                  <c:v>Belgium</c:v>
                </c:pt>
                <c:pt idx="25">
                  <c:v>Greece</c:v>
                </c:pt>
              </c:strCache>
            </c:strRef>
          </c:cat>
          <c:val>
            <c:numRef>
              <c:f>'OI 2015'!$E$86:$E$111</c:f>
              <c:numCache>
                <c:formatCode>General</c:formatCode>
                <c:ptCount val="26"/>
                <c:pt idx="0">
                  <c:v>2868</c:v>
                </c:pt>
                <c:pt idx="1">
                  <c:v>520</c:v>
                </c:pt>
                <c:pt idx="2">
                  <c:v>392</c:v>
                </c:pt>
                <c:pt idx="3">
                  <c:v>214</c:v>
                </c:pt>
                <c:pt idx="4">
                  <c:v>152</c:v>
                </c:pt>
                <c:pt idx="5">
                  <c:v>167</c:v>
                </c:pt>
                <c:pt idx="6">
                  <c:v>376</c:v>
                </c:pt>
                <c:pt idx="7">
                  <c:v>206</c:v>
                </c:pt>
                <c:pt idx="8">
                  <c:v>0</c:v>
                </c:pt>
                <c:pt idx="9">
                  <c:v>122</c:v>
                </c:pt>
                <c:pt idx="10">
                  <c:v>75</c:v>
                </c:pt>
                <c:pt idx="11">
                  <c:v>248</c:v>
                </c:pt>
                <c:pt idx="12">
                  <c:v>129</c:v>
                </c:pt>
                <c:pt idx="13">
                  <c:v>74</c:v>
                </c:pt>
                <c:pt idx="14">
                  <c:v>120</c:v>
                </c:pt>
                <c:pt idx="15">
                  <c:v>36</c:v>
                </c:pt>
                <c:pt idx="16">
                  <c:v>21</c:v>
                </c:pt>
                <c:pt idx="17">
                  <c:v>20</c:v>
                </c:pt>
                <c:pt idx="18">
                  <c:v>33</c:v>
                </c:pt>
                <c:pt idx="19">
                  <c:v>400</c:v>
                </c:pt>
                <c:pt idx="20">
                  <c:v>40</c:v>
                </c:pt>
                <c:pt idx="21">
                  <c:v>185</c:v>
                </c:pt>
                <c:pt idx="22">
                  <c:v>24</c:v>
                </c:pt>
                <c:pt idx="23">
                  <c:v>126</c:v>
                </c:pt>
                <c:pt idx="24">
                  <c:v>165</c:v>
                </c:pt>
                <c:pt idx="25">
                  <c:v>40</c:v>
                </c:pt>
              </c:numCache>
            </c:numRef>
          </c:val>
          <c:extLst>
            <c:ext xmlns:c16="http://schemas.microsoft.com/office/drawing/2014/chart" uri="{C3380CC4-5D6E-409C-BE32-E72D297353CC}">
              <c16:uniqueId val="{00000034-04B0-49E3-AF99-DCD4C00FF63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Orders 2014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2014'!$I$88:$I$101</c:f>
              <c:strCache>
                <c:ptCount val="11"/>
                <c:pt idx="0">
                  <c:v>2MW</c:v>
                </c:pt>
                <c:pt idx="1">
                  <c:v>V100-2.0MW</c:v>
                </c:pt>
                <c:pt idx="2">
                  <c:v>V110-2.0MW</c:v>
                </c:pt>
                <c:pt idx="3">
                  <c:v>V112-3.0MW</c:v>
                </c:pt>
                <c:pt idx="4">
                  <c:v>V112-3.3MW</c:v>
                </c:pt>
                <c:pt idx="5">
                  <c:v>V117-3.0MW</c:v>
                </c:pt>
                <c:pt idx="6">
                  <c:v>V117-3.3MW</c:v>
                </c:pt>
                <c:pt idx="7">
                  <c:v>V126-3.3MW</c:v>
                </c:pt>
                <c:pt idx="8">
                  <c:v>V80-2.0MW</c:v>
                </c:pt>
                <c:pt idx="9">
                  <c:v>V90-2.0MW</c:v>
                </c:pt>
                <c:pt idx="10">
                  <c:v>V90-3.0MW</c:v>
                </c:pt>
              </c:strCache>
            </c:strRef>
          </c:cat>
          <c:val>
            <c:numRef>
              <c:f>'OI 2014'!$L$88:$L$101</c:f>
              <c:numCache>
                <c:formatCode>0</c:formatCode>
                <c:ptCount val="14"/>
                <c:pt idx="0">
                  <c:v>30</c:v>
                </c:pt>
                <c:pt idx="1">
                  <c:v>659</c:v>
                </c:pt>
                <c:pt idx="2">
                  <c:v>336</c:v>
                </c:pt>
                <c:pt idx="3">
                  <c:v>97.333333333333329</c:v>
                </c:pt>
                <c:pt idx="4">
                  <c:v>200.06060606060606</c:v>
                </c:pt>
                <c:pt idx="5">
                  <c:v>6</c:v>
                </c:pt>
                <c:pt idx="6">
                  <c:v>19</c:v>
                </c:pt>
                <c:pt idx="7">
                  <c:v>98.090909090909093</c:v>
                </c:pt>
                <c:pt idx="8">
                  <c:v>34</c:v>
                </c:pt>
                <c:pt idx="9">
                  <c:v>21</c:v>
                </c:pt>
                <c:pt idx="10">
                  <c:v>61</c:v>
                </c:pt>
              </c:numCache>
            </c:numRef>
          </c:val>
          <c:extLst>
            <c:ext xmlns:c16="http://schemas.microsoft.com/office/drawing/2014/chart" uri="{C3380CC4-5D6E-409C-BE32-E72D297353CC}">
              <c16:uniqueId val="{00000000-5D41-4130-AA20-9947D6E1D193}"/>
            </c:ext>
          </c:extLst>
        </c:ser>
        <c:dLbls>
          <c:showLegendKey val="0"/>
          <c:showVal val="0"/>
          <c:showCatName val="0"/>
          <c:showSerName val="0"/>
          <c:showPercent val="0"/>
          <c:showBubbleSize val="0"/>
        </c:dLbls>
        <c:gapWidth val="219"/>
        <c:overlap val="-27"/>
        <c:axId val="242002664"/>
        <c:axId val="242003056"/>
      </c:barChart>
      <c:catAx>
        <c:axId val="242002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003056"/>
        <c:crosses val="autoZero"/>
        <c:auto val="1"/>
        <c:lblAlgn val="ctr"/>
        <c:lblOffset val="100"/>
        <c:noMultiLvlLbl val="0"/>
      </c:catAx>
      <c:valAx>
        <c:axId val="242003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002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 time horizon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2014'!$D$115</c:f>
              <c:strCache>
                <c:ptCount val="1"/>
                <c:pt idx="0">
                  <c:v>AOM4000</c:v>
                </c:pt>
              </c:strCache>
            </c:strRef>
          </c:tx>
          <c:spPr>
            <a:solidFill>
              <a:schemeClr val="accent1"/>
            </a:solidFill>
            <a:ln>
              <a:noFill/>
            </a:ln>
            <a:effectLst/>
          </c:spPr>
          <c:invertIfNegative val="0"/>
          <c:cat>
            <c:strRef>
              <c:f>'OI 2014'!$C$116:$C$121</c:f>
              <c:strCache>
                <c:ptCount val="6"/>
                <c:pt idx="0">
                  <c:v>0-5</c:v>
                </c:pt>
                <c:pt idx="1">
                  <c:v>5-10</c:v>
                </c:pt>
                <c:pt idx="2">
                  <c:v>10-15</c:v>
                </c:pt>
                <c:pt idx="3">
                  <c:v>15-20</c:v>
                </c:pt>
                <c:pt idx="4">
                  <c:v>20+</c:v>
                </c:pt>
                <c:pt idx="5">
                  <c:v>no info</c:v>
                </c:pt>
              </c:strCache>
            </c:strRef>
          </c:cat>
          <c:val>
            <c:numRef>
              <c:f>'OI 2014'!$D$116:$D$121</c:f>
              <c:numCache>
                <c:formatCode>General</c:formatCode>
                <c:ptCount val="6"/>
                <c:pt idx="0">
                  <c:v>606</c:v>
                </c:pt>
                <c:pt idx="1">
                  <c:v>201</c:v>
                </c:pt>
                <c:pt idx="2">
                  <c:v>427</c:v>
                </c:pt>
                <c:pt idx="3">
                  <c:v>0</c:v>
                </c:pt>
                <c:pt idx="4">
                  <c:v>0</c:v>
                </c:pt>
                <c:pt idx="5">
                  <c:v>0</c:v>
                </c:pt>
              </c:numCache>
            </c:numRef>
          </c:val>
          <c:extLst>
            <c:ext xmlns:c16="http://schemas.microsoft.com/office/drawing/2014/chart" uri="{C3380CC4-5D6E-409C-BE32-E72D297353CC}">
              <c16:uniqueId val="{00000000-502B-4244-A448-F71FC4054294}"/>
            </c:ext>
          </c:extLst>
        </c:ser>
        <c:ser>
          <c:idx val="1"/>
          <c:order val="1"/>
          <c:tx>
            <c:strRef>
              <c:f>'OI 2014'!$E$115</c:f>
              <c:strCache>
                <c:ptCount val="1"/>
                <c:pt idx="0">
                  <c:v>AOM5000</c:v>
                </c:pt>
              </c:strCache>
            </c:strRef>
          </c:tx>
          <c:spPr>
            <a:solidFill>
              <a:schemeClr val="accent2"/>
            </a:solidFill>
            <a:ln>
              <a:noFill/>
            </a:ln>
            <a:effectLst/>
          </c:spPr>
          <c:invertIfNegative val="0"/>
          <c:cat>
            <c:strRef>
              <c:f>'OI 2014'!$C$116:$C$121</c:f>
              <c:strCache>
                <c:ptCount val="6"/>
                <c:pt idx="0">
                  <c:v>0-5</c:v>
                </c:pt>
                <c:pt idx="1">
                  <c:v>5-10</c:v>
                </c:pt>
                <c:pt idx="2">
                  <c:v>10-15</c:v>
                </c:pt>
                <c:pt idx="3">
                  <c:v>15-20</c:v>
                </c:pt>
                <c:pt idx="4">
                  <c:v>20+</c:v>
                </c:pt>
                <c:pt idx="5">
                  <c:v>no info</c:v>
                </c:pt>
              </c:strCache>
            </c:strRef>
          </c:cat>
          <c:val>
            <c:numRef>
              <c:f>'OI 2014'!$E$116:$E$121</c:f>
              <c:numCache>
                <c:formatCode>General</c:formatCode>
                <c:ptCount val="6"/>
                <c:pt idx="0">
                  <c:v>1177</c:v>
                </c:pt>
                <c:pt idx="1">
                  <c:v>1092</c:v>
                </c:pt>
                <c:pt idx="2">
                  <c:v>290</c:v>
                </c:pt>
                <c:pt idx="3">
                  <c:v>0</c:v>
                </c:pt>
                <c:pt idx="4">
                  <c:v>0</c:v>
                </c:pt>
                <c:pt idx="5">
                  <c:v>0</c:v>
                </c:pt>
              </c:numCache>
            </c:numRef>
          </c:val>
          <c:extLst>
            <c:ext xmlns:c16="http://schemas.microsoft.com/office/drawing/2014/chart" uri="{C3380CC4-5D6E-409C-BE32-E72D297353CC}">
              <c16:uniqueId val="{00000001-502B-4244-A448-F71FC4054294}"/>
            </c:ext>
          </c:extLst>
        </c:ser>
        <c:dLbls>
          <c:showLegendKey val="0"/>
          <c:showVal val="0"/>
          <c:showCatName val="0"/>
          <c:showSerName val="0"/>
          <c:showPercent val="0"/>
          <c:showBubbleSize val="0"/>
        </c:dLbls>
        <c:gapWidth val="219"/>
        <c:overlap val="-27"/>
        <c:axId val="242003840"/>
        <c:axId val="242004232"/>
      </c:barChart>
      <c:catAx>
        <c:axId val="24200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004232"/>
        <c:crosses val="autoZero"/>
        <c:auto val="1"/>
        <c:lblAlgn val="ctr"/>
        <c:lblOffset val="100"/>
        <c:noMultiLvlLbl val="0"/>
      </c:catAx>
      <c:valAx>
        <c:axId val="242004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003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Orders 2013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2013'!$I$87:$I$95</c:f>
              <c:strCache>
                <c:ptCount val="9"/>
                <c:pt idx="0">
                  <c:v>2MW</c:v>
                </c:pt>
                <c:pt idx="1">
                  <c:v>V90-2.0MW</c:v>
                </c:pt>
                <c:pt idx="2">
                  <c:v>V90-3.0MW</c:v>
                </c:pt>
                <c:pt idx="3">
                  <c:v>V100-1.8MW</c:v>
                </c:pt>
                <c:pt idx="4">
                  <c:v>V100-2.0MW</c:v>
                </c:pt>
                <c:pt idx="5">
                  <c:v>V110-2.0MW</c:v>
                </c:pt>
                <c:pt idx="6">
                  <c:v>V100-2.6MW</c:v>
                </c:pt>
                <c:pt idx="7">
                  <c:v>V112-3.0MW</c:v>
                </c:pt>
                <c:pt idx="8">
                  <c:v>V112-3.3MW</c:v>
                </c:pt>
              </c:strCache>
            </c:strRef>
          </c:cat>
          <c:val>
            <c:numRef>
              <c:f>'OI 2013'!$L$87:$L$95</c:f>
              <c:numCache>
                <c:formatCode>0</c:formatCode>
                <c:ptCount val="9"/>
                <c:pt idx="0">
                  <c:v>175</c:v>
                </c:pt>
                <c:pt idx="1">
                  <c:v>202.5</c:v>
                </c:pt>
                <c:pt idx="2">
                  <c:v>43</c:v>
                </c:pt>
                <c:pt idx="3">
                  <c:v>212.11111111111111</c:v>
                </c:pt>
                <c:pt idx="4">
                  <c:v>445</c:v>
                </c:pt>
                <c:pt idx="5">
                  <c:v>295</c:v>
                </c:pt>
                <c:pt idx="6">
                  <c:v>24</c:v>
                </c:pt>
                <c:pt idx="7">
                  <c:v>378</c:v>
                </c:pt>
                <c:pt idx="8">
                  <c:v>89.090909090909093</c:v>
                </c:pt>
              </c:numCache>
            </c:numRef>
          </c:val>
          <c:extLst>
            <c:ext xmlns:c16="http://schemas.microsoft.com/office/drawing/2014/chart" uri="{C3380CC4-5D6E-409C-BE32-E72D297353CC}">
              <c16:uniqueId val="{00000000-909D-4B7F-99A9-B807DB73E44C}"/>
            </c:ext>
          </c:extLst>
        </c:ser>
        <c:dLbls>
          <c:showLegendKey val="0"/>
          <c:showVal val="0"/>
          <c:showCatName val="0"/>
          <c:showSerName val="0"/>
          <c:showPercent val="0"/>
          <c:showBubbleSize val="0"/>
        </c:dLbls>
        <c:gapWidth val="219"/>
        <c:overlap val="-27"/>
        <c:axId val="242501432"/>
        <c:axId val="242501824"/>
      </c:barChart>
      <c:catAx>
        <c:axId val="242501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501824"/>
        <c:crosses val="autoZero"/>
        <c:auto val="1"/>
        <c:lblAlgn val="ctr"/>
        <c:lblOffset val="100"/>
        <c:noMultiLvlLbl val="0"/>
      </c:catAx>
      <c:valAx>
        <c:axId val="242501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501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 time horizon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2013'!$D$115</c:f>
              <c:strCache>
                <c:ptCount val="1"/>
                <c:pt idx="0">
                  <c:v>AOM4000</c:v>
                </c:pt>
              </c:strCache>
            </c:strRef>
          </c:tx>
          <c:spPr>
            <a:solidFill>
              <a:schemeClr val="accent1"/>
            </a:solidFill>
            <a:ln>
              <a:noFill/>
            </a:ln>
            <a:effectLst/>
          </c:spPr>
          <c:invertIfNegative val="0"/>
          <c:cat>
            <c:strRef>
              <c:f>'OI 2013'!$C$116:$C$121</c:f>
              <c:strCache>
                <c:ptCount val="6"/>
                <c:pt idx="0">
                  <c:v>0-5</c:v>
                </c:pt>
                <c:pt idx="1">
                  <c:v>5-10</c:v>
                </c:pt>
                <c:pt idx="2">
                  <c:v>10-15</c:v>
                </c:pt>
                <c:pt idx="3">
                  <c:v>15-20</c:v>
                </c:pt>
                <c:pt idx="4">
                  <c:v>20+</c:v>
                </c:pt>
                <c:pt idx="5">
                  <c:v>no info</c:v>
                </c:pt>
              </c:strCache>
            </c:strRef>
          </c:cat>
          <c:val>
            <c:numRef>
              <c:f>'OI 2013'!$D$116:$D$121</c:f>
              <c:numCache>
                <c:formatCode>General</c:formatCode>
                <c:ptCount val="6"/>
                <c:pt idx="0">
                  <c:v>307</c:v>
                </c:pt>
                <c:pt idx="1">
                  <c:v>323</c:v>
                </c:pt>
                <c:pt idx="2">
                  <c:v>96</c:v>
                </c:pt>
                <c:pt idx="3">
                  <c:v>89</c:v>
                </c:pt>
                <c:pt idx="4">
                  <c:v>0</c:v>
                </c:pt>
                <c:pt idx="5">
                  <c:v>216</c:v>
                </c:pt>
              </c:numCache>
            </c:numRef>
          </c:val>
          <c:extLst>
            <c:ext xmlns:c16="http://schemas.microsoft.com/office/drawing/2014/chart" uri="{C3380CC4-5D6E-409C-BE32-E72D297353CC}">
              <c16:uniqueId val="{00000000-4085-40B6-96C9-869639C85397}"/>
            </c:ext>
          </c:extLst>
        </c:ser>
        <c:ser>
          <c:idx val="1"/>
          <c:order val="1"/>
          <c:tx>
            <c:strRef>
              <c:f>'OI 2013'!$E$115</c:f>
              <c:strCache>
                <c:ptCount val="1"/>
                <c:pt idx="0">
                  <c:v>AOM5000</c:v>
                </c:pt>
              </c:strCache>
            </c:strRef>
          </c:tx>
          <c:spPr>
            <a:solidFill>
              <a:schemeClr val="accent2"/>
            </a:solidFill>
            <a:ln>
              <a:noFill/>
            </a:ln>
            <a:effectLst/>
          </c:spPr>
          <c:invertIfNegative val="0"/>
          <c:cat>
            <c:strRef>
              <c:f>'OI 2013'!$C$116:$C$121</c:f>
              <c:strCache>
                <c:ptCount val="6"/>
                <c:pt idx="0">
                  <c:v>0-5</c:v>
                </c:pt>
                <c:pt idx="1">
                  <c:v>5-10</c:v>
                </c:pt>
                <c:pt idx="2">
                  <c:v>10-15</c:v>
                </c:pt>
                <c:pt idx="3">
                  <c:v>15-20</c:v>
                </c:pt>
                <c:pt idx="4">
                  <c:v>20+</c:v>
                </c:pt>
                <c:pt idx="5">
                  <c:v>no info</c:v>
                </c:pt>
              </c:strCache>
            </c:strRef>
          </c:cat>
          <c:val>
            <c:numRef>
              <c:f>'OI 2013'!$E$116:$E$121</c:f>
              <c:numCache>
                <c:formatCode>General</c:formatCode>
                <c:ptCount val="6"/>
                <c:pt idx="0">
                  <c:v>825</c:v>
                </c:pt>
                <c:pt idx="1">
                  <c:v>416</c:v>
                </c:pt>
                <c:pt idx="2">
                  <c:v>406</c:v>
                </c:pt>
                <c:pt idx="3">
                  <c:v>299</c:v>
                </c:pt>
                <c:pt idx="4">
                  <c:v>0</c:v>
                </c:pt>
                <c:pt idx="5">
                  <c:v>350</c:v>
                </c:pt>
              </c:numCache>
            </c:numRef>
          </c:val>
          <c:extLst>
            <c:ext xmlns:c16="http://schemas.microsoft.com/office/drawing/2014/chart" uri="{C3380CC4-5D6E-409C-BE32-E72D297353CC}">
              <c16:uniqueId val="{00000001-4085-40B6-96C9-869639C85397}"/>
            </c:ext>
          </c:extLst>
        </c:ser>
        <c:dLbls>
          <c:showLegendKey val="0"/>
          <c:showVal val="0"/>
          <c:showCatName val="0"/>
          <c:showSerName val="0"/>
          <c:showPercent val="0"/>
          <c:showBubbleSize val="0"/>
        </c:dLbls>
        <c:gapWidth val="219"/>
        <c:overlap val="-27"/>
        <c:axId val="242502608"/>
        <c:axId val="242503000"/>
      </c:barChart>
      <c:catAx>
        <c:axId val="24250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503000"/>
        <c:crosses val="autoZero"/>
        <c:auto val="1"/>
        <c:lblAlgn val="ctr"/>
        <c:lblOffset val="100"/>
        <c:noMultiLvlLbl val="0"/>
      </c:catAx>
      <c:valAx>
        <c:axId val="242503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502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Orders 2013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2012'!$I$87:$I$95</c:f>
              <c:strCache>
                <c:ptCount val="9"/>
                <c:pt idx="0">
                  <c:v>V80-2.0MW</c:v>
                </c:pt>
                <c:pt idx="1">
                  <c:v>V90-2.0MW</c:v>
                </c:pt>
                <c:pt idx="3">
                  <c:v>V90-3.0MW</c:v>
                </c:pt>
                <c:pt idx="4">
                  <c:v>V100-1.8MW</c:v>
                </c:pt>
                <c:pt idx="5">
                  <c:v>V100-2.0MW</c:v>
                </c:pt>
                <c:pt idx="6">
                  <c:v>V100-2.6MW</c:v>
                </c:pt>
                <c:pt idx="7">
                  <c:v>V112-3.0MW</c:v>
                </c:pt>
                <c:pt idx="8">
                  <c:v>V126-3.0MW</c:v>
                </c:pt>
              </c:strCache>
            </c:strRef>
          </c:cat>
          <c:val>
            <c:numRef>
              <c:f>'OI 2012'!$L$87:$L$95</c:f>
              <c:numCache>
                <c:formatCode>0</c:formatCode>
                <c:ptCount val="9"/>
                <c:pt idx="0">
                  <c:v>47</c:v>
                </c:pt>
                <c:pt idx="1">
                  <c:v>151</c:v>
                </c:pt>
                <c:pt idx="2">
                  <c:v>0</c:v>
                </c:pt>
                <c:pt idx="3">
                  <c:v>208</c:v>
                </c:pt>
                <c:pt idx="4">
                  <c:v>163</c:v>
                </c:pt>
                <c:pt idx="5">
                  <c:v>18</c:v>
                </c:pt>
                <c:pt idx="6">
                  <c:v>21</c:v>
                </c:pt>
                <c:pt idx="7">
                  <c:v>112</c:v>
                </c:pt>
                <c:pt idx="8">
                  <c:v>3</c:v>
                </c:pt>
              </c:numCache>
            </c:numRef>
          </c:val>
          <c:extLst>
            <c:ext xmlns:c16="http://schemas.microsoft.com/office/drawing/2014/chart" uri="{C3380CC4-5D6E-409C-BE32-E72D297353CC}">
              <c16:uniqueId val="{00000000-8CED-472C-9BF3-6CCCE3DE5BA0}"/>
            </c:ext>
          </c:extLst>
        </c:ser>
        <c:dLbls>
          <c:showLegendKey val="0"/>
          <c:showVal val="0"/>
          <c:showCatName val="0"/>
          <c:showSerName val="0"/>
          <c:showPercent val="0"/>
          <c:showBubbleSize val="0"/>
        </c:dLbls>
        <c:gapWidth val="219"/>
        <c:overlap val="-27"/>
        <c:axId val="242503784"/>
        <c:axId val="242504176"/>
      </c:barChart>
      <c:catAx>
        <c:axId val="242503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504176"/>
        <c:crosses val="autoZero"/>
        <c:auto val="1"/>
        <c:lblAlgn val="ctr"/>
        <c:lblOffset val="100"/>
        <c:noMultiLvlLbl val="0"/>
      </c:catAx>
      <c:valAx>
        <c:axId val="242504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2503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 time horizon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2012'!$D$109</c:f>
              <c:strCache>
                <c:ptCount val="1"/>
                <c:pt idx="0">
                  <c:v>AOM4000</c:v>
                </c:pt>
              </c:strCache>
            </c:strRef>
          </c:tx>
          <c:spPr>
            <a:solidFill>
              <a:schemeClr val="accent1"/>
            </a:solidFill>
            <a:ln>
              <a:noFill/>
            </a:ln>
            <a:effectLst/>
          </c:spPr>
          <c:invertIfNegative val="0"/>
          <c:cat>
            <c:strRef>
              <c:f>'OI 2012'!$C$110:$C$115</c:f>
              <c:strCache>
                <c:ptCount val="6"/>
                <c:pt idx="0">
                  <c:v>0-5</c:v>
                </c:pt>
                <c:pt idx="1">
                  <c:v>5-10</c:v>
                </c:pt>
                <c:pt idx="2">
                  <c:v>10-15</c:v>
                </c:pt>
                <c:pt idx="3">
                  <c:v>15-20</c:v>
                </c:pt>
                <c:pt idx="4">
                  <c:v>20+</c:v>
                </c:pt>
                <c:pt idx="5">
                  <c:v>no info</c:v>
                </c:pt>
              </c:strCache>
            </c:strRef>
          </c:cat>
          <c:val>
            <c:numRef>
              <c:f>'OI 2012'!$D$110:$D$115</c:f>
              <c:numCache>
                <c:formatCode>General</c:formatCode>
                <c:ptCount val="6"/>
                <c:pt idx="0">
                  <c:v>334</c:v>
                </c:pt>
                <c:pt idx="1">
                  <c:v>0</c:v>
                </c:pt>
                <c:pt idx="2">
                  <c:v>216</c:v>
                </c:pt>
                <c:pt idx="3">
                  <c:v>0</c:v>
                </c:pt>
                <c:pt idx="4">
                  <c:v>0</c:v>
                </c:pt>
                <c:pt idx="5">
                  <c:v>70</c:v>
                </c:pt>
              </c:numCache>
            </c:numRef>
          </c:val>
          <c:extLst>
            <c:ext xmlns:c16="http://schemas.microsoft.com/office/drawing/2014/chart" uri="{C3380CC4-5D6E-409C-BE32-E72D297353CC}">
              <c16:uniqueId val="{00000000-B2F7-4831-8791-58DF2768D330}"/>
            </c:ext>
          </c:extLst>
        </c:ser>
        <c:ser>
          <c:idx val="1"/>
          <c:order val="1"/>
          <c:tx>
            <c:strRef>
              <c:f>'OI 2012'!$E$109</c:f>
              <c:strCache>
                <c:ptCount val="1"/>
                <c:pt idx="0">
                  <c:v>AOM5000</c:v>
                </c:pt>
              </c:strCache>
            </c:strRef>
          </c:tx>
          <c:spPr>
            <a:solidFill>
              <a:schemeClr val="accent2"/>
            </a:solidFill>
            <a:ln>
              <a:noFill/>
            </a:ln>
            <a:effectLst/>
          </c:spPr>
          <c:invertIfNegative val="0"/>
          <c:cat>
            <c:strRef>
              <c:f>'OI 2012'!$C$110:$C$115</c:f>
              <c:strCache>
                <c:ptCount val="6"/>
                <c:pt idx="0">
                  <c:v>0-5</c:v>
                </c:pt>
                <c:pt idx="1">
                  <c:v>5-10</c:v>
                </c:pt>
                <c:pt idx="2">
                  <c:v>10-15</c:v>
                </c:pt>
                <c:pt idx="3">
                  <c:v>15-20</c:v>
                </c:pt>
                <c:pt idx="4">
                  <c:v>20+</c:v>
                </c:pt>
                <c:pt idx="5">
                  <c:v>no info</c:v>
                </c:pt>
              </c:strCache>
            </c:strRef>
          </c:cat>
          <c:val>
            <c:numRef>
              <c:f>'OI 2012'!$E$110:$E$115</c:f>
              <c:numCache>
                <c:formatCode>General</c:formatCode>
                <c:ptCount val="6"/>
                <c:pt idx="0">
                  <c:v>0</c:v>
                </c:pt>
                <c:pt idx="1">
                  <c:v>396</c:v>
                </c:pt>
                <c:pt idx="2">
                  <c:v>230.39999999999998</c:v>
                </c:pt>
                <c:pt idx="3">
                  <c:v>0</c:v>
                </c:pt>
                <c:pt idx="4">
                  <c:v>0</c:v>
                </c:pt>
                <c:pt idx="5">
                  <c:v>0</c:v>
                </c:pt>
              </c:numCache>
            </c:numRef>
          </c:val>
          <c:extLst>
            <c:ext xmlns:c16="http://schemas.microsoft.com/office/drawing/2014/chart" uri="{C3380CC4-5D6E-409C-BE32-E72D297353CC}">
              <c16:uniqueId val="{00000001-B2F7-4831-8791-58DF2768D330}"/>
            </c:ext>
          </c:extLst>
        </c:ser>
        <c:dLbls>
          <c:showLegendKey val="0"/>
          <c:showVal val="0"/>
          <c:showCatName val="0"/>
          <c:showSerName val="0"/>
          <c:showPercent val="0"/>
          <c:showBubbleSize val="0"/>
        </c:dLbls>
        <c:gapWidth val="219"/>
        <c:overlap val="-27"/>
        <c:axId val="243366632"/>
        <c:axId val="243367024"/>
      </c:barChart>
      <c:catAx>
        <c:axId val="243366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3367024"/>
        <c:crosses val="autoZero"/>
        <c:auto val="1"/>
        <c:lblAlgn val="ctr"/>
        <c:lblOffset val="100"/>
        <c:noMultiLvlLbl val="0"/>
      </c:catAx>
      <c:valAx>
        <c:axId val="24336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3366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Orders 2013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2011'!$I$95:$I$103</c:f>
              <c:strCache>
                <c:ptCount val="8"/>
                <c:pt idx="0">
                  <c:v>V60-850kW</c:v>
                </c:pt>
                <c:pt idx="1">
                  <c:v>V80-2.0MW</c:v>
                </c:pt>
                <c:pt idx="2">
                  <c:v>V90-2.0MW</c:v>
                </c:pt>
                <c:pt idx="3">
                  <c:v>V90-3.0MW</c:v>
                </c:pt>
                <c:pt idx="4">
                  <c:v>V90-1.8MW</c:v>
                </c:pt>
                <c:pt idx="5">
                  <c:v>V100-1.8MW</c:v>
                </c:pt>
                <c:pt idx="6">
                  <c:v>V100-2.6MW</c:v>
                </c:pt>
                <c:pt idx="7">
                  <c:v>V112-3.0MW</c:v>
                </c:pt>
              </c:strCache>
            </c:strRef>
          </c:cat>
          <c:val>
            <c:numRef>
              <c:f>'OI 2011'!$L$95:$L$103</c:f>
              <c:numCache>
                <c:formatCode>0</c:formatCode>
                <c:ptCount val="9"/>
                <c:pt idx="0">
                  <c:v>58</c:v>
                </c:pt>
                <c:pt idx="1">
                  <c:v>73</c:v>
                </c:pt>
                <c:pt idx="2">
                  <c:v>373</c:v>
                </c:pt>
                <c:pt idx="3">
                  <c:v>193</c:v>
                </c:pt>
                <c:pt idx="4">
                  <c:v>342.77777777777777</c:v>
                </c:pt>
                <c:pt idx="5">
                  <c:v>376</c:v>
                </c:pt>
                <c:pt idx="6">
                  <c:v>30</c:v>
                </c:pt>
                <c:pt idx="7">
                  <c:v>250</c:v>
                </c:pt>
              </c:numCache>
            </c:numRef>
          </c:val>
          <c:extLst>
            <c:ext xmlns:c16="http://schemas.microsoft.com/office/drawing/2014/chart" uri="{C3380CC4-5D6E-409C-BE32-E72D297353CC}">
              <c16:uniqueId val="{00000000-5A2E-4F6F-BE2F-27349C93016B}"/>
            </c:ext>
          </c:extLst>
        </c:ser>
        <c:dLbls>
          <c:showLegendKey val="0"/>
          <c:showVal val="0"/>
          <c:showCatName val="0"/>
          <c:showSerName val="0"/>
          <c:showPercent val="0"/>
          <c:showBubbleSize val="0"/>
        </c:dLbls>
        <c:gapWidth val="219"/>
        <c:overlap val="-27"/>
        <c:axId val="243367808"/>
        <c:axId val="243368200"/>
      </c:barChart>
      <c:catAx>
        <c:axId val="24336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3368200"/>
        <c:crosses val="autoZero"/>
        <c:auto val="1"/>
        <c:lblAlgn val="ctr"/>
        <c:lblOffset val="100"/>
        <c:noMultiLvlLbl val="0"/>
      </c:catAx>
      <c:valAx>
        <c:axId val="243368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3367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 time horizon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2011'!$D$120</c:f>
              <c:strCache>
                <c:ptCount val="1"/>
                <c:pt idx="0">
                  <c:v>AOM4000</c:v>
                </c:pt>
              </c:strCache>
            </c:strRef>
          </c:tx>
          <c:spPr>
            <a:solidFill>
              <a:schemeClr val="accent1"/>
            </a:solidFill>
            <a:ln>
              <a:noFill/>
            </a:ln>
            <a:effectLst/>
          </c:spPr>
          <c:invertIfNegative val="0"/>
          <c:cat>
            <c:strRef>
              <c:f>'OI 2011'!$C$121:$C$126</c:f>
              <c:strCache>
                <c:ptCount val="6"/>
                <c:pt idx="0">
                  <c:v>0-5</c:v>
                </c:pt>
                <c:pt idx="1">
                  <c:v>5-10</c:v>
                </c:pt>
                <c:pt idx="2">
                  <c:v>10-15</c:v>
                </c:pt>
                <c:pt idx="3">
                  <c:v>15-20</c:v>
                </c:pt>
                <c:pt idx="4">
                  <c:v>20+</c:v>
                </c:pt>
                <c:pt idx="5">
                  <c:v>no info</c:v>
                </c:pt>
              </c:strCache>
            </c:strRef>
          </c:cat>
          <c:val>
            <c:numRef>
              <c:f>'OI 2011'!$D$121:$D$126</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330-4D9E-A429-F9686EF3BDEC}"/>
            </c:ext>
          </c:extLst>
        </c:ser>
        <c:ser>
          <c:idx val="1"/>
          <c:order val="1"/>
          <c:tx>
            <c:strRef>
              <c:f>'OI 2011'!$E$120</c:f>
              <c:strCache>
                <c:ptCount val="1"/>
                <c:pt idx="0">
                  <c:v>AOM5000</c:v>
                </c:pt>
              </c:strCache>
            </c:strRef>
          </c:tx>
          <c:spPr>
            <a:solidFill>
              <a:schemeClr val="accent2"/>
            </a:solidFill>
            <a:ln>
              <a:noFill/>
            </a:ln>
            <a:effectLst/>
          </c:spPr>
          <c:invertIfNegative val="0"/>
          <c:cat>
            <c:strRef>
              <c:f>'OI 2011'!$C$121:$C$126</c:f>
              <c:strCache>
                <c:ptCount val="6"/>
                <c:pt idx="0">
                  <c:v>0-5</c:v>
                </c:pt>
                <c:pt idx="1">
                  <c:v>5-10</c:v>
                </c:pt>
                <c:pt idx="2">
                  <c:v>10-15</c:v>
                </c:pt>
                <c:pt idx="3">
                  <c:v>15-20</c:v>
                </c:pt>
                <c:pt idx="4">
                  <c:v>20+</c:v>
                </c:pt>
                <c:pt idx="5">
                  <c:v>no info</c:v>
                </c:pt>
              </c:strCache>
            </c:strRef>
          </c:cat>
          <c:val>
            <c:numRef>
              <c:f>'OI 2011'!$E$121:$E$126</c:f>
              <c:numCache>
                <c:formatCode>General</c:formatCode>
                <c:ptCount val="6"/>
                <c:pt idx="0">
                  <c:v>0</c:v>
                </c:pt>
                <c:pt idx="1">
                  <c:v>139</c:v>
                </c:pt>
                <c:pt idx="2">
                  <c:v>0</c:v>
                </c:pt>
                <c:pt idx="3">
                  <c:v>0</c:v>
                </c:pt>
                <c:pt idx="4">
                  <c:v>0</c:v>
                </c:pt>
                <c:pt idx="5">
                  <c:v>0</c:v>
                </c:pt>
              </c:numCache>
            </c:numRef>
          </c:val>
          <c:extLst>
            <c:ext xmlns:c16="http://schemas.microsoft.com/office/drawing/2014/chart" uri="{C3380CC4-5D6E-409C-BE32-E72D297353CC}">
              <c16:uniqueId val="{00000001-0330-4D9E-A429-F9686EF3BDEC}"/>
            </c:ext>
          </c:extLst>
        </c:ser>
        <c:dLbls>
          <c:showLegendKey val="0"/>
          <c:showVal val="0"/>
          <c:showCatName val="0"/>
          <c:showSerName val="0"/>
          <c:showPercent val="0"/>
          <c:showBubbleSize val="0"/>
        </c:dLbls>
        <c:gapWidth val="219"/>
        <c:overlap val="-27"/>
        <c:axId val="243368984"/>
        <c:axId val="243369376"/>
      </c:barChart>
      <c:catAx>
        <c:axId val="243368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3369376"/>
        <c:crosses val="autoZero"/>
        <c:auto val="1"/>
        <c:lblAlgn val="ctr"/>
        <c:lblOffset val="100"/>
        <c:noMultiLvlLbl val="0"/>
      </c:catAx>
      <c:valAx>
        <c:axId val="24336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3368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Orders 2013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2010'!$I$95:$I$103</c:f>
              <c:strCache>
                <c:ptCount val="9"/>
                <c:pt idx="0">
                  <c:v>V60-850kW</c:v>
                </c:pt>
                <c:pt idx="1">
                  <c:v>V80-2.0MW</c:v>
                </c:pt>
                <c:pt idx="2">
                  <c:v>V90-2.0MW</c:v>
                </c:pt>
                <c:pt idx="3">
                  <c:v>V90-3.0MW</c:v>
                </c:pt>
                <c:pt idx="4">
                  <c:v>V90-1.8MW</c:v>
                </c:pt>
                <c:pt idx="5">
                  <c:v>V100-1.8MW</c:v>
                </c:pt>
                <c:pt idx="6">
                  <c:v>V82-1.65MW</c:v>
                </c:pt>
                <c:pt idx="7">
                  <c:v>V112-3.0MW</c:v>
                </c:pt>
                <c:pt idx="8">
                  <c:v>V126-3.0MW</c:v>
                </c:pt>
              </c:strCache>
            </c:strRef>
          </c:cat>
          <c:val>
            <c:numRef>
              <c:f>'OI 2010'!$L$95:$L$103</c:f>
              <c:numCache>
                <c:formatCode>0</c:formatCode>
                <c:ptCount val="9"/>
                <c:pt idx="0">
                  <c:v>27</c:v>
                </c:pt>
                <c:pt idx="1">
                  <c:v>57</c:v>
                </c:pt>
                <c:pt idx="2">
                  <c:v>415</c:v>
                </c:pt>
                <c:pt idx="3">
                  <c:v>342</c:v>
                </c:pt>
                <c:pt idx="4">
                  <c:v>427</c:v>
                </c:pt>
                <c:pt idx="5">
                  <c:v>252</c:v>
                </c:pt>
                <c:pt idx="6">
                  <c:v>94</c:v>
                </c:pt>
                <c:pt idx="7">
                  <c:v>200</c:v>
                </c:pt>
                <c:pt idx="8">
                  <c:v>0</c:v>
                </c:pt>
              </c:numCache>
            </c:numRef>
          </c:val>
          <c:extLst>
            <c:ext xmlns:c16="http://schemas.microsoft.com/office/drawing/2014/chart" uri="{C3380CC4-5D6E-409C-BE32-E72D297353CC}">
              <c16:uniqueId val="{00000000-3A45-4A8D-9D55-1DF67FB11AB6}"/>
            </c:ext>
          </c:extLst>
        </c:ser>
        <c:dLbls>
          <c:showLegendKey val="0"/>
          <c:showVal val="0"/>
          <c:showCatName val="0"/>
          <c:showSerName val="0"/>
          <c:showPercent val="0"/>
          <c:showBubbleSize val="0"/>
        </c:dLbls>
        <c:gapWidth val="219"/>
        <c:overlap val="-27"/>
        <c:axId val="243370160"/>
        <c:axId val="243623640"/>
      </c:barChart>
      <c:catAx>
        <c:axId val="24337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3623640"/>
        <c:crosses val="autoZero"/>
        <c:auto val="1"/>
        <c:lblAlgn val="ctr"/>
        <c:lblOffset val="100"/>
        <c:noMultiLvlLbl val="0"/>
      </c:catAx>
      <c:valAx>
        <c:axId val="243623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3370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 time horizon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2010'!$D$120</c:f>
              <c:strCache>
                <c:ptCount val="1"/>
                <c:pt idx="0">
                  <c:v>AOM4000</c:v>
                </c:pt>
              </c:strCache>
            </c:strRef>
          </c:tx>
          <c:spPr>
            <a:solidFill>
              <a:schemeClr val="accent1"/>
            </a:solidFill>
            <a:ln>
              <a:noFill/>
            </a:ln>
            <a:effectLst/>
          </c:spPr>
          <c:invertIfNegative val="0"/>
          <c:cat>
            <c:strRef>
              <c:f>'OI 2010'!$C$121:$C$126</c:f>
              <c:strCache>
                <c:ptCount val="6"/>
                <c:pt idx="0">
                  <c:v>0-5</c:v>
                </c:pt>
                <c:pt idx="1">
                  <c:v>5-10</c:v>
                </c:pt>
                <c:pt idx="2">
                  <c:v>10-15</c:v>
                </c:pt>
                <c:pt idx="3">
                  <c:v>15-20</c:v>
                </c:pt>
                <c:pt idx="4">
                  <c:v>20+</c:v>
                </c:pt>
                <c:pt idx="5">
                  <c:v>no info</c:v>
                </c:pt>
              </c:strCache>
            </c:strRef>
          </c:cat>
          <c:val>
            <c:numRef>
              <c:f>'OI 2010'!$D$121:$D$126</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F424-4B3B-B6F5-F1371F9CC8F6}"/>
            </c:ext>
          </c:extLst>
        </c:ser>
        <c:ser>
          <c:idx val="1"/>
          <c:order val="1"/>
          <c:tx>
            <c:strRef>
              <c:f>'OI 2010'!$E$120</c:f>
              <c:strCache>
                <c:ptCount val="1"/>
                <c:pt idx="0">
                  <c:v>AOM5000</c:v>
                </c:pt>
              </c:strCache>
            </c:strRef>
          </c:tx>
          <c:spPr>
            <a:solidFill>
              <a:schemeClr val="accent2"/>
            </a:solidFill>
            <a:ln>
              <a:noFill/>
            </a:ln>
            <a:effectLst/>
          </c:spPr>
          <c:invertIfNegative val="0"/>
          <c:cat>
            <c:strRef>
              <c:f>'OI 2010'!$C$121:$C$126</c:f>
              <c:strCache>
                <c:ptCount val="6"/>
                <c:pt idx="0">
                  <c:v>0-5</c:v>
                </c:pt>
                <c:pt idx="1">
                  <c:v>5-10</c:v>
                </c:pt>
                <c:pt idx="2">
                  <c:v>10-15</c:v>
                </c:pt>
                <c:pt idx="3">
                  <c:v>15-20</c:v>
                </c:pt>
                <c:pt idx="4">
                  <c:v>20+</c:v>
                </c:pt>
                <c:pt idx="5">
                  <c:v>no info</c:v>
                </c:pt>
              </c:strCache>
            </c:strRef>
          </c:cat>
          <c:val>
            <c:numRef>
              <c:f>'OI 2010'!$E$121:$E$126</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F424-4B3B-B6F5-F1371F9CC8F6}"/>
            </c:ext>
          </c:extLst>
        </c:ser>
        <c:dLbls>
          <c:showLegendKey val="0"/>
          <c:showVal val="0"/>
          <c:showCatName val="0"/>
          <c:showSerName val="0"/>
          <c:showPercent val="0"/>
          <c:showBubbleSize val="0"/>
        </c:dLbls>
        <c:gapWidth val="219"/>
        <c:overlap val="-27"/>
        <c:axId val="243624424"/>
        <c:axId val="243624816"/>
      </c:barChart>
      <c:catAx>
        <c:axId val="243624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3624816"/>
        <c:crosses val="autoZero"/>
        <c:auto val="1"/>
        <c:lblAlgn val="ctr"/>
        <c:lblOffset val="100"/>
        <c:noMultiLvlLbl val="0"/>
      </c:catAx>
      <c:valAx>
        <c:axId val="24362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3624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Orders 2013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2009'!$I$95:$I$103</c:f>
              <c:strCache>
                <c:ptCount val="9"/>
                <c:pt idx="0">
                  <c:v>V60-850kW</c:v>
                </c:pt>
                <c:pt idx="1">
                  <c:v>V80-2.0MW</c:v>
                </c:pt>
                <c:pt idx="2">
                  <c:v>V90-2.0MW</c:v>
                </c:pt>
                <c:pt idx="3">
                  <c:v>V90-3.0MW</c:v>
                </c:pt>
                <c:pt idx="4">
                  <c:v>V90-1.8MW</c:v>
                </c:pt>
                <c:pt idx="5">
                  <c:v>V100-1.8MW</c:v>
                </c:pt>
                <c:pt idx="6">
                  <c:v>V100-2.0MW</c:v>
                </c:pt>
                <c:pt idx="7">
                  <c:v>V112-3.0MW</c:v>
                </c:pt>
                <c:pt idx="8">
                  <c:v>V82-1.65MW</c:v>
                </c:pt>
              </c:strCache>
            </c:strRef>
          </c:cat>
          <c:val>
            <c:numRef>
              <c:f>'OI 2009'!$L$95:$L$103</c:f>
              <c:numCache>
                <c:formatCode>0</c:formatCode>
                <c:ptCount val="9"/>
                <c:pt idx="0">
                  <c:v>0</c:v>
                </c:pt>
                <c:pt idx="1">
                  <c:v>88</c:v>
                </c:pt>
                <c:pt idx="2">
                  <c:v>130</c:v>
                </c:pt>
                <c:pt idx="3">
                  <c:v>286</c:v>
                </c:pt>
                <c:pt idx="4">
                  <c:v>0</c:v>
                </c:pt>
                <c:pt idx="5">
                  <c:v>50</c:v>
                </c:pt>
                <c:pt idx="6">
                  <c:v>0</c:v>
                </c:pt>
                <c:pt idx="7">
                  <c:v>0</c:v>
                </c:pt>
                <c:pt idx="8">
                  <c:v>60</c:v>
                </c:pt>
              </c:numCache>
            </c:numRef>
          </c:val>
          <c:extLst>
            <c:ext xmlns:c16="http://schemas.microsoft.com/office/drawing/2014/chart" uri="{C3380CC4-5D6E-409C-BE32-E72D297353CC}">
              <c16:uniqueId val="{00000000-FB15-4406-A234-6BE2C0428203}"/>
            </c:ext>
          </c:extLst>
        </c:ser>
        <c:dLbls>
          <c:showLegendKey val="0"/>
          <c:showVal val="0"/>
          <c:showCatName val="0"/>
          <c:showSerName val="0"/>
          <c:showPercent val="0"/>
          <c:showBubbleSize val="0"/>
        </c:dLbls>
        <c:gapWidth val="219"/>
        <c:overlap val="-27"/>
        <c:axId val="243625600"/>
        <c:axId val="243625992"/>
      </c:barChart>
      <c:catAx>
        <c:axId val="24362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3625992"/>
        <c:crosses val="autoZero"/>
        <c:auto val="1"/>
        <c:lblAlgn val="ctr"/>
        <c:lblOffset val="100"/>
        <c:noMultiLvlLbl val="0"/>
      </c:catAx>
      <c:valAx>
        <c:axId val="243625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3625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 time horizon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2009'!$D$120</c:f>
              <c:strCache>
                <c:ptCount val="1"/>
                <c:pt idx="0">
                  <c:v>AOM4000</c:v>
                </c:pt>
              </c:strCache>
            </c:strRef>
          </c:tx>
          <c:spPr>
            <a:solidFill>
              <a:schemeClr val="accent1"/>
            </a:solidFill>
            <a:ln>
              <a:noFill/>
            </a:ln>
            <a:effectLst/>
          </c:spPr>
          <c:invertIfNegative val="0"/>
          <c:cat>
            <c:strRef>
              <c:f>'OI 2009'!$C$121:$C$126</c:f>
              <c:strCache>
                <c:ptCount val="6"/>
                <c:pt idx="0">
                  <c:v>0-5</c:v>
                </c:pt>
                <c:pt idx="1">
                  <c:v>5-10</c:v>
                </c:pt>
                <c:pt idx="2">
                  <c:v>10-15</c:v>
                </c:pt>
                <c:pt idx="3">
                  <c:v>15-20</c:v>
                </c:pt>
                <c:pt idx="4">
                  <c:v>20+</c:v>
                </c:pt>
                <c:pt idx="5">
                  <c:v>no info</c:v>
                </c:pt>
              </c:strCache>
            </c:strRef>
          </c:cat>
          <c:val>
            <c:numRef>
              <c:f>'OI 2009'!$D$121:$D$126</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5CB2-4419-B694-20D3B3C3C68C}"/>
            </c:ext>
          </c:extLst>
        </c:ser>
        <c:ser>
          <c:idx val="1"/>
          <c:order val="1"/>
          <c:tx>
            <c:strRef>
              <c:f>'OI 2009'!$E$120</c:f>
              <c:strCache>
                <c:ptCount val="1"/>
                <c:pt idx="0">
                  <c:v>AOM5000</c:v>
                </c:pt>
              </c:strCache>
            </c:strRef>
          </c:tx>
          <c:spPr>
            <a:solidFill>
              <a:schemeClr val="accent2"/>
            </a:solidFill>
            <a:ln>
              <a:noFill/>
            </a:ln>
            <a:effectLst/>
          </c:spPr>
          <c:invertIfNegative val="0"/>
          <c:cat>
            <c:strRef>
              <c:f>'OI 2009'!$C$121:$C$126</c:f>
              <c:strCache>
                <c:ptCount val="6"/>
                <c:pt idx="0">
                  <c:v>0-5</c:v>
                </c:pt>
                <c:pt idx="1">
                  <c:v>5-10</c:v>
                </c:pt>
                <c:pt idx="2">
                  <c:v>10-15</c:v>
                </c:pt>
                <c:pt idx="3">
                  <c:v>15-20</c:v>
                </c:pt>
                <c:pt idx="4">
                  <c:v>20+</c:v>
                </c:pt>
                <c:pt idx="5">
                  <c:v>no info</c:v>
                </c:pt>
              </c:strCache>
            </c:strRef>
          </c:cat>
          <c:val>
            <c:numRef>
              <c:f>'OI 2009'!$E$121:$E$126</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5CB2-4419-B694-20D3B3C3C68C}"/>
            </c:ext>
          </c:extLst>
        </c:ser>
        <c:dLbls>
          <c:showLegendKey val="0"/>
          <c:showVal val="0"/>
          <c:showCatName val="0"/>
          <c:showSerName val="0"/>
          <c:showPercent val="0"/>
          <c:showBubbleSize val="0"/>
        </c:dLbls>
        <c:gapWidth val="219"/>
        <c:overlap val="-27"/>
        <c:axId val="243626776"/>
        <c:axId val="243627168"/>
      </c:barChart>
      <c:catAx>
        <c:axId val="243626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3627168"/>
        <c:crosses val="autoZero"/>
        <c:auto val="1"/>
        <c:lblAlgn val="ctr"/>
        <c:lblOffset val="100"/>
        <c:noMultiLvlLbl val="0"/>
      </c:catAx>
      <c:valAx>
        <c:axId val="24362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3626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turbines - Orders 2013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spPr>
            <a:solidFill>
              <a:schemeClr val="accent1"/>
            </a:solidFill>
            <a:ln>
              <a:noFill/>
            </a:ln>
            <a:effectLst/>
          </c:spPr>
          <c:invertIfNegative val="0"/>
          <c:cat>
            <c:strRef>
              <c:f>'OI 2008'!$I$95:$I$103</c:f>
              <c:strCache>
                <c:ptCount val="9"/>
                <c:pt idx="0">
                  <c:v>V52-850kW</c:v>
                </c:pt>
                <c:pt idx="1">
                  <c:v>V80-2.0MW</c:v>
                </c:pt>
                <c:pt idx="2">
                  <c:v>V90-2.0MW</c:v>
                </c:pt>
                <c:pt idx="3">
                  <c:v>V90-3.0MW</c:v>
                </c:pt>
                <c:pt idx="4">
                  <c:v>V90-1.8MW</c:v>
                </c:pt>
                <c:pt idx="5">
                  <c:v>V100-1.8MW</c:v>
                </c:pt>
                <c:pt idx="6">
                  <c:v>V100-2.0MW</c:v>
                </c:pt>
                <c:pt idx="7">
                  <c:v>V112-3.0MW</c:v>
                </c:pt>
                <c:pt idx="8">
                  <c:v>V126-3.0MW</c:v>
                </c:pt>
              </c:strCache>
            </c:strRef>
          </c:cat>
          <c:val>
            <c:numRef>
              <c:f>'OI 2008'!$L$95:$L$103</c:f>
              <c:numCache>
                <c:formatCode>0</c:formatCode>
                <c:ptCount val="9"/>
                <c:pt idx="0">
                  <c:v>237</c:v>
                </c:pt>
                <c:pt idx="1">
                  <c:v>0</c:v>
                </c:pt>
                <c:pt idx="2">
                  <c:v>101</c:v>
                </c:pt>
                <c:pt idx="3">
                  <c:v>219</c:v>
                </c:pt>
                <c:pt idx="4">
                  <c:v>26</c:v>
                </c:pt>
                <c:pt idx="5">
                  <c:v>0</c:v>
                </c:pt>
                <c:pt idx="6">
                  <c:v>0</c:v>
                </c:pt>
                <c:pt idx="7">
                  <c:v>0</c:v>
                </c:pt>
                <c:pt idx="8">
                  <c:v>0</c:v>
                </c:pt>
              </c:numCache>
            </c:numRef>
          </c:val>
          <c:extLst>
            <c:ext xmlns:c16="http://schemas.microsoft.com/office/drawing/2014/chart" uri="{C3380CC4-5D6E-409C-BE32-E72D297353CC}">
              <c16:uniqueId val="{00000000-93CA-4673-816E-44E13B66FB97}"/>
            </c:ext>
          </c:extLst>
        </c:ser>
        <c:dLbls>
          <c:showLegendKey val="0"/>
          <c:showVal val="0"/>
          <c:showCatName val="0"/>
          <c:showSerName val="0"/>
          <c:showPercent val="0"/>
          <c:showBubbleSize val="0"/>
        </c:dLbls>
        <c:gapWidth val="219"/>
        <c:overlap val="-27"/>
        <c:axId val="244429040"/>
        <c:axId val="244429432"/>
      </c:barChart>
      <c:catAx>
        <c:axId val="2444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4429432"/>
        <c:crosses val="autoZero"/>
        <c:auto val="1"/>
        <c:lblAlgn val="ctr"/>
        <c:lblOffset val="100"/>
        <c:noMultiLvlLbl val="0"/>
      </c:catAx>
      <c:valAx>
        <c:axId val="244429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4429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 time horizon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'OI 2008'!$D$120</c:f>
              <c:strCache>
                <c:ptCount val="1"/>
                <c:pt idx="0">
                  <c:v>AOM4000</c:v>
                </c:pt>
              </c:strCache>
            </c:strRef>
          </c:tx>
          <c:spPr>
            <a:solidFill>
              <a:schemeClr val="accent1"/>
            </a:solidFill>
            <a:ln>
              <a:noFill/>
            </a:ln>
            <a:effectLst/>
          </c:spPr>
          <c:invertIfNegative val="0"/>
          <c:cat>
            <c:strRef>
              <c:f>'OI 2008'!$C$121:$C$126</c:f>
              <c:strCache>
                <c:ptCount val="6"/>
                <c:pt idx="0">
                  <c:v>0-5</c:v>
                </c:pt>
                <c:pt idx="1">
                  <c:v>5-10</c:v>
                </c:pt>
                <c:pt idx="2">
                  <c:v>10-15</c:v>
                </c:pt>
                <c:pt idx="3">
                  <c:v>15-20</c:v>
                </c:pt>
                <c:pt idx="4">
                  <c:v>20+</c:v>
                </c:pt>
                <c:pt idx="5">
                  <c:v>no info</c:v>
                </c:pt>
              </c:strCache>
            </c:strRef>
          </c:cat>
          <c:val>
            <c:numRef>
              <c:f>'OI 2008'!$D$121:$D$126</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DC2F-4323-AEBC-4268F9709DA2}"/>
            </c:ext>
          </c:extLst>
        </c:ser>
        <c:ser>
          <c:idx val="1"/>
          <c:order val="1"/>
          <c:tx>
            <c:strRef>
              <c:f>'OI 2008'!$E$120</c:f>
              <c:strCache>
                <c:ptCount val="1"/>
                <c:pt idx="0">
                  <c:v>AOM5000</c:v>
                </c:pt>
              </c:strCache>
            </c:strRef>
          </c:tx>
          <c:spPr>
            <a:solidFill>
              <a:schemeClr val="accent2"/>
            </a:solidFill>
            <a:ln>
              <a:noFill/>
            </a:ln>
            <a:effectLst/>
          </c:spPr>
          <c:invertIfNegative val="0"/>
          <c:cat>
            <c:strRef>
              <c:f>'OI 2008'!$C$121:$C$126</c:f>
              <c:strCache>
                <c:ptCount val="6"/>
                <c:pt idx="0">
                  <c:v>0-5</c:v>
                </c:pt>
                <c:pt idx="1">
                  <c:v>5-10</c:v>
                </c:pt>
                <c:pt idx="2">
                  <c:v>10-15</c:v>
                </c:pt>
                <c:pt idx="3">
                  <c:v>15-20</c:v>
                </c:pt>
                <c:pt idx="4">
                  <c:v>20+</c:v>
                </c:pt>
                <c:pt idx="5">
                  <c:v>no info</c:v>
                </c:pt>
              </c:strCache>
            </c:strRef>
          </c:cat>
          <c:val>
            <c:numRef>
              <c:f>'OI 2008'!$E$121:$E$126</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DC2F-4323-AEBC-4268F9709DA2}"/>
            </c:ext>
          </c:extLst>
        </c:ser>
        <c:dLbls>
          <c:showLegendKey val="0"/>
          <c:showVal val="0"/>
          <c:showCatName val="0"/>
          <c:showSerName val="0"/>
          <c:showPercent val="0"/>
          <c:showBubbleSize val="0"/>
        </c:dLbls>
        <c:gapWidth val="219"/>
        <c:overlap val="-27"/>
        <c:axId val="244430216"/>
        <c:axId val="244430608"/>
      </c:barChart>
      <c:catAx>
        <c:axId val="244430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4430608"/>
        <c:crosses val="autoZero"/>
        <c:auto val="1"/>
        <c:lblAlgn val="ctr"/>
        <c:lblOffset val="100"/>
        <c:noMultiLvlLbl val="0"/>
      </c:catAx>
      <c:valAx>
        <c:axId val="24443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4430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'Vestas turbines hist #'!$B$39</c:f>
              <c:strCache>
                <c:ptCount val="1"/>
                <c:pt idx="0">
                  <c:v>V100-1.8MW</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#'!$T$39:$AD$39</c:f>
              <c:numCache>
                <c:formatCode>0</c:formatCode>
                <c:ptCount val="11"/>
                <c:pt idx="0">
                  <c:v>0</c:v>
                </c:pt>
                <c:pt idx="1">
                  <c:v>0</c:v>
                </c:pt>
                <c:pt idx="2">
                  <c:v>15</c:v>
                </c:pt>
                <c:pt idx="3">
                  <c:v>70</c:v>
                </c:pt>
                <c:pt idx="4">
                  <c:v>0</c:v>
                </c:pt>
                <c:pt idx="5">
                  <c:v>212.11111111111111</c:v>
                </c:pt>
                <c:pt idx="6">
                  <c:v>163</c:v>
                </c:pt>
                <c:pt idx="7">
                  <c:v>376</c:v>
                </c:pt>
                <c:pt idx="8">
                  <c:v>252</c:v>
                </c:pt>
                <c:pt idx="9">
                  <c:v>50</c:v>
                </c:pt>
                <c:pt idx="10">
                  <c:v>0</c:v>
                </c:pt>
              </c:numCache>
            </c:numRef>
          </c:yVal>
          <c:smooth val="0"/>
          <c:extLst>
            <c:ext xmlns:c16="http://schemas.microsoft.com/office/drawing/2014/chart" uri="{C3380CC4-5D6E-409C-BE32-E72D297353CC}">
              <c16:uniqueId val="{00000000-2653-483E-9C72-C9AA457079C9}"/>
            </c:ext>
          </c:extLst>
        </c:ser>
        <c:ser>
          <c:idx val="1"/>
          <c:order val="1"/>
          <c:tx>
            <c:strRef>
              <c:f>'Vestas turbines hist #'!$B$40</c:f>
              <c:strCache>
                <c:ptCount val="1"/>
                <c:pt idx="0">
                  <c:v>V100-2.0MW</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#'!$T$40:$AD$40</c:f>
              <c:numCache>
                <c:formatCode>0</c:formatCode>
                <c:ptCount val="11"/>
                <c:pt idx="0">
                  <c:v>141</c:v>
                </c:pt>
                <c:pt idx="1">
                  <c:v>72</c:v>
                </c:pt>
                <c:pt idx="2">
                  <c:v>104</c:v>
                </c:pt>
                <c:pt idx="3">
                  <c:v>486</c:v>
                </c:pt>
                <c:pt idx="4">
                  <c:v>659</c:v>
                </c:pt>
                <c:pt idx="5">
                  <c:v>445</c:v>
                </c:pt>
                <c:pt idx="6">
                  <c:v>18</c:v>
                </c:pt>
                <c:pt idx="7">
                  <c:v>0</c:v>
                </c:pt>
                <c:pt idx="8">
                  <c:v>0</c:v>
                </c:pt>
                <c:pt idx="9">
                  <c:v>0</c:v>
                </c:pt>
                <c:pt idx="10">
                  <c:v>0</c:v>
                </c:pt>
              </c:numCache>
            </c:numRef>
          </c:yVal>
          <c:smooth val="0"/>
          <c:extLst>
            <c:ext xmlns:c16="http://schemas.microsoft.com/office/drawing/2014/chart" uri="{C3380CC4-5D6E-409C-BE32-E72D297353CC}">
              <c16:uniqueId val="{00000001-2653-483E-9C72-C9AA457079C9}"/>
            </c:ext>
          </c:extLst>
        </c:ser>
        <c:ser>
          <c:idx val="2"/>
          <c:order val="2"/>
          <c:tx>
            <c:strRef>
              <c:f>'Vestas turbines hist #'!$B$41</c:f>
              <c:strCache>
                <c:ptCount val="1"/>
                <c:pt idx="0">
                  <c:v>V100-2.6MW</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#'!$T$41:$AD$41</c:f>
              <c:numCache>
                <c:formatCode>0</c:formatCode>
                <c:ptCount val="11"/>
                <c:pt idx="0">
                  <c:v>0</c:v>
                </c:pt>
                <c:pt idx="1">
                  <c:v>0</c:v>
                </c:pt>
                <c:pt idx="2">
                  <c:v>0</c:v>
                </c:pt>
                <c:pt idx="3">
                  <c:v>0</c:v>
                </c:pt>
                <c:pt idx="4">
                  <c:v>0</c:v>
                </c:pt>
                <c:pt idx="5">
                  <c:v>24</c:v>
                </c:pt>
                <c:pt idx="6">
                  <c:v>21</c:v>
                </c:pt>
                <c:pt idx="7">
                  <c:v>30</c:v>
                </c:pt>
                <c:pt idx="8">
                  <c:v>0</c:v>
                </c:pt>
                <c:pt idx="9">
                  <c:v>0</c:v>
                </c:pt>
                <c:pt idx="10">
                  <c:v>0</c:v>
                </c:pt>
              </c:numCache>
            </c:numRef>
          </c:yVal>
          <c:smooth val="0"/>
          <c:extLst>
            <c:ext xmlns:c16="http://schemas.microsoft.com/office/drawing/2014/chart" uri="{C3380CC4-5D6E-409C-BE32-E72D297353CC}">
              <c16:uniqueId val="{00000002-2653-483E-9C72-C9AA457079C9}"/>
            </c:ext>
          </c:extLst>
        </c:ser>
        <c:ser>
          <c:idx val="3"/>
          <c:order val="3"/>
          <c:tx>
            <c:strRef>
              <c:f>'Vestas turbines hist #'!$B$42</c:f>
              <c:strCache>
                <c:ptCount val="1"/>
                <c:pt idx="0">
                  <c:v>V100-2.75MW</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#'!$T$42:$AD$42</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03-2653-483E-9C72-C9AA457079C9}"/>
            </c:ext>
          </c:extLst>
        </c:ser>
        <c:ser>
          <c:idx val="4"/>
          <c:order val="4"/>
          <c:tx>
            <c:strRef>
              <c:f>'Vestas turbines hist #'!$B$43</c:f>
              <c:strCache>
                <c:ptCount val="1"/>
                <c:pt idx="0">
                  <c:v>V105-3.3MW</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#'!$T$43:$AD$43</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04-2653-483E-9C72-C9AA457079C9}"/>
            </c:ext>
          </c:extLst>
        </c:ser>
        <c:ser>
          <c:idx val="5"/>
          <c:order val="5"/>
          <c:tx>
            <c:strRef>
              <c:f>'Vestas turbines hist #'!$B$44</c:f>
              <c:strCache>
                <c:ptCount val="1"/>
                <c:pt idx="0">
                  <c:v>V105-3.45MW</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#'!$T$44:$AD$44</c:f>
              <c:numCache>
                <c:formatCode>0</c:formatCode>
                <c:ptCount val="11"/>
                <c:pt idx="0">
                  <c:v>0</c:v>
                </c:pt>
                <c:pt idx="1">
                  <c:v>31.714975845410628</c:v>
                </c:pt>
                <c:pt idx="2">
                  <c:v>8.9855072463768106</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05-2653-483E-9C72-C9AA457079C9}"/>
            </c:ext>
          </c:extLst>
        </c:ser>
        <c:ser>
          <c:idx val="6"/>
          <c:order val="6"/>
          <c:tx>
            <c:strRef>
              <c:f>'Vestas turbines hist #'!$B$45</c:f>
              <c:strCache>
                <c:ptCount val="1"/>
                <c:pt idx="0">
                  <c:v>V105-3.6MW</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#'!$T$45:$AD$45</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06-2653-483E-9C72-C9AA457079C9}"/>
            </c:ext>
          </c:extLst>
        </c:ser>
        <c:ser>
          <c:idx val="7"/>
          <c:order val="7"/>
          <c:tx>
            <c:strRef>
              <c:f>'Vestas turbines hist #'!$B$46</c:f>
              <c:strCache>
                <c:ptCount val="1"/>
                <c:pt idx="0">
                  <c:v>V110-2.0MW</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#'!$T$46:$AD$46</c:f>
              <c:numCache>
                <c:formatCode>0</c:formatCode>
                <c:ptCount val="11"/>
                <c:pt idx="0">
                  <c:v>360.09090909090912</c:v>
                </c:pt>
                <c:pt idx="1">
                  <c:v>1409.5</c:v>
                </c:pt>
                <c:pt idx="2">
                  <c:v>1354.3636363636363</c:v>
                </c:pt>
                <c:pt idx="3">
                  <c:v>860</c:v>
                </c:pt>
                <c:pt idx="4">
                  <c:v>336</c:v>
                </c:pt>
                <c:pt idx="5">
                  <c:v>295</c:v>
                </c:pt>
                <c:pt idx="6">
                  <c:v>0</c:v>
                </c:pt>
                <c:pt idx="7">
                  <c:v>0</c:v>
                </c:pt>
                <c:pt idx="8">
                  <c:v>0</c:v>
                </c:pt>
                <c:pt idx="9">
                  <c:v>0</c:v>
                </c:pt>
                <c:pt idx="10">
                  <c:v>0</c:v>
                </c:pt>
              </c:numCache>
            </c:numRef>
          </c:yVal>
          <c:smooth val="0"/>
          <c:extLst>
            <c:ext xmlns:c16="http://schemas.microsoft.com/office/drawing/2014/chart" uri="{C3380CC4-5D6E-409C-BE32-E72D297353CC}">
              <c16:uniqueId val="{00000007-2653-483E-9C72-C9AA457079C9}"/>
            </c:ext>
          </c:extLst>
        </c:ser>
        <c:ser>
          <c:idx val="8"/>
          <c:order val="8"/>
          <c:tx>
            <c:strRef>
              <c:f>'Vestas turbines hist #'!$B$48</c:f>
              <c:strCache>
                <c:ptCount val="1"/>
                <c:pt idx="0">
                  <c:v>V112-3.0MW</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#'!$T$48:$AD$48</c:f>
              <c:numCache>
                <c:formatCode>0</c:formatCode>
                <c:ptCount val="11"/>
                <c:pt idx="0">
                  <c:v>19</c:v>
                </c:pt>
                <c:pt idx="1">
                  <c:v>0</c:v>
                </c:pt>
                <c:pt idx="2">
                  <c:v>0</c:v>
                </c:pt>
                <c:pt idx="3">
                  <c:v>12</c:v>
                </c:pt>
                <c:pt idx="4">
                  <c:v>97.333333333333329</c:v>
                </c:pt>
                <c:pt idx="5">
                  <c:v>378</c:v>
                </c:pt>
                <c:pt idx="6">
                  <c:v>112</c:v>
                </c:pt>
                <c:pt idx="7">
                  <c:v>250</c:v>
                </c:pt>
                <c:pt idx="8">
                  <c:v>200</c:v>
                </c:pt>
                <c:pt idx="9">
                  <c:v>0</c:v>
                </c:pt>
                <c:pt idx="10">
                  <c:v>0</c:v>
                </c:pt>
              </c:numCache>
            </c:numRef>
          </c:yVal>
          <c:smooth val="0"/>
          <c:extLst>
            <c:ext xmlns:c16="http://schemas.microsoft.com/office/drawing/2014/chart" uri="{C3380CC4-5D6E-409C-BE32-E72D297353CC}">
              <c16:uniqueId val="{00000008-2653-483E-9C72-C9AA457079C9}"/>
            </c:ext>
          </c:extLst>
        </c:ser>
        <c:ser>
          <c:idx val="10"/>
          <c:order val="9"/>
          <c:tx>
            <c:strRef>
              <c:f>'Vestas turbines hist #'!$B$49</c:f>
              <c:strCache>
                <c:ptCount val="1"/>
                <c:pt idx="0">
                  <c:v>V112-3.075MW</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#'!$T$49:$AD$49</c:f>
              <c:numCache>
                <c:formatCode>0</c:formatCode>
                <c:ptCount val="11"/>
                <c:pt idx="0">
                  <c:v>0</c:v>
                </c:pt>
                <c:pt idx="1">
                  <c:v>0</c:v>
                </c:pt>
                <c:pt idx="2">
                  <c:v>0</c:v>
                </c:pt>
                <c:pt idx="3">
                  <c:v>13.008130081300813</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09-2653-483E-9C72-C9AA457079C9}"/>
            </c:ext>
          </c:extLst>
        </c:ser>
        <c:ser>
          <c:idx val="11"/>
          <c:order val="10"/>
          <c:tx>
            <c:strRef>
              <c:f>'Vestas turbines hist #'!$B$50</c:f>
              <c:strCache>
                <c:ptCount val="1"/>
                <c:pt idx="0">
                  <c:v>V112-3.3MW</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#'!$T$50:$AD$50</c:f>
              <c:numCache>
                <c:formatCode>0</c:formatCode>
                <c:ptCount val="11"/>
                <c:pt idx="0">
                  <c:v>0</c:v>
                </c:pt>
                <c:pt idx="1">
                  <c:v>26.060606060606062</c:v>
                </c:pt>
                <c:pt idx="2">
                  <c:v>34.848484848484851</c:v>
                </c:pt>
                <c:pt idx="3">
                  <c:v>212.12121212121212</c:v>
                </c:pt>
                <c:pt idx="4">
                  <c:v>200.06060606060606</c:v>
                </c:pt>
                <c:pt idx="5">
                  <c:v>89.090909090909093</c:v>
                </c:pt>
                <c:pt idx="6">
                  <c:v>0</c:v>
                </c:pt>
                <c:pt idx="7">
                  <c:v>0</c:v>
                </c:pt>
                <c:pt idx="8">
                  <c:v>0</c:v>
                </c:pt>
                <c:pt idx="9">
                  <c:v>0</c:v>
                </c:pt>
                <c:pt idx="10">
                  <c:v>0</c:v>
                </c:pt>
              </c:numCache>
            </c:numRef>
          </c:yVal>
          <c:smooth val="0"/>
          <c:extLst>
            <c:ext xmlns:c16="http://schemas.microsoft.com/office/drawing/2014/chart" uri="{C3380CC4-5D6E-409C-BE32-E72D297353CC}">
              <c16:uniqueId val="{0000000A-2653-483E-9C72-C9AA457079C9}"/>
            </c:ext>
          </c:extLst>
        </c:ser>
        <c:ser>
          <c:idx val="12"/>
          <c:order val="11"/>
          <c:tx>
            <c:strRef>
              <c:f>'Vestas turbines hist #'!$B$51</c:f>
              <c:strCache>
                <c:ptCount val="1"/>
                <c:pt idx="0">
                  <c:v>V112-3.45MW</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#'!$T$51:$AD$51</c:f>
              <c:numCache>
                <c:formatCode>0</c:formatCode>
                <c:ptCount val="11"/>
                <c:pt idx="0">
                  <c:v>22.95125164690382</c:v>
                </c:pt>
                <c:pt idx="1">
                  <c:v>40.125603864734295</c:v>
                </c:pt>
                <c:pt idx="2">
                  <c:v>164.15942028985506</c:v>
                </c:pt>
                <c:pt idx="3">
                  <c:v>140.69652000347131</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0B-2653-483E-9C72-C9AA457079C9}"/>
            </c:ext>
          </c:extLst>
        </c:ser>
        <c:ser>
          <c:idx val="13"/>
          <c:order val="12"/>
          <c:tx>
            <c:strRef>
              <c:f>'Vestas turbines hist #'!$B$52</c:f>
              <c:strCache>
                <c:ptCount val="1"/>
                <c:pt idx="0">
                  <c:v>V112-3.6MW</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#'!$T$52:$AD$52</c:f>
            </c:numRef>
          </c:yVal>
          <c:smooth val="0"/>
          <c:extLst>
            <c:ext xmlns:c16="http://schemas.microsoft.com/office/drawing/2014/chart" uri="{C3380CC4-5D6E-409C-BE32-E72D297353CC}">
              <c16:uniqueId val="{0000000C-2653-483E-9C72-C9AA457079C9}"/>
            </c:ext>
          </c:extLst>
        </c:ser>
        <c:ser>
          <c:idx val="14"/>
          <c:order val="13"/>
          <c:tx>
            <c:strRef>
              <c:f>'Vestas turbines hist #'!$B$53</c:f>
              <c:strCache>
                <c:ptCount val="1"/>
                <c:pt idx="0">
                  <c:v>V116-2.0MW</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#'!$T$53:$AD$53</c:f>
              <c:numCache>
                <c:formatCode>0</c:formatCode>
                <c:ptCount val="11"/>
                <c:pt idx="0">
                  <c:v>216</c:v>
                </c:pt>
                <c:pt idx="1">
                  <c:v>33</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0D-2653-483E-9C72-C9AA457079C9}"/>
            </c:ext>
          </c:extLst>
        </c:ser>
        <c:ser>
          <c:idx val="15"/>
          <c:order val="14"/>
          <c:tx>
            <c:strRef>
              <c:f>'Vestas turbines hist #'!$B$54</c:f>
              <c:strCache>
                <c:ptCount val="1"/>
                <c:pt idx="0">
                  <c:v>V117-3.3MW</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#'!$T$54:$AD$54</c:f>
              <c:numCache>
                <c:formatCode>0</c:formatCode>
                <c:ptCount val="11"/>
                <c:pt idx="0">
                  <c:v>10</c:v>
                </c:pt>
                <c:pt idx="1">
                  <c:v>0</c:v>
                </c:pt>
                <c:pt idx="2">
                  <c:v>53.939393939393945</c:v>
                </c:pt>
                <c:pt idx="3">
                  <c:v>365.45454545454544</c:v>
                </c:pt>
                <c:pt idx="4">
                  <c:v>19</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0E-2653-483E-9C72-C9AA457079C9}"/>
            </c:ext>
          </c:extLst>
        </c:ser>
        <c:ser>
          <c:idx val="16"/>
          <c:order val="15"/>
          <c:tx>
            <c:strRef>
              <c:f>'Vestas turbines hist #'!$B$55</c:f>
              <c:strCache>
                <c:ptCount val="1"/>
                <c:pt idx="0">
                  <c:v>V117-3.45MW</c:v>
                </c:pt>
              </c:strCache>
            </c:strRef>
          </c:tx>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#'!$T$55:$AD$55</c:f>
              <c:numCache>
                <c:formatCode>0</c:formatCode>
                <c:ptCount val="11"/>
                <c:pt idx="0">
                  <c:v>178.15217391304347</c:v>
                </c:pt>
                <c:pt idx="1">
                  <c:v>66.932367149758448</c:v>
                </c:pt>
                <c:pt idx="2">
                  <c:v>398.97101449275362</c:v>
                </c:pt>
                <c:pt idx="3">
                  <c:v>30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0F-2653-483E-9C72-C9AA457079C9}"/>
            </c:ext>
          </c:extLst>
        </c:ser>
        <c:ser>
          <c:idx val="17"/>
          <c:order val="16"/>
          <c:tx>
            <c:strRef>
              <c:f>'Vestas turbines hist #'!$B$56</c:f>
              <c:strCache>
                <c:ptCount val="1"/>
                <c:pt idx="0">
                  <c:v>V117-4.2MW</c:v>
                </c:pt>
              </c:strCache>
            </c:strRef>
          </c:tx>
          <c:spPr>
            <a:ln w="19050"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#'!$T$56:$AD$56</c:f>
              <c:numCache>
                <c:formatCode>0</c:formatCode>
                <c:ptCount val="11"/>
                <c:pt idx="0">
                  <c:v>31</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10-2653-483E-9C72-C9AA457079C9}"/>
            </c:ext>
          </c:extLst>
        </c:ser>
        <c:ser>
          <c:idx val="18"/>
          <c:order val="17"/>
          <c:tx>
            <c:strRef>
              <c:f>'Vestas turbines hist #'!$B$57</c:f>
              <c:strCache>
                <c:ptCount val="1"/>
                <c:pt idx="0">
                  <c:v>V120-2.0MW</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#'!$T$57:$AD$57</c:f>
              <c:numCache>
                <c:formatCode>0</c:formatCode>
                <c:ptCount val="11"/>
                <c:pt idx="0">
                  <c:v>195</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11-2653-483E-9C72-C9AA457079C9}"/>
            </c:ext>
          </c:extLst>
        </c:ser>
        <c:ser>
          <c:idx val="19"/>
          <c:order val="18"/>
          <c:tx>
            <c:strRef>
              <c:f>'Vestas turbines hist #'!$B$59</c:f>
              <c:strCache>
                <c:ptCount val="1"/>
                <c:pt idx="0">
                  <c:v>V126-3.0MW</c:v>
                </c:pt>
              </c:strCache>
            </c:strRef>
          </c:tx>
          <c:spPr>
            <a:ln w="19050"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#'!$T$59:$AD$59</c:f>
              <c:numCache>
                <c:formatCode>0</c:formatCode>
                <c:ptCount val="11"/>
                <c:pt idx="0">
                  <c:v>0</c:v>
                </c:pt>
                <c:pt idx="1">
                  <c:v>0</c:v>
                </c:pt>
                <c:pt idx="2">
                  <c:v>0</c:v>
                </c:pt>
                <c:pt idx="3">
                  <c:v>0</c:v>
                </c:pt>
                <c:pt idx="4">
                  <c:v>0</c:v>
                </c:pt>
                <c:pt idx="5">
                  <c:v>0</c:v>
                </c:pt>
                <c:pt idx="6">
                  <c:v>3</c:v>
                </c:pt>
                <c:pt idx="7">
                  <c:v>0</c:v>
                </c:pt>
                <c:pt idx="8">
                  <c:v>0</c:v>
                </c:pt>
                <c:pt idx="9">
                  <c:v>0</c:v>
                </c:pt>
                <c:pt idx="10">
                  <c:v>0</c:v>
                </c:pt>
              </c:numCache>
            </c:numRef>
          </c:yVal>
          <c:smooth val="0"/>
          <c:extLst>
            <c:ext xmlns:c16="http://schemas.microsoft.com/office/drawing/2014/chart" uri="{C3380CC4-5D6E-409C-BE32-E72D297353CC}">
              <c16:uniqueId val="{00000012-2653-483E-9C72-C9AA457079C9}"/>
            </c:ext>
          </c:extLst>
        </c:ser>
        <c:ser>
          <c:idx val="20"/>
          <c:order val="19"/>
          <c:tx>
            <c:strRef>
              <c:f>'Vestas turbines hist #'!$B$60</c:f>
              <c:strCache>
                <c:ptCount val="1"/>
                <c:pt idx="0">
                  <c:v>V126-3.3MW</c:v>
                </c:pt>
              </c:strCache>
            </c:strRef>
          </c:tx>
          <c:spPr>
            <a:ln w="19050"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#'!$T$60:$AD$60</c:f>
              <c:numCache>
                <c:formatCode>0</c:formatCode>
                <c:ptCount val="11"/>
                <c:pt idx="0">
                  <c:v>0</c:v>
                </c:pt>
                <c:pt idx="1">
                  <c:v>22.121212121212121</c:v>
                </c:pt>
                <c:pt idx="2">
                  <c:v>58.787878787878796</c:v>
                </c:pt>
                <c:pt idx="3">
                  <c:v>218.78787878787878</c:v>
                </c:pt>
                <c:pt idx="4">
                  <c:v>98.090909090909093</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13-2653-483E-9C72-C9AA457079C9}"/>
            </c:ext>
          </c:extLst>
        </c:ser>
        <c:ser>
          <c:idx val="21"/>
          <c:order val="20"/>
          <c:tx>
            <c:strRef>
              <c:f>'Vestas turbines hist #'!$B$61</c:f>
              <c:strCache>
                <c:ptCount val="1"/>
                <c:pt idx="0">
                  <c:v>V126-3.45MW</c:v>
                </c:pt>
              </c:strCache>
            </c:strRef>
          </c:tx>
          <c:spPr>
            <a:ln w="19050"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#'!$T$61:$AD$61</c:f>
              <c:numCache>
                <c:formatCode>0</c:formatCode>
                <c:ptCount val="11"/>
                <c:pt idx="0">
                  <c:v>230.11212814645307</c:v>
                </c:pt>
                <c:pt idx="1">
                  <c:v>310.80676328502415</c:v>
                </c:pt>
                <c:pt idx="2">
                  <c:v>350.91787439613523</c:v>
                </c:pt>
                <c:pt idx="3">
                  <c:v>26.956521739130434</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14-2653-483E-9C72-C9AA457079C9}"/>
            </c:ext>
          </c:extLst>
        </c:ser>
        <c:ser>
          <c:idx val="22"/>
          <c:order val="21"/>
          <c:tx>
            <c:strRef>
              <c:f>'Vestas turbines hist #'!$B$65</c:f>
              <c:strCache>
                <c:ptCount val="1"/>
                <c:pt idx="0">
                  <c:v>V136-3.45MW</c:v>
                </c:pt>
              </c:strCache>
            </c:strRef>
          </c:tx>
          <c:spPr>
            <a:ln w="19050"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#'!$T$65:$AD$65</c:f>
              <c:numCache>
                <c:formatCode>0</c:formatCode>
                <c:ptCount val="11"/>
                <c:pt idx="0">
                  <c:v>717.71789982201881</c:v>
                </c:pt>
                <c:pt idx="1">
                  <c:v>634.83409610983983</c:v>
                </c:pt>
                <c:pt idx="2">
                  <c:v>0</c:v>
                </c:pt>
                <c:pt idx="3">
                  <c:v>33.913043478260867</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15-2653-483E-9C72-C9AA457079C9}"/>
            </c:ext>
          </c:extLst>
        </c:ser>
        <c:ser>
          <c:idx val="23"/>
          <c:order val="22"/>
          <c:tx>
            <c:strRef>
              <c:f>'Vestas turbines hist #'!$B$66</c:f>
              <c:strCache>
                <c:ptCount val="1"/>
                <c:pt idx="0">
                  <c:v>V136-3.6MW</c:v>
                </c:pt>
              </c:strCache>
            </c:strRef>
          </c:tx>
          <c:spPr>
            <a:ln w="19050"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#'!$T$66:$AD$66</c:f>
              <c:numCache>
                <c:formatCode>0</c:formatCode>
                <c:ptCount val="11"/>
                <c:pt idx="0">
                  <c:v>103</c:v>
                </c:pt>
                <c:pt idx="1">
                  <c:v>44.166666666666671</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16-2653-483E-9C72-C9AA457079C9}"/>
            </c:ext>
          </c:extLst>
        </c:ser>
        <c:ser>
          <c:idx val="24"/>
          <c:order val="23"/>
          <c:tx>
            <c:strRef>
              <c:f>'Vestas turbines hist #'!$B$67</c:f>
              <c:strCache>
                <c:ptCount val="1"/>
                <c:pt idx="0">
                  <c:v>V136-4.2MW</c:v>
                </c:pt>
              </c:strCache>
            </c:strRef>
          </c:tx>
          <c:spPr>
            <a:ln w="19050"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#'!$T$67:$AD$67</c:f>
              <c:numCache>
                <c:formatCode>0</c:formatCode>
                <c:ptCount val="11"/>
                <c:pt idx="0">
                  <c:v>406.8095238095238</c:v>
                </c:pt>
                <c:pt idx="1">
                  <c:v>85</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17-2653-483E-9C72-C9AA457079C9}"/>
            </c:ext>
          </c:extLst>
        </c:ser>
        <c:ser>
          <c:idx val="25"/>
          <c:order val="24"/>
          <c:tx>
            <c:strRef>
              <c:f>'Vestas turbines hist #'!$B$69</c:f>
              <c:strCache>
                <c:ptCount val="1"/>
                <c:pt idx="0">
                  <c:v>V150-4.2MW</c:v>
                </c:pt>
              </c:strCache>
            </c:strRef>
          </c:tx>
          <c:spPr>
            <a:ln w="19050"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#'!$T$69:$AD$69</c:f>
              <c:numCache>
                <c:formatCode>0</c:formatCode>
                <c:ptCount val="11"/>
                <c:pt idx="0">
                  <c:v>267</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18-2653-483E-9C72-C9AA457079C9}"/>
            </c:ext>
          </c:extLst>
        </c:ser>
        <c:ser>
          <c:idx val="26"/>
          <c:order val="25"/>
          <c:tx>
            <c:strRef>
              <c:f>'Vestas turbines hist #'!$B$78</c:f>
              <c:strCache>
                <c:ptCount val="1"/>
                <c:pt idx="0">
                  <c:v>V164-7.0MW</c:v>
                </c:pt>
              </c:strCache>
            </c:strRef>
          </c:tx>
          <c:spPr>
            <a:ln w="19050"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#'!$T$78:$AD$78</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19-2653-483E-9C72-C9AA457079C9}"/>
            </c:ext>
          </c:extLst>
        </c:ser>
        <c:ser>
          <c:idx val="27"/>
          <c:order val="26"/>
          <c:tx>
            <c:strRef>
              <c:f>'Vestas turbines hist #'!$B$79</c:f>
              <c:strCache>
                <c:ptCount val="1"/>
                <c:pt idx="0">
                  <c:v>V164-8.0MW</c:v>
                </c:pt>
              </c:strCache>
            </c:strRef>
          </c:tx>
          <c:spPr>
            <a:ln w="19050"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#'!$T$79:$AD$79</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1A-2653-483E-9C72-C9AA457079C9}"/>
            </c:ext>
          </c:extLst>
        </c:ser>
        <c:ser>
          <c:idx val="28"/>
          <c:order val="27"/>
          <c:tx>
            <c:strRef>
              <c:f>'Vestas turbines hist #'!$B$10</c:f>
              <c:strCache>
                <c:ptCount val="1"/>
                <c:pt idx="0">
                  <c:v>V20-0.1MW</c:v>
                </c:pt>
              </c:strCache>
            </c:strRef>
          </c:tx>
          <c:spPr>
            <a:ln w="19050"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#'!$T$10:$AD$10</c:f>
            </c:numRef>
          </c:yVal>
          <c:smooth val="0"/>
          <c:extLst>
            <c:ext xmlns:c16="http://schemas.microsoft.com/office/drawing/2014/chart" uri="{C3380CC4-5D6E-409C-BE32-E72D297353CC}">
              <c16:uniqueId val="{0000001B-2653-483E-9C72-C9AA457079C9}"/>
            </c:ext>
          </c:extLst>
        </c:ser>
        <c:ser>
          <c:idx val="29"/>
          <c:order val="28"/>
          <c:tx>
            <c:strRef>
              <c:f>'Vestas turbines hist #'!$B$11</c:f>
              <c:strCache>
                <c:ptCount val="1"/>
                <c:pt idx="0">
                  <c:v>V23-0.15MW</c:v>
                </c:pt>
              </c:strCache>
            </c:strRef>
          </c:tx>
          <c:spPr>
            <a:ln w="19050"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#'!$T$11:$AD$11</c:f>
            </c:numRef>
          </c:yVal>
          <c:smooth val="0"/>
          <c:extLst>
            <c:ext xmlns:c16="http://schemas.microsoft.com/office/drawing/2014/chart" uri="{C3380CC4-5D6E-409C-BE32-E72D297353CC}">
              <c16:uniqueId val="{0000001C-2653-483E-9C72-C9AA457079C9}"/>
            </c:ext>
          </c:extLst>
        </c:ser>
        <c:ser>
          <c:idx val="30"/>
          <c:order val="29"/>
          <c:tx>
            <c:strRef>
              <c:f>'Vestas turbines hist #'!$B$12</c:f>
              <c:strCache>
                <c:ptCount val="1"/>
                <c:pt idx="0">
                  <c:v>V23-0.2MW</c:v>
                </c:pt>
              </c:strCache>
            </c:strRef>
          </c:tx>
          <c:spPr>
            <a:ln w="19050"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#'!$T$12:$AD$12</c:f>
            </c:numRef>
          </c:yVal>
          <c:smooth val="0"/>
          <c:extLst>
            <c:ext xmlns:c16="http://schemas.microsoft.com/office/drawing/2014/chart" uri="{C3380CC4-5D6E-409C-BE32-E72D297353CC}">
              <c16:uniqueId val="{0000001D-2653-483E-9C72-C9AA457079C9}"/>
            </c:ext>
          </c:extLst>
        </c:ser>
        <c:ser>
          <c:idx val="31"/>
          <c:order val="30"/>
          <c:tx>
            <c:strRef>
              <c:f>'Vestas turbines hist #'!$B$13</c:f>
              <c:strCache>
                <c:ptCount val="1"/>
                <c:pt idx="0">
                  <c:v>V25-0.2MW</c:v>
                </c:pt>
              </c:strCache>
            </c:strRef>
          </c:tx>
          <c:spPr>
            <a:ln w="19050"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#'!$T$13:$AD$13</c:f>
            </c:numRef>
          </c:yVal>
          <c:smooth val="0"/>
          <c:extLst>
            <c:ext xmlns:c16="http://schemas.microsoft.com/office/drawing/2014/chart" uri="{C3380CC4-5D6E-409C-BE32-E72D297353CC}">
              <c16:uniqueId val="{0000001E-2653-483E-9C72-C9AA457079C9}"/>
            </c:ext>
          </c:extLst>
        </c:ser>
        <c:ser>
          <c:idx val="32"/>
          <c:order val="31"/>
          <c:tx>
            <c:strRef>
              <c:f>'Vestas turbines hist #'!$B$14</c:f>
              <c:strCache>
                <c:ptCount val="1"/>
                <c:pt idx="0">
                  <c:v>V27-0.225MW</c:v>
                </c:pt>
              </c:strCache>
            </c:strRef>
          </c:tx>
          <c:spPr>
            <a:ln w="19050"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#'!$T$14:$AD$14</c:f>
            </c:numRef>
          </c:yVal>
          <c:smooth val="0"/>
          <c:extLst>
            <c:ext xmlns:c16="http://schemas.microsoft.com/office/drawing/2014/chart" uri="{C3380CC4-5D6E-409C-BE32-E72D297353CC}">
              <c16:uniqueId val="{0000001F-2653-483E-9C72-C9AA457079C9}"/>
            </c:ext>
          </c:extLst>
        </c:ser>
        <c:ser>
          <c:idx val="33"/>
          <c:order val="32"/>
          <c:tx>
            <c:strRef>
              <c:f>'Vestas turbines hist #'!$B$15</c:f>
              <c:strCache>
                <c:ptCount val="1"/>
                <c:pt idx="0">
                  <c:v>V27-0.27MW</c:v>
                </c:pt>
              </c:strCache>
            </c:strRef>
          </c:tx>
          <c:spPr>
            <a:ln w="19050"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#'!$T$15:$AD$15</c:f>
            </c:numRef>
          </c:yVal>
          <c:smooth val="0"/>
          <c:extLst>
            <c:ext xmlns:c16="http://schemas.microsoft.com/office/drawing/2014/chart" uri="{C3380CC4-5D6E-409C-BE32-E72D297353CC}">
              <c16:uniqueId val="{00000020-2653-483E-9C72-C9AA457079C9}"/>
            </c:ext>
          </c:extLst>
        </c:ser>
        <c:ser>
          <c:idx val="34"/>
          <c:order val="33"/>
          <c:tx>
            <c:strRef>
              <c:f>'Vestas turbines hist #'!$B$16</c:f>
              <c:strCache>
                <c:ptCount val="1"/>
                <c:pt idx="0">
                  <c:v>V29-0.225MW</c:v>
                </c:pt>
              </c:strCache>
            </c:strRef>
          </c:tx>
          <c:spPr>
            <a:ln w="19050"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#'!$T$16:$AD$16</c:f>
            </c:numRef>
          </c:yVal>
          <c:smooth val="0"/>
          <c:extLst>
            <c:ext xmlns:c16="http://schemas.microsoft.com/office/drawing/2014/chart" uri="{C3380CC4-5D6E-409C-BE32-E72D297353CC}">
              <c16:uniqueId val="{00000021-2653-483E-9C72-C9AA457079C9}"/>
            </c:ext>
          </c:extLst>
        </c:ser>
        <c:ser>
          <c:idx val="35"/>
          <c:order val="34"/>
          <c:tx>
            <c:strRef>
              <c:f>'Vestas turbines hist #'!$B$17</c:f>
              <c:strCache>
                <c:ptCount val="1"/>
                <c:pt idx="0">
                  <c:v>V34-0.4MW</c:v>
                </c:pt>
              </c:strCache>
            </c:strRef>
          </c:tx>
          <c:spPr>
            <a:ln w="19050"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#'!$T$17:$AD$17</c:f>
            </c:numRef>
          </c:yVal>
          <c:smooth val="0"/>
          <c:extLst>
            <c:ext xmlns:c16="http://schemas.microsoft.com/office/drawing/2014/chart" uri="{C3380CC4-5D6E-409C-BE32-E72D297353CC}">
              <c16:uniqueId val="{00000022-2653-483E-9C72-C9AA457079C9}"/>
            </c:ext>
          </c:extLst>
        </c:ser>
        <c:ser>
          <c:idx val="36"/>
          <c:order val="35"/>
          <c:tx>
            <c:strRef>
              <c:f>'Vestas turbines hist #'!$B$18</c:f>
              <c:strCache>
                <c:ptCount val="1"/>
                <c:pt idx="0">
                  <c:v>V39-0.5MW</c:v>
                </c:pt>
              </c:strCache>
            </c:strRef>
          </c:tx>
          <c:spPr>
            <a:ln w="19050"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#'!$T$18:$AD$18</c:f>
            </c:numRef>
          </c:yVal>
          <c:smooth val="0"/>
          <c:extLst>
            <c:ext xmlns:c16="http://schemas.microsoft.com/office/drawing/2014/chart" uri="{C3380CC4-5D6E-409C-BE32-E72D297353CC}">
              <c16:uniqueId val="{00000023-2653-483E-9C72-C9AA457079C9}"/>
            </c:ext>
          </c:extLst>
        </c:ser>
        <c:ser>
          <c:idx val="37"/>
          <c:order val="36"/>
          <c:tx>
            <c:strRef>
              <c:f>'Vestas turbines hist #'!$B$19</c:f>
              <c:strCache>
                <c:ptCount val="1"/>
                <c:pt idx="0">
                  <c:v>V39-0.6MW</c:v>
                </c:pt>
              </c:strCache>
            </c:strRef>
          </c:tx>
          <c:spPr>
            <a:ln w="19050"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#'!$T$19:$AD$19</c:f>
            </c:numRef>
          </c:yVal>
          <c:smooth val="0"/>
          <c:extLst>
            <c:ext xmlns:c16="http://schemas.microsoft.com/office/drawing/2014/chart" uri="{C3380CC4-5D6E-409C-BE32-E72D297353CC}">
              <c16:uniqueId val="{00000024-2653-483E-9C72-C9AA457079C9}"/>
            </c:ext>
          </c:extLst>
        </c:ser>
        <c:ser>
          <c:idx val="38"/>
          <c:order val="37"/>
          <c:tx>
            <c:strRef>
              <c:f>'Vestas turbines hist #'!$B$20</c:f>
              <c:strCache>
                <c:ptCount val="1"/>
                <c:pt idx="0">
                  <c:v>V42-0.5MW</c:v>
                </c:pt>
              </c:strCache>
            </c:strRef>
          </c:tx>
          <c:spPr>
            <a:ln w="19050" cap="rnd">
              <a:solidFill>
                <a:schemeClr val="accent3">
                  <a:lumMod val="70000"/>
                  <a:lumOff val="30000"/>
                </a:schemeClr>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#'!$T$20:$AD$20</c:f>
            </c:numRef>
          </c:yVal>
          <c:smooth val="0"/>
          <c:extLst>
            <c:ext xmlns:c16="http://schemas.microsoft.com/office/drawing/2014/chart" uri="{C3380CC4-5D6E-409C-BE32-E72D297353CC}">
              <c16:uniqueId val="{00000025-2653-483E-9C72-C9AA457079C9}"/>
            </c:ext>
          </c:extLst>
        </c:ser>
        <c:ser>
          <c:idx val="39"/>
          <c:order val="38"/>
          <c:tx>
            <c:strRef>
              <c:f>'Vestas turbines hist #'!$B$21</c:f>
              <c:strCache>
                <c:ptCount val="1"/>
                <c:pt idx="0">
                  <c:v>V42-0.6MW</c:v>
                </c:pt>
              </c:strCache>
            </c:strRef>
          </c:tx>
          <c:spPr>
            <a:ln w="19050"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#'!$T$21:$AD$21</c:f>
            </c:numRef>
          </c:yVal>
          <c:smooth val="0"/>
          <c:extLst>
            <c:ext xmlns:c16="http://schemas.microsoft.com/office/drawing/2014/chart" uri="{C3380CC4-5D6E-409C-BE32-E72D297353CC}">
              <c16:uniqueId val="{00000026-2653-483E-9C72-C9AA457079C9}"/>
            </c:ext>
          </c:extLst>
        </c:ser>
        <c:ser>
          <c:idx val="40"/>
          <c:order val="39"/>
          <c:tx>
            <c:strRef>
              <c:f>'Vestas turbines hist #'!$B$22</c:f>
              <c:strCache>
                <c:ptCount val="1"/>
                <c:pt idx="0">
                  <c:v>V44-0.6MW</c:v>
                </c:pt>
              </c:strCache>
            </c:strRef>
          </c:tx>
          <c:spPr>
            <a:ln w="19050" cap="rnd">
              <a:solidFill>
                <a:schemeClr val="accent5">
                  <a:lumMod val="70000"/>
                  <a:lumOff val="30000"/>
                </a:schemeClr>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#'!$T$22:$AD$22</c:f>
            </c:numRef>
          </c:yVal>
          <c:smooth val="0"/>
          <c:extLst>
            <c:ext xmlns:c16="http://schemas.microsoft.com/office/drawing/2014/chart" uri="{C3380CC4-5D6E-409C-BE32-E72D297353CC}">
              <c16:uniqueId val="{00000027-2653-483E-9C72-C9AA457079C9}"/>
            </c:ext>
          </c:extLst>
        </c:ser>
        <c:ser>
          <c:idx val="41"/>
          <c:order val="40"/>
          <c:tx>
            <c:strRef>
              <c:f>'Vestas turbines hist #'!$B$23</c:f>
              <c:strCache>
                <c:ptCount val="1"/>
                <c:pt idx="0">
                  <c:v>V47-0.66MW</c:v>
                </c:pt>
              </c:strCache>
            </c:strRef>
          </c:tx>
          <c:spPr>
            <a:ln w="19050" cap="rnd">
              <a:solidFill>
                <a:schemeClr val="accent6">
                  <a:lumMod val="70000"/>
                  <a:lumOff val="30000"/>
                </a:schemeClr>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#'!$T$23:$AD$23</c:f>
            </c:numRef>
          </c:yVal>
          <c:smooth val="0"/>
          <c:extLst>
            <c:ext xmlns:c16="http://schemas.microsoft.com/office/drawing/2014/chart" uri="{C3380CC4-5D6E-409C-BE32-E72D297353CC}">
              <c16:uniqueId val="{00000028-2653-483E-9C72-C9AA457079C9}"/>
            </c:ext>
          </c:extLst>
        </c:ser>
        <c:ser>
          <c:idx val="42"/>
          <c:order val="41"/>
          <c:tx>
            <c:strRef>
              <c:f>'Vestas turbines hist #'!$B$24</c:f>
              <c:strCache>
                <c:ptCount val="1"/>
                <c:pt idx="0">
                  <c:v>V52-850kW</c:v>
                </c:pt>
              </c:strCache>
            </c:strRef>
          </c:tx>
          <c:spPr>
            <a:ln w="19050" cap="rnd">
              <a:solidFill>
                <a:schemeClr val="accent1">
                  <a:lumMod val="70000"/>
                </a:schemeClr>
              </a:solidFill>
              <a:round/>
            </a:ln>
            <a:effectLst/>
          </c:spPr>
          <c:marker>
            <c:symbol val="circle"/>
            <c:size val="5"/>
            <c:spPr>
              <a:solidFill>
                <a:schemeClr val="accent1">
                  <a:lumMod val="70000"/>
                </a:schemeClr>
              </a:solidFill>
              <a:ln w="9525">
                <a:solidFill>
                  <a:schemeClr val="accent1">
                    <a:lumMod val="7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#'!$T$24:$AD$24</c:f>
              <c:numCache>
                <c:formatCode>0</c:formatCode>
                <c:ptCount val="11"/>
                <c:pt idx="0">
                  <c:v>0</c:v>
                </c:pt>
                <c:pt idx="1">
                  <c:v>0</c:v>
                </c:pt>
                <c:pt idx="2">
                  <c:v>0</c:v>
                </c:pt>
                <c:pt idx="3">
                  <c:v>0</c:v>
                </c:pt>
                <c:pt idx="4">
                  <c:v>364.70588235294116</c:v>
                </c:pt>
                <c:pt idx="5">
                  <c:v>0</c:v>
                </c:pt>
                <c:pt idx="6">
                  <c:v>0</c:v>
                </c:pt>
                <c:pt idx="7">
                  <c:v>0</c:v>
                </c:pt>
                <c:pt idx="8">
                  <c:v>115</c:v>
                </c:pt>
                <c:pt idx="9">
                  <c:v>0</c:v>
                </c:pt>
                <c:pt idx="10">
                  <c:v>237</c:v>
                </c:pt>
              </c:numCache>
            </c:numRef>
          </c:yVal>
          <c:smooth val="0"/>
          <c:extLst>
            <c:ext xmlns:c16="http://schemas.microsoft.com/office/drawing/2014/chart" uri="{C3380CC4-5D6E-409C-BE32-E72D297353CC}">
              <c16:uniqueId val="{00000029-2653-483E-9C72-C9AA457079C9}"/>
            </c:ext>
          </c:extLst>
        </c:ser>
        <c:ser>
          <c:idx val="43"/>
          <c:order val="42"/>
          <c:tx>
            <c:strRef>
              <c:f>'Vestas turbines hist #'!$B$25</c:f>
              <c:strCache>
                <c:ptCount val="1"/>
                <c:pt idx="0">
                  <c:v>V60-850kW</c:v>
                </c:pt>
              </c:strCache>
            </c:strRef>
          </c:tx>
          <c:spPr>
            <a:ln w="19050" cap="rnd">
              <a:solidFill>
                <a:schemeClr val="accent2">
                  <a:lumMod val="70000"/>
                </a:schemeClr>
              </a:solidFill>
              <a:round/>
            </a:ln>
            <a:effectLst/>
          </c:spPr>
          <c:marker>
            <c:symbol val="circle"/>
            <c:size val="5"/>
            <c:spPr>
              <a:solidFill>
                <a:schemeClr val="accent2">
                  <a:lumMod val="70000"/>
                </a:schemeClr>
              </a:solidFill>
              <a:ln w="9525">
                <a:solidFill>
                  <a:schemeClr val="accent2">
                    <a:lumMod val="7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#'!$T$25:$AD$25</c:f>
            </c:numRef>
          </c:yVal>
          <c:smooth val="0"/>
          <c:extLst>
            <c:ext xmlns:c16="http://schemas.microsoft.com/office/drawing/2014/chart" uri="{C3380CC4-5D6E-409C-BE32-E72D297353CC}">
              <c16:uniqueId val="{0000002A-2653-483E-9C72-C9AA457079C9}"/>
            </c:ext>
          </c:extLst>
        </c:ser>
        <c:ser>
          <c:idx val="44"/>
          <c:order val="43"/>
          <c:tx>
            <c:strRef>
              <c:f>'Vestas turbines hist #'!$B$26</c:f>
              <c:strCache>
                <c:ptCount val="1"/>
                <c:pt idx="0">
                  <c:v>V63-1.5MW</c:v>
                </c:pt>
              </c:strCache>
            </c:strRef>
          </c:tx>
          <c:spPr>
            <a:ln w="19050" cap="rnd">
              <a:solidFill>
                <a:schemeClr val="accent3">
                  <a:lumMod val="70000"/>
                </a:schemeClr>
              </a:solidFill>
              <a:round/>
            </a:ln>
            <a:effectLst/>
          </c:spPr>
          <c:marker>
            <c:symbol val="circle"/>
            <c:size val="5"/>
            <c:spPr>
              <a:solidFill>
                <a:schemeClr val="accent3">
                  <a:lumMod val="70000"/>
                </a:schemeClr>
              </a:solidFill>
              <a:ln w="9525">
                <a:solidFill>
                  <a:schemeClr val="accent3">
                    <a:lumMod val="7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#'!$T$26:$AD$26</c:f>
            </c:numRef>
          </c:yVal>
          <c:smooth val="0"/>
          <c:extLst>
            <c:ext xmlns:c16="http://schemas.microsoft.com/office/drawing/2014/chart" uri="{C3380CC4-5D6E-409C-BE32-E72D297353CC}">
              <c16:uniqueId val="{0000002B-2653-483E-9C72-C9AA457079C9}"/>
            </c:ext>
          </c:extLst>
        </c:ser>
        <c:ser>
          <c:idx val="45"/>
          <c:order val="44"/>
          <c:tx>
            <c:strRef>
              <c:f>'Vestas turbines hist #'!$B$27</c:f>
              <c:strCache>
                <c:ptCount val="1"/>
                <c:pt idx="0">
                  <c:v>V66-1.65MW</c:v>
                </c:pt>
              </c:strCache>
            </c:strRef>
          </c:tx>
          <c:spPr>
            <a:ln w="19050" cap="rnd">
              <a:solidFill>
                <a:schemeClr val="accent4">
                  <a:lumMod val="70000"/>
                </a:schemeClr>
              </a:solidFill>
              <a:round/>
            </a:ln>
            <a:effectLst/>
          </c:spPr>
          <c:marker>
            <c:symbol val="circle"/>
            <c:size val="5"/>
            <c:spPr>
              <a:solidFill>
                <a:schemeClr val="accent4">
                  <a:lumMod val="70000"/>
                </a:schemeClr>
              </a:solidFill>
              <a:ln w="9525">
                <a:solidFill>
                  <a:schemeClr val="accent4">
                    <a:lumMod val="7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#'!$T$27:$AD$27</c:f>
            </c:numRef>
          </c:yVal>
          <c:smooth val="0"/>
          <c:extLst>
            <c:ext xmlns:c16="http://schemas.microsoft.com/office/drawing/2014/chart" uri="{C3380CC4-5D6E-409C-BE32-E72D297353CC}">
              <c16:uniqueId val="{0000002C-2653-483E-9C72-C9AA457079C9}"/>
            </c:ext>
          </c:extLst>
        </c:ser>
        <c:ser>
          <c:idx val="46"/>
          <c:order val="45"/>
          <c:tx>
            <c:strRef>
              <c:f>'Vestas turbines hist #'!$B$28</c:f>
              <c:strCache>
                <c:ptCount val="1"/>
                <c:pt idx="0">
                  <c:v>V66-1.75MW</c:v>
                </c:pt>
              </c:strCache>
            </c:strRef>
          </c:tx>
          <c:spPr>
            <a:ln w="19050" cap="rnd">
              <a:solidFill>
                <a:schemeClr val="accent5">
                  <a:lumMod val="70000"/>
                </a:schemeClr>
              </a:solidFill>
              <a:round/>
            </a:ln>
            <a:effectLst/>
          </c:spPr>
          <c:marker>
            <c:symbol val="circle"/>
            <c:size val="5"/>
            <c:spPr>
              <a:solidFill>
                <a:schemeClr val="accent5">
                  <a:lumMod val="70000"/>
                </a:schemeClr>
              </a:solidFill>
              <a:ln w="9525">
                <a:solidFill>
                  <a:schemeClr val="accent5">
                    <a:lumMod val="7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#'!$T$28:$AD$28</c:f>
            </c:numRef>
          </c:yVal>
          <c:smooth val="0"/>
          <c:extLst>
            <c:ext xmlns:c16="http://schemas.microsoft.com/office/drawing/2014/chart" uri="{C3380CC4-5D6E-409C-BE32-E72D297353CC}">
              <c16:uniqueId val="{0000002D-2653-483E-9C72-C9AA457079C9}"/>
            </c:ext>
          </c:extLst>
        </c:ser>
        <c:ser>
          <c:idx val="47"/>
          <c:order val="46"/>
          <c:tx>
            <c:strRef>
              <c:f>'Vestas turbines hist #'!$B$29</c:f>
              <c:strCache>
                <c:ptCount val="1"/>
                <c:pt idx="0">
                  <c:v>V66-2MW</c:v>
                </c:pt>
              </c:strCache>
            </c:strRef>
          </c:tx>
          <c:spPr>
            <a:ln w="19050" cap="rnd">
              <a:solidFill>
                <a:schemeClr val="accent6">
                  <a:lumMod val="70000"/>
                </a:schemeClr>
              </a:solidFill>
              <a:round/>
            </a:ln>
            <a:effectLst/>
          </c:spPr>
          <c:marker>
            <c:symbol val="circle"/>
            <c:size val="5"/>
            <c:spPr>
              <a:solidFill>
                <a:schemeClr val="accent6">
                  <a:lumMod val="70000"/>
                </a:schemeClr>
              </a:solidFill>
              <a:ln w="9525">
                <a:solidFill>
                  <a:schemeClr val="accent6">
                    <a:lumMod val="7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#'!$T$29:$AD$29</c:f>
            </c:numRef>
          </c:yVal>
          <c:smooth val="0"/>
          <c:extLst>
            <c:ext xmlns:c16="http://schemas.microsoft.com/office/drawing/2014/chart" uri="{C3380CC4-5D6E-409C-BE32-E72D297353CC}">
              <c16:uniqueId val="{0000002E-2653-483E-9C72-C9AA457079C9}"/>
            </c:ext>
          </c:extLst>
        </c:ser>
        <c:ser>
          <c:idx val="48"/>
          <c:order val="47"/>
          <c:tx>
            <c:strRef>
              <c:f>'Vestas turbines hist #'!$B$30</c:f>
              <c:strCache>
                <c:ptCount val="1"/>
                <c:pt idx="0">
                  <c:v>V70-1.65MW</c:v>
                </c:pt>
              </c:strCache>
            </c:strRef>
          </c:tx>
          <c:spPr>
            <a:ln w="19050" cap="rnd">
              <a:solidFill>
                <a:schemeClr val="accent1">
                  <a:lumMod val="50000"/>
                  <a:lumOff val="50000"/>
                </a:schemeClr>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#'!$T$30:$AD$30</c:f>
            </c:numRef>
          </c:yVal>
          <c:smooth val="0"/>
          <c:extLst>
            <c:ext xmlns:c16="http://schemas.microsoft.com/office/drawing/2014/chart" uri="{C3380CC4-5D6E-409C-BE32-E72D297353CC}">
              <c16:uniqueId val="{0000002F-2653-483E-9C72-C9AA457079C9}"/>
            </c:ext>
          </c:extLst>
        </c:ser>
        <c:ser>
          <c:idx val="49"/>
          <c:order val="48"/>
          <c:tx>
            <c:strRef>
              <c:f>'Vestas turbines hist #'!$B$31</c:f>
              <c:strCache>
                <c:ptCount val="1"/>
                <c:pt idx="0">
                  <c:v>V80-1.8MW</c:v>
                </c:pt>
              </c:strCache>
            </c:strRef>
          </c:tx>
          <c:spPr>
            <a:ln w="19050" cap="rnd">
              <a:solidFill>
                <a:schemeClr val="accent2">
                  <a:lumMod val="50000"/>
                  <a:lumOff val="50000"/>
                </a:schemeClr>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#'!$T$31:$AD$31</c:f>
            </c:numRef>
          </c:yVal>
          <c:smooth val="0"/>
          <c:extLst>
            <c:ext xmlns:c16="http://schemas.microsoft.com/office/drawing/2014/chart" uri="{C3380CC4-5D6E-409C-BE32-E72D297353CC}">
              <c16:uniqueId val="{00000030-2653-483E-9C72-C9AA457079C9}"/>
            </c:ext>
          </c:extLst>
        </c:ser>
        <c:ser>
          <c:idx val="50"/>
          <c:order val="49"/>
          <c:tx>
            <c:strRef>
              <c:f>'Vestas turbines hist #'!$B$32</c:f>
              <c:strCache>
                <c:ptCount val="1"/>
                <c:pt idx="0">
                  <c:v>V80-2.0MW</c:v>
                </c:pt>
              </c:strCache>
            </c:strRef>
          </c:tx>
          <c:spPr>
            <a:ln w="19050" cap="rnd">
              <a:solidFill>
                <a:schemeClr val="accent3">
                  <a:lumMod val="50000"/>
                  <a:lumOff val="50000"/>
                </a:schemeClr>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#'!$T$32:$AD$32</c:f>
              <c:numCache>
                <c:formatCode>0</c:formatCode>
                <c:ptCount val="11"/>
                <c:pt idx="0">
                  <c:v>0</c:v>
                </c:pt>
                <c:pt idx="1">
                  <c:v>0</c:v>
                </c:pt>
                <c:pt idx="2">
                  <c:v>0</c:v>
                </c:pt>
                <c:pt idx="3">
                  <c:v>0</c:v>
                </c:pt>
                <c:pt idx="4">
                  <c:v>34</c:v>
                </c:pt>
                <c:pt idx="5">
                  <c:v>0</c:v>
                </c:pt>
                <c:pt idx="6">
                  <c:v>47</c:v>
                </c:pt>
                <c:pt idx="7">
                  <c:v>73</c:v>
                </c:pt>
                <c:pt idx="8">
                  <c:v>57</c:v>
                </c:pt>
                <c:pt idx="9">
                  <c:v>88</c:v>
                </c:pt>
                <c:pt idx="10">
                  <c:v>0</c:v>
                </c:pt>
              </c:numCache>
            </c:numRef>
          </c:yVal>
          <c:smooth val="0"/>
          <c:extLst>
            <c:ext xmlns:c16="http://schemas.microsoft.com/office/drawing/2014/chart" uri="{C3380CC4-5D6E-409C-BE32-E72D297353CC}">
              <c16:uniqueId val="{00000031-2653-483E-9C72-C9AA457079C9}"/>
            </c:ext>
          </c:extLst>
        </c:ser>
        <c:ser>
          <c:idx val="51"/>
          <c:order val="50"/>
          <c:tx>
            <c:strRef>
              <c:f>'Vestas turbines hist #'!$B$33</c:f>
              <c:strCache>
                <c:ptCount val="1"/>
                <c:pt idx="0">
                  <c:v>V82-1.5MW</c:v>
                </c:pt>
              </c:strCache>
            </c:strRef>
          </c:tx>
          <c:spPr>
            <a:ln w="19050" cap="rnd">
              <a:solidFill>
                <a:schemeClr val="accent4">
                  <a:lumMod val="50000"/>
                  <a:lumOff val="50000"/>
                </a:schemeClr>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#'!$T$33:$AD$33</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32-2653-483E-9C72-C9AA457079C9}"/>
            </c:ext>
          </c:extLst>
        </c:ser>
        <c:ser>
          <c:idx val="52"/>
          <c:order val="51"/>
          <c:tx>
            <c:strRef>
              <c:f>'Vestas turbines hist #'!$B$34</c:f>
              <c:strCache>
                <c:ptCount val="1"/>
                <c:pt idx="0">
                  <c:v>V82-1.65MW</c:v>
                </c:pt>
              </c:strCache>
            </c:strRef>
          </c:tx>
          <c:spPr>
            <a:ln w="19050" cap="rnd">
              <a:solidFill>
                <a:schemeClr val="accent5">
                  <a:lumMod val="50000"/>
                  <a:lumOff val="50000"/>
                </a:schemeClr>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#'!$T$34:$AD$34</c:f>
              <c:numCache>
                <c:formatCode>0</c:formatCode>
                <c:ptCount val="11"/>
                <c:pt idx="0">
                  <c:v>0</c:v>
                </c:pt>
                <c:pt idx="1">
                  <c:v>0</c:v>
                </c:pt>
                <c:pt idx="2">
                  <c:v>0</c:v>
                </c:pt>
                <c:pt idx="3">
                  <c:v>0</c:v>
                </c:pt>
                <c:pt idx="4">
                  <c:v>0</c:v>
                </c:pt>
                <c:pt idx="5">
                  <c:v>0</c:v>
                </c:pt>
                <c:pt idx="6">
                  <c:v>0</c:v>
                </c:pt>
                <c:pt idx="7">
                  <c:v>0</c:v>
                </c:pt>
                <c:pt idx="8">
                  <c:v>94</c:v>
                </c:pt>
                <c:pt idx="9">
                  <c:v>60</c:v>
                </c:pt>
                <c:pt idx="10">
                  <c:v>0</c:v>
                </c:pt>
              </c:numCache>
            </c:numRef>
          </c:yVal>
          <c:smooth val="0"/>
          <c:extLst>
            <c:ext xmlns:c16="http://schemas.microsoft.com/office/drawing/2014/chart" uri="{C3380CC4-5D6E-409C-BE32-E72D297353CC}">
              <c16:uniqueId val="{00000033-2653-483E-9C72-C9AA457079C9}"/>
            </c:ext>
          </c:extLst>
        </c:ser>
        <c:ser>
          <c:idx val="53"/>
          <c:order val="52"/>
          <c:tx>
            <c:strRef>
              <c:f>'Vestas turbines hist #'!$B$35</c:f>
              <c:strCache>
                <c:ptCount val="1"/>
                <c:pt idx="0">
                  <c:v>V90-1.8MW</c:v>
                </c:pt>
              </c:strCache>
            </c:strRef>
          </c:tx>
          <c:spPr>
            <a:ln w="19050" cap="rnd">
              <a:solidFill>
                <a:schemeClr val="accent6">
                  <a:lumMod val="50000"/>
                  <a:lumOff val="50000"/>
                </a:schemeClr>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#'!$T$35:$AD$35</c:f>
              <c:numCache>
                <c:formatCode>0</c:formatCode>
                <c:ptCount val="11"/>
                <c:pt idx="0">
                  <c:v>0</c:v>
                </c:pt>
                <c:pt idx="1">
                  <c:v>0</c:v>
                </c:pt>
                <c:pt idx="2">
                  <c:v>0</c:v>
                </c:pt>
                <c:pt idx="3">
                  <c:v>0</c:v>
                </c:pt>
                <c:pt idx="4">
                  <c:v>0</c:v>
                </c:pt>
                <c:pt idx="5">
                  <c:v>0</c:v>
                </c:pt>
                <c:pt idx="6">
                  <c:v>0</c:v>
                </c:pt>
                <c:pt idx="7">
                  <c:v>342.77777777777777</c:v>
                </c:pt>
                <c:pt idx="8">
                  <c:v>427</c:v>
                </c:pt>
                <c:pt idx="9">
                  <c:v>0</c:v>
                </c:pt>
                <c:pt idx="10">
                  <c:v>26</c:v>
                </c:pt>
              </c:numCache>
            </c:numRef>
          </c:yVal>
          <c:smooth val="0"/>
          <c:extLst>
            <c:ext xmlns:c16="http://schemas.microsoft.com/office/drawing/2014/chart" uri="{C3380CC4-5D6E-409C-BE32-E72D297353CC}">
              <c16:uniqueId val="{00000034-2653-483E-9C72-C9AA457079C9}"/>
            </c:ext>
          </c:extLst>
        </c:ser>
        <c:ser>
          <c:idx val="54"/>
          <c:order val="53"/>
          <c:tx>
            <c:strRef>
              <c:f>'Vestas turbines hist #'!$B$36</c:f>
              <c:strCache>
                <c:ptCount val="1"/>
                <c:pt idx="0">
                  <c:v>V90-2.0MW</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#'!$T$36:$AD$36</c:f>
              <c:numCache>
                <c:formatCode>0</c:formatCode>
                <c:ptCount val="11"/>
                <c:pt idx="0">
                  <c:v>0</c:v>
                </c:pt>
                <c:pt idx="1">
                  <c:v>0</c:v>
                </c:pt>
                <c:pt idx="2">
                  <c:v>0</c:v>
                </c:pt>
                <c:pt idx="3">
                  <c:v>49</c:v>
                </c:pt>
                <c:pt idx="4">
                  <c:v>21</c:v>
                </c:pt>
                <c:pt idx="5">
                  <c:v>202.5</c:v>
                </c:pt>
                <c:pt idx="6">
                  <c:v>151</c:v>
                </c:pt>
                <c:pt idx="7">
                  <c:v>373</c:v>
                </c:pt>
                <c:pt idx="8">
                  <c:v>415</c:v>
                </c:pt>
                <c:pt idx="9">
                  <c:v>130</c:v>
                </c:pt>
                <c:pt idx="10">
                  <c:v>101</c:v>
                </c:pt>
              </c:numCache>
            </c:numRef>
          </c:yVal>
          <c:smooth val="0"/>
          <c:extLst>
            <c:ext xmlns:c16="http://schemas.microsoft.com/office/drawing/2014/chart" uri="{C3380CC4-5D6E-409C-BE32-E72D297353CC}">
              <c16:uniqueId val="{00000035-2653-483E-9C72-C9AA457079C9}"/>
            </c:ext>
          </c:extLst>
        </c:ser>
        <c:ser>
          <c:idx val="55"/>
          <c:order val="54"/>
          <c:tx>
            <c:strRef>
              <c:f>'Vestas turbines hist #'!$B$37</c:f>
              <c:strCache>
                <c:ptCount val="1"/>
                <c:pt idx="0">
                  <c:v>V90-3.0MW</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#'!$T$37:$AD$37</c:f>
              <c:numCache>
                <c:formatCode>0</c:formatCode>
                <c:ptCount val="11"/>
                <c:pt idx="0">
                  <c:v>0</c:v>
                </c:pt>
                <c:pt idx="1">
                  <c:v>0</c:v>
                </c:pt>
                <c:pt idx="2">
                  <c:v>40</c:v>
                </c:pt>
                <c:pt idx="3">
                  <c:v>29</c:v>
                </c:pt>
                <c:pt idx="4">
                  <c:v>61</c:v>
                </c:pt>
                <c:pt idx="5">
                  <c:v>43</c:v>
                </c:pt>
                <c:pt idx="6">
                  <c:v>208</c:v>
                </c:pt>
                <c:pt idx="7">
                  <c:v>193</c:v>
                </c:pt>
                <c:pt idx="8">
                  <c:v>342</c:v>
                </c:pt>
                <c:pt idx="9">
                  <c:v>286</c:v>
                </c:pt>
                <c:pt idx="10">
                  <c:v>219</c:v>
                </c:pt>
              </c:numCache>
            </c:numRef>
          </c:yVal>
          <c:smooth val="0"/>
          <c:extLst>
            <c:ext xmlns:c16="http://schemas.microsoft.com/office/drawing/2014/chart" uri="{C3380CC4-5D6E-409C-BE32-E72D297353CC}">
              <c16:uniqueId val="{00000036-2653-483E-9C72-C9AA457079C9}"/>
            </c:ext>
          </c:extLst>
        </c:ser>
        <c:ser>
          <c:idx val="9"/>
          <c:order val="55"/>
          <c:tx>
            <c:strRef>
              <c:f>'Vestas turbines hist #'!$B$38</c:f>
              <c:strCache>
                <c:ptCount val="1"/>
                <c:pt idx="0">
                  <c:v>V90-3MW</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'Vestas turbines hist #'!$T$4:$AD$4</c:f>
              <c:numCache>
                <c:formatCode>General</c:formatCode>
                <c:ptCount val="11"/>
                <c:pt idx="0">
                  <c:v>2018</c:v>
                </c:pt>
                <c:pt idx="1">
                  <c:v>2017</c:v>
                </c:pt>
                <c:pt idx="2">
                  <c:v>2016</c:v>
                </c:pt>
                <c:pt idx="3">
                  <c:v>2015</c:v>
                </c:pt>
                <c:pt idx="4">
                  <c:v>2014</c:v>
                </c:pt>
                <c:pt idx="5">
                  <c:v>2013</c:v>
                </c:pt>
                <c:pt idx="6">
                  <c:v>2012</c:v>
                </c:pt>
                <c:pt idx="7">
                  <c:v>2011</c:v>
                </c:pt>
                <c:pt idx="8">
                  <c:v>2010</c:v>
                </c:pt>
                <c:pt idx="9">
                  <c:v>2009</c:v>
                </c:pt>
                <c:pt idx="10">
                  <c:v>2008</c:v>
                </c:pt>
              </c:numCache>
            </c:numRef>
          </c:xVal>
          <c:yVal>
            <c:numRef>
              <c:f>'Vestas turbines hist #'!$T$38:$AD$38</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37-2653-483E-9C72-C9AA457079C9}"/>
            </c:ext>
          </c:extLst>
        </c:ser>
        <c:dLbls>
          <c:showLegendKey val="0"/>
          <c:showVal val="0"/>
          <c:showCatName val="0"/>
          <c:showSerName val="0"/>
          <c:showPercent val="0"/>
          <c:showBubbleSize val="0"/>
        </c:dLbls>
        <c:axId val="244431392"/>
        <c:axId val="244431784"/>
      </c:scatterChart>
      <c:valAx>
        <c:axId val="244431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4431784"/>
        <c:crosses val="autoZero"/>
        <c:crossBetween val="midCat"/>
      </c:valAx>
      <c:valAx>
        <c:axId val="244431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444313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3.292451130175892E-2"/>
          <c:y val="4.2358317393462144E-2"/>
          <c:w val="0.95613021506640028"/>
          <c:h val="0.82251120167309977"/>
        </c:manualLayout>
      </c:layout>
      <c:barChart>
        <c:barDir val="col"/>
        <c:grouping val="stacked"/>
        <c:varyColors val="0"/>
        <c:ser>
          <c:idx val="0"/>
          <c:order val="0"/>
          <c:tx>
            <c:strRef>
              <c:f>'Vestas turbines hist #'!$B$39</c:f>
              <c:strCache>
                <c:ptCount val="1"/>
                <c:pt idx="0">
                  <c:v>V100-1.8MW</c:v>
                </c:pt>
              </c:strCache>
            </c:strRef>
          </c:tx>
          <c:spPr>
            <a:solidFill>
              <a:schemeClr val="accent1"/>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#'!$P$39:$AD$39</c:f>
              <c:numCache>
                <c:formatCode>0</c:formatCode>
                <c:ptCount val="15"/>
                <c:pt idx="0">
                  <c:v>0</c:v>
                </c:pt>
                <c:pt idx="1">
                  <c:v>0</c:v>
                </c:pt>
                <c:pt idx="2">
                  <c:v>0</c:v>
                </c:pt>
                <c:pt idx="3">
                  <c:v>0</c:v>
                </c:pt>
                <c:pt idx="4">
                  <c:v>0</c:v>
                </c:pt>
                <c:pt idx="5">
                  <c:v>0</c:v>
                </c:pt>
                <c:pt idx="6">
                  <c:v>15</c:v>
                </c:pt>
                <c:pt idx="7">
                  <c:v>70</c:v>
                </c:pt>
                <c:pt idx="8">
                  <c:v>0</c:v>
                </c:pt>
                <c:pt idx="9">
                  <c:v>212.11111111111111</c:v>
                </c:pt>
                <c:pt idx="10">
                  <c:v>163</c:v>
                </c:pt>
                <c:pt idx="11">
                  <c:v>376</c:v>
                </c:pt>
                <c:pt idx="12">
                  <c:v>252</c:v>
                </c:pt>
                <c:pt idx="13">
                  <c:v>50</c:v>
                </c:pt>
                <c:pt idx="14">
                  <c:v>0</c:v>
                </c:pt>
              </c:numCache>
            </c:numRef>
          </c:val>
          <c:extLst>
            <c:ext xmlns:c16="http://schemas.microsoft.com/office/drawing/2014/chart" uri="{C3380CC4-5D6E-409C-BE32-E72D297353CC}">
              <c16:uniqueId val="{00000000-A787-4C2E-B20D-02EE6FA3EC2F}"/>
            </c:ext>
          </c:extLst>
        </c:ser>
        <c:ser>
          <c:idx val="1"/>
          <c:order val="1"/>
          <c:tx>
            <c:strRef>
              <c:f>'Vestas turbines hist #'!$B$40</c:f>
              <c:strCache>
                <c:ptCount val="1"/>
                <c:pt idx="0">
                  <c:v>V100-2.0MW</c:v>
                </c:pt>
              </c:strCache>
            </c:strRef>
          </c:tx>
          <c:spPr>
            <a:solidFill>
              <a:schemeClr val="accent2"/>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#'!$P$40:$AD$40</c:f>
              <c:numCache>
                <c:formatCode>0</c:formatCode>
                <c:ptCount val="15"/>
                <c:pt idx="0">
                  <c:v>2</c:v>
                </c:pt>
                <c:pt idx="1">
                  <c:v>86</c:v>
                </c:pt>
                <c:pt idx="2">
                  <c:v>124</c:v>
                </c:pt>
                <c:pt idx="3">
                  <c:v>0</c:v>
                </c:pt>
                <c:pt idx="4">
                  <c:v>141</c:v>
                </c:pt>
                <c:pt idx="5">
                  <c:v>72</c:v>
                </c:pt>
                <c:pt idx="6">
                  <c:v>104</c:v>
                </c:pt>
                <c:pt idx="7">
                  <c:v>486</c:v>
                </c:pt>
                <c:pt idx="8">
                  <c:v>659</c:v>
                </c:pt>
                <c:pt idx="9">
                  <c:v>445</c:v>
                </c:pt>
                <c:pt idx="10">
                  <c:v>18</c:v>
                </c:pt>
                <c:pt idx="11">
                  <c:v>0</c:v>
                </c:pt>
                <c:pt idx="12">
                  <c:v>0</c:v>
                </c:pt>
                <c:pt idx="13">
                  <c:v>0</c:v>
                </c:pt>
                <c:pt idx="14">
                  <c:v>0</c:v>
                </c:pt>
              </c:numCache>
            </c:numRef>
          </c:val>
          <c:extLst>
            <c:ext xmlns:c16="http://schemas.microsoft.com/office/drawing/2014/chart" uri="{C3380CC4-5D6E-409C-BE32-E72D297353CC}">
              <c16:uniqueId val="{00000001-A787-4C2E-B20D-02EE6FA3EC2F}"/>
            </c:ext>
          </c:extLst>
        </c:ser>
        <c:ser>
          <c:idx val="2"/>
          <c:order val="2"/>
          <c:tx>
            <c:strRef>
              <c:f>'Vestas turbines hist #'!$B$41</c:f>
              <c:strCache>
                <c:ptCount val="1"/>
                <c:pt idx="0">
                  <c:v>V100-2.6MW</c:v>
                </c:pt>
              </c:strCache>
            </c:strRef>
          </c:tx>
          <c:spPr>
            <a:solidFill>
              <a:schemeClr val="accent3"/>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#'!$P$41:$AD$41</c:f>
              <c:numCache>
                <c:formatCode>0</c:formatCode>
                <c:ptCount val="15"/>
                <c:pt idx="0">
                  <c:v>0</c:v>
                </c:pt>
                <c:pt idx="1">
                  <c:v>0</c:v>
                </c:pt>
                <c:pt idx="2">
                  <c:v>0</c:v>
                </c:pt>
                <c:pt idx="3">
                  <c:v>0</c:v>
                </c:pt>
                <c:pt idx="4">
                  <c:v>0</c:v>
                </c:pt>
                <c:pt idx="5">
                  <c:v>0</c:v>
                </c:pt>
                <c:pt idx="6">
                  <c:v>0</c:v>
                </c:pt>
                <c:pt idx="7">
                  <c:v>0</c:v>
                </c:pt>
                <c:pt idx="8">
                  <c:v>0</c:v>
                </c:pt>
                <c:pt idx="9">
                  <c:v>24</c:v>
                </c:pt>
                <c:pt idx="10">
                  <c:v>21</c:v>
                </c:pt>
                <c:pt idx="11">
                  <c:v>30</c:v>
                </c:pt>
                <c:pt idx="12">
                  <c:v>0</c:v>
                </c:pt>
                <c:pt idx="13">
                  <c:v>0</c:v>
                </c:pt>
                <c:pt idx="14">
                  <c:v>0</c:v>
                </c:pt>
              </c:numCache>
            </c:numRef>
          </c:val>
          <c:extLst>
            <c:ext xmlns:c16="http://schemas.microsoft.com/office/drawing/2014/chart" uri="{C3380CC4-5D6E-409C-BE32-E72D297353CC}">
              <c16:uniqueId val="{00000002-A787-4C2E-B20D-02EE6FA3EC2F}"/>
            </c:ext>
          </c:extLst>
        </c:ser>
        <c:ser>
          <c:idx val="3"/>
          <c:order val="3"/>
          <c:tx>
            <c:strRef>
              <c:f>'Vestas turbines hist #'!$B$42</c:f>
              <c:strCache>
                <c:ptCount val="1"/>
                <c:pt idx="0">
                  <c:v>V100-2.75MW</c:v>
                </c:pt>
              </c:strCache>
            </c:strRef>
          </c:tx>
          <c:spPr>
            <a:solidFill>
              <a:schemeClr val="accent4"/>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#'!$T$42:$AD$42</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A787-4C2E-B20D-02EE6FA3EC2F}"/>
            </c:ext>
          </c:extLst>
        </c:ser>
        <c:ser>
          <c:idx val="4"/>
          <c:order val="4"/>
          <c:tx>
            <c:strRef>
              <c:f>'Vestas turbines hist #'!$B$43</c:f>
              <c:strCache>
                <c:ptCount val="1"/>
                <c:pt idx="0">
                  <c:v>V105-3.3MW</c:v>
                </c:pt>
              </c:strCache>
            </c:strRef>
          </c:tx>
          <c:spPr>
            <a:solidFill>
              <a:schemeClr val="accent5"/>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#'!$T$43:$AD$43</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A787-4C2E-B20D-02EE6FA3EC2F}"/>
            </c:ext>
          </c:extLst>
        </c:ser>
        <c:ser>
          <c:idx val="5"/>
          <c:order val="5"/>
          <c:tx>
            <c:strRef>
              <c:f>'Vestas turbines hist #'!$B$44</c:f>
              <c:strCache>
                <c:ptCount val="1"/>
                <c:pt idx="0">
                  <c:v>V105-3.45MW</c:v>
                </c:pt>
              </c:strCache>
            </c:strRef>
          </c:tx>
          <c:spPr>
            <a:solidFill>
              <a:schemeClr val="accent6"/>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#'!$P$44:$AD$44</c:f>
              <c:numCache>
                <c:formatCode>0</c:formatCode>
                <c:ptCount val="15"/>
                <c:pt idx="0">
                  <c:v>8</c:v>
                </c:pt>
                <c:pt idx="1">
                  <c:v>25</c:v>
                </c:pt>
                <c:pt idx="2">
                  <c:v>127</c:v>
                </c:pt>
                <c:pt idx="3">
                  <c:v>17</c:v>
                </c:pt>
                <c:pt idx="4">
                  <c:v>0</c:v>
                </c:pt>
                <c:pt idx="5">
                  <c:v>31.714975845410628</c:v>
                </c:pt>
                <c:pt idx="6">
                  <c:v>8.9855072463768106</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5-A787-4C2E-B20D-02EE6FA3EC2F}"/>
            </c:ext>
          </c:extLst>
        </c:ser>
        <c:ser>
          <c:idx val="6"/>
          <c:order val="6"/>
          <c:tx>
            <c:strRef>
              <c:f>'Vestas turbines hist #'!$B$45</c:f>
              <c:strCache>
                <c:ptCount val="1"/>
                <c:pt idx="0">
                  <c:v>V105-3.6MW</c:v>
                </c:pt>
              </c:strCache>
            </c:strRef>
          </c:tx>
          <c:spPr>
            <a:solidFill>
              <a:schemeClr val="accent1">
                <a:lumMod val="6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#'!$T$45:$AD$45</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A787-4C2E-B20D-02EE6FA3EC2F}"/>
            </c:ext>
          </c:extLst>
        </c:ser>
        <c:ser>
          <c:idx val="7"/>
          <c:order val="7"/>
          <c:tx>
            <c:strRef>
              <c:f>'Vestas turbines hist #'!$B$46</c:f>
              <c:strCache>
                <c:ptCount val="1"/>
                <c:pt idx="0">
                  <c:v>V110-2.0MW</c:v>
                </c:pt>
              </c:strCache>
            </c:strRef>
          </c:tx>
          <c:spPr>
            <a:solidFill>
              <a:schemeClr val="accent2">
                <a:lumMod val="6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#'!$P$46:$AD$46</c:f>
              <c:numCache>
                <c:formatCode>0</c:formatCode>
                <c:ptCount val="15"/>
                <c:pt idx="0">
                  <c:v>0</c:v>
                </c:pt>
                <c:pt idx="1">
                  <c:v>59</c:v>
                </c:pt>
                <c:pt idx="2">
                  <c:v>215</c:v>
                </c:pt>
                <c:pt idx="3">
                  <c:v>255</c:v>
                </c:pt>
                <c:pt idx="4">
                  <c:v>360.09090909090912</c:v>
                </c:pt>
                <c:pt idx="5">
                  <c:v>1409.5</c:v>
                </c:pt>
                <c:pt idx="6">
                  <c:v>1354.3636363636363</c:v>
                </c:pt>
                <c:pt idx="7">
                  <c:v>860</c:v>
                </c:pt>
                <c:pt idx="8">
                  <c:v>336</c:v>
                </c:pt>
                <c:pt idx="9">
                  <c:v>295</c:v>
                </c:pt>
                <c:pt idx="10">
                  <c:v>0</c:v>
                </c:pt>
                <c:pt idx="11">
                  <c:v>0</c:v>
                </c:pt>
                <c:pt idx="12">
                  <c:v>0</c:v>
                </c:pt>
                <c:pt idx="13">
                  <c:v>0</c:v>
                </c:pt>
                <c:pt idx="14">
                  <c:v>0</c:v>
                </c:pt>
              </c:numCache>
            </c:numRef>
          </c:val>
          <c:extLst>
            <c:ext xmlns:c16="http://schemas.microsoft.com/office/drawing/2014/chart" uri="{C3380CC4-5D6E-409C-BE32-E72D297353CC}">
              <c16:uniqueId val="{00000007-A787-4C2E-B20D-02EE6FA3EC2F}"/>
            </c:ext>
          </c:extLst>
        </c:ser>
        <c:ser>
          <c:idx val="8"/>
          <c:order val="8"/>
          <c:tx>
            <c:strRef>
              <c:f>'Vestas turbines hist #'!$B$48</c:f>
              <c:strCache>
                <c:ptCount val="1"/>
                <c:pt idx="0">
                  <c:v>V112-3.0MW</c:v>
                </c:pt>
              </c:strCache>
            </c:strRef>
          </c:tx>
          <c:spPr>
            <a:solidFill>
              <a:schemeClr val="accent3">
                <a:lumMod val="6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#'!$P$48:$AD$48</c:f>
              <c:numCache>
                <c:formatCode>0</c:formatCode>
                <c:ptCount val="15"/>
                <c:pt idx="0">
                  <c:v>0</c:v>
                </c:pt>
                <c:pt idx="1">
                  <c:v>0</c:v>
                </c:pt>
                <c:pt idx="2">
                  <c:v>0</c:v>
                </c:pt>
                <c:pt idx="3">
                  <c:v>0</c:v>
                </c:pt>
                <c:pt idx="4">
                  <c:v>19</c:v>
                </c:pt>
                <c:pt idx="5">
                  <c:v>0</c:v>
                </c:pt>
                <c:pt idx="6">
                  <c:v>0</c:v>
                </c:pt>
                <c:pt idx="7">
                  <c:v>12</c:v>
                </c:pt>
                <c:pt idx="8">
                  <c:v>97.333333333333329</c:v>
                </c:pt>
                <c:pt idx="9">
                  <c:v>378</c:v>
                </c:pt>
                <c:pt idx="10">
                  <c:v>112</c:v>
                </c:pt>
                <c:pt idx="11">
                  <c:v>250</c:v>
                </c:pt>
                <c:pt idx="12">
                  <c:v>200</c:v>
                </c:pt>
                <c:pt idx="13">
                  <c:v>0</c:v>
                </c:pt>
                <c:pt idx="14">
                  <c:v>0</c:v>
                </c:pt>
              </c:numCache>
            </c:numRef>
          </c:val>
          <c:extLst>
            <c:ext xmlns:c16="http://schemas.microsoft.com/office/drawing/2014/chart" uri="{C3380CC4-5D6E-409C-BE32-E72D297353CC}">
              <c16:uniqueId val="{00000008-A787-4C2E-B20D-02EE6FA3EC2F}"/>
            </c:ext>
          </c:extLst>
        </c:ser>
        <c:ser>
          <c:idx val="9"/>
          <c:order val="9"/>
          <c:tx>
            <c:strRef>
              <c:f>'Vestas turbines hist #'!$B$49</c:f>
              <c:strCache>
                <c:ptCount val="1"/>
                <c:pt idx="0">
                  <c:v>V112-3.075MW</c:v>
                </c:pt>
              </c:strCache>
            </c:strRef>
          </c:tx>
          <c:spPr>
            <a:solidFill>
              <a:schemeClr val="accent4">
                <a:lumMod val="6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#'!$P$49:$AD$49</c:f>
              <c:numCache>
                <c:formatCode>0</c:formatCode>
                <c:ptCount val="15"/>
                <c:pt idx="0">
                  <c:v>0</c:v>
                </c:pt>
                <c:pt idx="1">
                  <c:v>0</c:v>
                </c:pt>
                <c:pt idx="2">
                  <c:v>0</c:v>
                </c:pt>
                <c:pt idx="3">
                  <c:v>0</c:v>
                </c:pt>
                <c:pt idx="4">
                  <c:v>0</c:v>
                </c:pt>
                <c:pt idx="5">
                  <c:v>0</c:v>
                </c:pt>
                <c:pt idx="6">
                  <c:v>0</c:v>
                </c:pt>
                <c:pt idx="7">
                  <c:v>13.008130081300813</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9-A787-4C2E-B20D-02EE6FA3EC2F}"/>
            </c:ext>
          </c:extLst>
        </c:ser>
        <c:ser>
          <c:idx val="10"/>
          <c:order val="10"/>
          <c:tx>
            <c:strRef>
              <c:f>'Vestas turbines hist #'!$B$50</c:f>
              <c:strCache>
                <c:ptCount val="1"/>
                <c:pt idx="0">
                  <c:v>V112-3.3MW</c:v>
                </c:pt>
              </c:strCache>
            </c:strRef>
          </c:tx>
          <c:spPr>
            <a:solidFill>
              <a:schemeClr val="accent5">
                <a:lumMod val="6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#'!$P$50:$AD$50</c:f>
              <c:numCache>
                <c:formatCode>0</c:formatCode>
                <c:ptCount val="15"/>
                <c:pt idx="0">
                  <c:v>0</c:v>
                </c:pt>
                <c:pt idx="1">
                  <c:v>0</c:v>
                </c:pt>
                <c:pt idx="2">
                  <c:v>0</c:v>
                </c:pt>
                <c:pt idx="3">
                  <c:v>9</c:v>
                </c:pt>
                <c:pt idx="4">
                  <c:v>0</c:v>
                </c:pt>
                <c:pt idx="5">
                  <c:v>26.060606060606062</c:v>
                </c:pt>
                <c:pt idx="6">
                  <c:v>34.848484848484851</c:v>
                </c:pt>
                <c:pt idx="7">
                  <c:v>212.12121212121212</c:v>
                </c:pt>
                <c:pt idx="8">
                  <c:v>200.06060606060606</c:v>
                </c:pt>
                <c:pt idx="9">
                  <c:v>89.090909090909093</c:v>
                </c:pt>
                <c:pt idx="10">
                  <c:v>0</c:v>
                </c:pt>
                <c:pt idx="11">
                  <c:v>0</c:v>
                </c:pt>
                <c:pt idx="12">
                  <c:v>0</c:v>
                </c:pt>
                <c:pt idx="13">
                  <c:v>0</c:v>
                </c:pt>
                <c:pt idx="14">
                  <c:v>0</c:v>
                </c:pt>
              </c:numCache>
            </c:numRef>
          </c:val>
          <c:extLst>
            <c:ext xmlns:c16="http://schemas.microsoft.com/office/drawing/2014/chart" uri="{C3380CC4-5D6E-409C-BE32-E72D297353CC}">
              <c16:uniqueId val="{0000000A-A787-4C2E-B20D-02EE6FA3EC2F}"/>
            </c:ext>
          </c:extLst>
        </c:ser>
        <c:ser>
          <c:idx val="11"/>
          <c:order val="11"/>
          <c:tx>
            <c:strRef>
              <c:f>'Vestas turbines hist #'!$B$51</c:f>
              <c:strCache>
                <c:ptCount val="1"/>
                <c:pt idx="0">
                  <c:v>V112-3.45MW</c:v>
                </c:pt>
              </c:strCache>
            </c:strRef>
          </c:tx>
          <c:spPr>
            <a:solidFill>
              <a:schemeClr val="accent6">
                <a:lumMod val="6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#'!$P$51:$AD$51</c:f>
              <c:numCache>
                <c:formatCode>0</c:formatCode>
                <c:ptCount val="15"/>
                <c:pt idx="0">
                  <c:v>2</c:v>
                </c:pt>
                <c:pt idx="1">
                  <c:v>10</c:v>
                </c:pt>
                <c:pt idx="2">
                  <c:v>34</c:v>
                </c:pt>
                <c:pt idx="3">
                  <c:v>72</c:v>
                </c:pt>
                <c:pt idx="4">
                  <c:v>22.95125164690382</c:v>
                </c:pt>
                <c:pt idx="5">
                  <c:v>40.125603864734295</c:v>
                </c:pt>
                <c:pt idx="6">
                  <c:v>164.15942028985506</c:v>
                </c:pt>
                <c:pt idx="7">
                  <c:v>140.69652000347131</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B-A787-4C2E-B20D-02EE6FA3EC2F}"/>
            </c:ext>
          </c:extLst>
        </c:ser>
        <c:ser>
          <c:idx val="12"/>
          <c:order val="12"/>
          <c:tx>
            <c:strRef>
              <c:f>'Vestas turbines hist #'!$B$52</c:f>
              <c:strCache>
                <c:ptCount val="1"/>
                <c:pt idx="0">
                  <c:v>V112-3.6MW</c:v>
                </c:pt>
              </c:strCache>
            </c:strRef>
          </c:tx>
          <c:spPr>
            <a:solidFill>
              <a:schemeClr val="accent1">
                <a:lumMod val="80000"/>
                <a:lumOff val="2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#'!$T$52:$AD$52</c:f>
            </c:numRef>
          </c:val>
          <c:extLst>
            <c:ext xmlns:c16="http://schemas.microsoft.com/office/drawing/2014/chart" uri="{C3380CC4-5D6E-409C-BE32-E72D297353CC}">
              <c16:uniqueId val="{0000000C-A787-4C2E-B20D-02EE6FA3EC2F}"/>
            </c:ext>
          </c:extLst>
        </c:ser>
        <c:ser>
          <c:idx val="13"/>
          <c:order val="13"/>
          <c:tx>
            <c:strRef>
              <c:f>'Vestas turbines hist #'!$B$53</c:f>
              <c:strCache>
                <c:ptCount val="1"/>
                <c:pt idx="0">
                  <c:v>V116-2.0MW</c:v>
                </c:pt>
              </c:strCache>
            </c:strRef>
          </c:tx>
          <c:spPr>
            <a:solidFill>
              <a:schemeClr val="accent2">
                <a:lumMod val="80000"/>
                <a:lumOff val="2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#'!$P$53:$AD$53</c:f>
              <c:numCache>
                <c:formatCode>0</c:formatCode>
                <c:ptCount val="15"/>
                <c:pt idx="0">
                  <c:v>0</c:v>
                </c:pt>
                <c:pt idx="1">
                  <c:v>0</c:v>
                </c:pt>
                <c:pt idx="2">
                  <c:v>0</c:v>
                </c:pt>
                <c:pt idx="3">
                  <c:v>0</c:v>
                </c:pt>
                <c:pt idx="4">
                  <c:v>216</c:v>
                </c:pt>
                <c:pt idx="5">
                  <c:v>33</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D-A787-4C2E-B20D-02EE6FA3EC2F}"/>
            </c:ext>
          </c:extLst>
        </c:ser>
        <c:ser>
          <c:idx val="14"/>
          <c:order val="14"/>
          <c:tx>
            <c:strRef>
              <c:f>'Vestas turbines hist #'!$B$54</c:f>
              <c:strCache>
                <c:ptCount val="1"/>
                <c:pt idx="0">
                  <c:v>V117-3.3MW</c:v>
                </c:pt>
              </c:strCache>
            </c:strRef>
          </c:tx>
          <c:spPr>
            <a:solidFill>
              <a:schemeClr val="accent3">
                <a:lumMod val="80000"/>
                <a:lumOff val="2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#'!$P$54:$AD$54</c:f>
              <c:numCache>
                <c:formatCode>0</c:formatCode>
                <c:ptCount val="15"/>
                <c:pt idx="0">
                  <c:v>0</c:v>
                </c:pt>
                <c:pt idx="1">
                  <c:v>0</c:v>
                </c:pt>
                <c:pt idx="2">
                  <c:v>0</c:v>
                </c:pt>
                <c:pt idx="3">
                  <c:v>0</c:v>
                </c:pt>
                <c:pt idx="4">
                  <c:v>10</c:v>
                </c:pt>
                <c:pt idx="5">
                  <c:v>0</c:v>
                </c:pt>
                <c:pt idx="6">
                  <c:v>53.939393939393945</c:v>
                </c:pt>
                <c:pt idx="7">
                  <c:v>365.45454545454544</c:v>
                </c:pt>
                <c:pt idx="8">
                  <c:v>19</c:v>
                </c:pt>
                <c:pt idx="9">
                  <c:v>0</c:v>
                </c:pt>
                <c:pt idx="10">
                  <c:v>0</c:v>
                </c:pt>
                <c:pt idx="11">
                  <c:v>0</c:v>
                </c:pt>
                <c:pt idx="12">
                  <c:v>0</c:v>
                </c:pt>
                <c:pt idx="13">
                  <c:v>0</c:v>
                </c:pt>
                <c:pt idx="14">
                  <c:v>0</c:v>
                </c:pt>
              </c:numCache>
            </c:numRef>
          </c:val>
          <c:extLst>
            <c:ext xmlns:c16="http://schemas.microsoft.com/office/drawing/2014/chart" uri="{C3380CC4-5D6E-409C-BE32-E72D297353CC}">
              <c16:uniqueId val="{0000000E-A787-4C2E-B20D-02EE6FA3EC2F}"/>
            </c:ext>
          </c:extLst>
        </c:ser>
        <c:ser>
          <c:idx val="15"/>
          <c:order val="15"/>
          <c:tx>
            <c:strRef>
              <c:f>'Vestas turbines hist #'!$B$55</c:f>
              <c:strCache>
                <c:ptCount val="1"/>
                <c:pt idx="0">
                  <c:v>V117-3.45MW</c:v>
                </c:pt>
              </c:strCache>
            </c:strRef>
          </c:tx>
          <c:spPr>
            <a:solidFill>
              <a:schemeClr val="accent4">
                <a:lumMod val="80000"/>
                <a:lumOff val="2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#'!$P$55:$AD$55</c:f>
              <c:numCache>
                <c:formatCode>0</c:formatCode>
                <c:ptCount val="15"/>
                <c:pt idx="0">
                  <c:v>13</c:v>
                </c:pt>
                <c:pt idx="1">
                  <c:v>23</c:v>
                </c:pt>
                <c:pt idx="2">
                  <c:v>33</c:v>
                </c:pt>
                <c:pt idx="3">
                  <c:v>46</c:v>
                </c:pt>
                <c:pt idx="4">
                  <c:v>178.15217391304347</c:v>
                </c:pt>
                <c:pt idx="5">
                  <c:v>66.932367149758448</c:v>
                </c:pt>
                <c:pt idx="6">
                  <c:v>398.97101449275362</c:v>
                </c:pt>
                <c:pt idx="7">
                  <c:v>30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F-A787-4C2E-B20D-02EE6FA3EC2F}"/>
            </c:ext>
          </c:extLst>
        </c:ser>
        <c:ser>
          <c:idx val="16"/>
          <c:order val="16"/>
          <c:tx>
            <c:strRef>
              <c:f>'Vestas turbines hist #'!$B$56</c:f>
              <c:strCache>
                <c:ptCount val="1"/>
                <c:pt idx="0">
                  <c:v>V117-4.2MW</c:v>
                </c:pt>
              </c:strCache>
            </c:strRef>
          </c:tx>
          <c:spPr>
            <a:solidFill>
              <a:schemeClr val="accent5">
                <a:lumMod val="80000"/>
                <a:lumOff val="2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#'!$P$56:$AD$56</c:f>
              <c:numCache>
                <c:formatCode>0</c:formatCode>
                <c:ptCount val="15"/>
                <c:pt idx="0">
                  <c:v>36</c:v>
                </c:pt>
                <c:pt idx="1">
                  <c:v>97</c:v>
                </c:pt>
                <c:pt idx="2">
                  <c:v>166</c:v>
                </c:pt>
                <c:pt idx="3">
                  <c:v>107</c:v>
                </c:pt>
                <c:pt idx="4">
                  <c:v>31</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10-A787-4C2E-B20D-02EE6FA3EC2F}"/>
            </c:ext>
          </c:extLst>
        </c:ser>
        <c:ser>
          <c:idx val="17"/>
          <c:order val="17"/>
          <c:tx>
            <c:strRef>
              <c:f>'Vestas turbines hist #'!$B$57</c:f>
              <c:strCache>
                <c:ptCount val="1"/>
                <c:pt idx="0">
                  <c:v>V120-2.0MW</c:v>
                </c:pt>
              </c:strCache>
            </c:strRef>
          </c:tx>
          <c:spPr>
            <a:solidFill>
              <a:schemeClr val="accent6">
                <a:lumMod val="80000"/>
                <a:lumOff val="2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#'!$P$57:$AD$57</c:f>
              <c:numCache>
                <c:formatCode>0</c:formatCode>
                <c:ptCount val="15"/>
                <c:pt idx="0">
                  <c:v>0</c:v>
                </c:pt>
                <c:pt idx="1">
                  <c:v>0</c:v>
                </c:pt>
                <c:pt idx="2">
                  <c:v>0</c:v>
                </c:pt>
                <c:pt idx="3">
                  <c:v>15</c:v>
                </c:pt>
                <c:pt idx="4">
                  <c:v>195</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11-A787-4C2E-B20D-02EE6FA3EC2F}"/>
            </c:ext>
          </c:extLst>
        </c:ser>
        <c:ser>
          <c:idx val="18"/>
          <c:order val="18"/>
          <c:tx>
            <c:strRef>
              <c:f>'Vestas turbines hist #'!$B$59</c:f>
              <c:strCache>
                <c:ptCount val="1"/>
                <c:pt idx="0">
                  <c:v>V126-3.0MW</c:v>
                </c:pt>
              </c:strCache>
            </c:strRef>
          </c:tx>
          <c:spPr>
            <a:solidFill>
              <a:schemeClr val="accent1">
                <a:lumMod val="8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#'!$T$59:$AD$59</c:f>
              <c:numCache>
                <c:formatCode>0</c:formatCode>
                <c:ptCount val="11"/>
                <c:pt idx="0">
                  <c:v>0</c:v>
                </c:pt>
                <c:pt idx="1">
                  <c:v>0</c:v>
                </c:pt>
                <c:pt idx="2">
                  <c:v>0</c:v>
                </c:pt>
                <c:pt idx="3">
                  <c:v>0</c:v>
                </c:pt>
                <c:pt idx="4">
                  <c:v>0</c:v>
                </c:pt>
                <c:pt idx="5">
                  <c:v>0</c:v>
                </c:pt>
                <c:pt idx="6">
                  <c:v>3</c:v>
                </c:pt>
                <c:pt idx="7">
                  <c:v>0</c:v>
                </c:pt>
                <c:pt idx="8">
                  <c:v>0</c:v>
                </c:pt>
                <c:pt idx="9">
                  <c:v>0</c:v>
                </c:pt>
                <c:pt idx="10">
                  <c:v>0</c:v>
                </c:pt>
              </c:numCache>
            </c:numRef>
          </c:val>
          <c:extLst>
            <c:ext xmlns:c16="http://schemas.microsoft.com/office/drawing/2014/chart" uri="{C3380CC4-5D6E-409C-BE32-E72D297353CC}">
              <c16:uniqueId val="{00000012-A787-4C2E-B20D-02EE6FA3EC2F}"/>
            </c:ext>
          </c:extLst>
        </c:ser>
        <c:ser>
          <c:idx val="19"/>
          <c:order val="19"/>
          <c:tx>
            <c:strRef>
              <c:f>'Vestas turbines hist #'!$B$60</c:f>
              <c:strCache>
                <c:ptCount val="1"/>
                <c:pt idx="0">
                  <c:v>V126-3.3MW</c:v>
                </c:pt>
              </c:strCache>
            </c:strRef>
          </c:tx>
          <c:spPr>
            <a:solidFill>
              <a:schemeClr val="accent2">
                <a:lumMod val="8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#'!$P$60:$AD$60</c:f>
              <c:numCache>
                <c:formatCode>0</c:formatCode>
                <c:ptCount val="15"/>
                <c:pt idx="0">
                  <c:v>0</c:v>
                </c:pt>
                <c:pt idx="1">
                  <c:v>0</c:v>
                </c:pt>
                <c:pt idx="2">
                  <c:v>0</c:v>
                </c:pt>
                <c:pt idx="3">
                  <c:v>0</c:v>
                </c:pt>
                <c:pt idx="4">
                  <c:v>0</c:v>
                </c:pt>
                <c:pt idx="5">
                  <c:v>22.121212121212121</c:v>
                </c:pt>
                <c:pt idx="6">
                  <c:v>58.787878787878796</c:v>
                </c:pt>
                <c:pt idx="7">
                  <c:v>218.78787878787878</c:v>
                </c:pt>
                <c:pt idx="8">
                  <c:v>98.090909090909093</c:v>
                </c:pt>
                <c:pt idx="9">
                  <c:v>0</c:v>
                </c:pt>
                <c:pt idx="10">
                  <c:v>0</c:v>
                </c:pt>
                <c:pt idx="11">
                  <c:v>0</c:v>
                </c:pt>
                <c:pt idx="12">
                  <c:v>0</c:v>
                </c:pt>
                <c:pt idx="13">
                  <c:v>0</c:v>
                </c:pt>
                <c:pt idx="14">
                  <c:v>0</c:v>
                </c:pt>
              </c:numCache>
            </c:numRef>
          </c:val>
          <c:extLst>
            <c:ext xmlns:c16="http://schemas.microsoft.com/office/drawing/2014/chart" uri="{C3380CC4-5D6E-409C-BE32-E72D297353CC}">
              <c16:uniqueId val="{00000013-A787-4C2E-B20D-02EE6FA3EC2F}"/>
            </c:ext>
          </c:extLst>
        </c:ser>
        <c:ser>
          <c:idx val="20"/>
          <c:order val="20"/>
          <c:tx>
            <c:strRef>
              <c:f>'Vestas turbines hist #'!$B$61</c:f>
              <c:strCache>
                <c:ptCount val="1"/>
                <c:pt idx="0">
                  <c:v>V126-3.45MW</c:v>
                </c:pt>
              </c:strCache>
            </c:strRef>
          </c:tx>
          <c:spPr>
            <a:solidFill>
              <a:schemeClr val="accent3">
                <a:lumMod val="8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#'!$P$61:$AD$61</c:f>
              <c:numCache>
                <c:formatCode>0</c:formatCode>
                <c:ptCount val="15"/>
                <c:pt idx="0">
                  <c:v>25</c:v>
                </c:pt>
                <c:pt idx="1">
                  <c:v>107</c:v>
                </c:pt>
                <c:pt idx="2">
                  <c:v>99</c:v>
                </c:pt>
                <c:pt idx="3">
                  <c:v>132.44927536231884</c:v>
                </c:pt>
                <c:pt idx="4">
                  <c:v>230.11212814645307</c:v>
                </c:pt>
                <c:pt idx="5">
                  <c:v>310.80676328502415</c:v>
                </c:pt>
                <c:pt idx="6">
                  <c:v>350.91787439613523</c:v>
                </c:pt>
                <c:pt idx="7">
                  <c:v>26.956521739130434</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14-A787-4C2E-B20D-02EE6FA3EC2F}"/>
            </c:ext>
          </c:extLst>
        </c:ser>
        <c:ser>
          <c:idx val="21"/>
          <c:order val="21"/>
          <c:tx>
            <c:strRef>
              <c:f>'Vestas turbines hist #'!$B$65</c:f>
              <c:strCache>
                <c:ptCount val="1"/>
                <c:pt idx="0">
                  <c:v>V136-3.45MW</c:v>
                </c:pt>
              </c:strCache>
            </c:strRef>
          </c:tx>
          <c:spPr>
            <a:solidFill>
              <a:schemeClr val="accent4">
                <a:lumMod val="8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#'!$P$65:$AD$65</c:f>
              <c:numCache>
                <c:formatCode>0</c:formatCode>
                <c:ptCount val="15"/>
                <c:pt idx="0">
                  <c:v>11</c:v>
                </c:pt>
                <c:pt idx="1">
                  <c:v>79</c:v>
                </c:pt>
                <c:pt idx="2">
                  <c:v>274</c:v>
                </c:pt>
                <c:pt idx="3">
                  <c:v>114.88888888888889</c:v>
                </c:pt>
                <c:pt idx="4">
                  <c:v>717.71789982201881</c:v>
                </c:pt>
                <c:pt idx="5">
                  <c:v>634.83409610983983</c:v>
                </c:pt>
                <c:pt idx="6">
                  <c:v>0</c:v>
                </c:pt>
                <c:pt idx="7">
                  <c:v>33.913043478260867</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15-A787-4C2E-B20D-02EE6FA3EC2F}"/>
            </c:ext>
          </c:extLst>
        </c:ser>
        <c:ser>
          <c:idx val="22"/>
          <c:order val="22"/>
          <c:tx>
            <c:strRef>
              <c:f>'Vestas turbines hist #'!$B$66</c:f>
              <c:strCache>
                <c:ptCount val="1"/>
                <c:pt idx="0">
                  <c:v>V136-3.6MW</c:v>
                </c:pt>
              </c:strCache>
            </c:strRef>
          </c:tx>
          <c:spPr>
            <a:solidFill>
              <a:schemeClr val="accent5">
                <a:lumMod val="8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#'!$P$66:$AD$66</c:f>
              <c:numCache>
                <c:formatCode>0</c:formatCode>
                <c:ptCount val="15"/>
                <c:pt idx="0">
                  <c:v>0</c:v>
                </c:pt>
                <c:pt idx="1">
                  <c:v>0</c:v>
                </c:pt>
                <c:pt idx="2">
                  <c:v>1</c:v>
                </c:pt>
                <c:pt idx="3">
                  <c:v>12</c:v>
                </c:pt>
                <c:pt idx="4">
                  <c:v>103</c:v>
                </c:pt>
                <c:pt idx="5">
                  <c:v>44.166666666666671</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16-A787-4C2E-B20D-02EE6FA3EC2F}"/>
            </c:ext>
          </c:extLst>
        </c:ser>
        <c:ser>
          <c:idx val="23"/>
          <c:order val="23"/>
          <c:tx>
            <c:strRef>
              <c:f>'Vestas turbines hist #'!$B$67</c:f>
              <c:strCache>
                <c:ptCount val="1"/>
                <c:pt idx="0">
                  <c:v>V136-4.2MW</c:v>
                </c:pt>
              </c:strCache>
            </c:strRef>
          </c:tx>
          <c:spPr>
            <a:solidFill>
              <a:schemeClr val="accent6">
                <a:lumMod val="8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#'!$P$67:$AD$67</c:f>
              <c:numCache>
                <c:formatCode>0</c:formatCode>
                <c:ptCount val="15"/>
                <c:pt idx="0">
                  <c:v>63</c:v>
                </c:pt>
                <c:pt idx="1">
                  <c:v>79</c:v>
                </c:pt>
                <c:pt idx="2">
                  <c:v>221</c:v>
                </c:pt>
                <c:pt idx="3">
                  <c:v>237.91029900332228</c:v>
                </c:pt>
                <c:pt idx="4">
                  <c:v>406.8095238095238</c:v>
                </c:pt>
                <c:pt idx="5">
                  <c:v>85</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17-A787-4C2E-B20D-02EE6FA3EC2F}"/>
            </c:ext>
          </c:extLst>
        </c:ser>
        <c:ser>
          <c:idx val="24"/>
          <c:order val="24"/>
          <c:tx>
            <c:strRef>
              <c:f>'Vestas turbines hist #'!$B$69</c:f>
              <c:strCache>
                <c:ptCount val="1"/>
                <c:pt idx="0">
                  <c:v>V150-4.2MW</c:v>
                </c:pt>
              </c:strCache>
            </c:strRef>
          </c:tx>
          <c:spPr>
            <a:solidFill>
              <a:schemeClr val="accent1">
                <a:lumMod val="60000"/>
                <a:lumOff val="4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#'!$P$69:$AD$69</c:f>
              <c:numCache>
                <c:formatCode>0</c:formatCode>
                <c:ptCount val="15"/>
                <c:pt idx="0">
                  <c:v>139</c:v>
                </c:pt>
                <c:pt idx="1">
                  <c:v>520</c:v>
                </c:pt>
                <c:pt idx="2">
                  <c:v>1025.9047619047619</c:v>
                </c:pt>
                <c:pt idx="3">
                  <c:v>1056.8571428571429</c:v>
                </c:pt>
                <c:pt idx="4">
                  <c:v>267</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18-A787-4C2E-B20D-02EE6FA3EC2F}"/>
            </c:ext>
          </c:extLst>
        </c:ser>
        <c:ser>
          <c:idx val="25"/>
          <c:order val="25"/>
          <c:tx>
            <c:strRef>
              <c:f>'Vestas turbines hist #'!$B$78</c:f>
              <c:strCache>
                <c:ptCount val="1"/>
                <c:pt idx="0">
                  <c:v>V164-7.0MW</c:v>
                </c:pt>
              </c:strCache>
            </c:strRef>
          </c:tx>
          <c:spPr>
            <a:solidFill>
              <a:schemeClr val="accent2">
                <a:lumMod val="60000"/>
                <a:lumOff val="4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#'!$T$78:$AD$78</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9-A787-4C2E-B20D-02EE6FA3EC2F}"/>
            </c:ext>
          </c:extLst>
        </c:ser>
        <c:ser>
          <c:idx val="26"/>
          <c:order val="26"/>
          <c:tx>
            <c:strRef>
              <c:f>'Vestas turbines hist #'!$B$79</c:f>
              <c:strCache>
                <c:ptCount val="1"/>
                <c:pt idx="0">
                  <c:v>V164-8.0MW</c:v>
                </c:pt>
              </c:strCache>
            </c:strRef>
          </c:tx>
          <c:spPr>
            <a:solidFill>
              <a:schemeClr val="accent3">
                <a:lumMod val="60000"/>
                <a:lumOff val="4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#'!$T$79:$AD$79</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A-A787-4C2E-B20D-02EE6FA3EC2F}"/>
            </c:ext>
          </c:extLst>
        </c:ser>
        <c:ser>
          <c:idx val="27"/>
          <c:order val="27"/>
          <c:tx>
            <c:strRef>
              <c:f>'Vestas turbines hist #'!$B$10</c:f>
              <c:strCache>
                <c:ptCount val="1"/>
                <c:pt idx="0">
                  <c:v>V20-0.1MW</c:v>
                </c:pt>
              </c:strCache>
            </c:strRef>
          </c:tx>
          <c:spPr>
            <a:solidFill>
              <a:schemeClr val="accent4">
                <a:lumMod val="60000"/>
                <a:lumOff val="4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#'!$T$10:$AD$10</c:f>
            </c:numRef>
          </c:val>
          <c:extLst>
            <c:ext xmlns:c16="http://schemas.microsoft.com/office/drawing/2014/chart" uri="{C3380CC4-5D6E-409C-BE32-E72D297353CC}">
              <c16:uniqueId val="{0000001B-A787-4C2E-B20D-02EE6FA3EC2F}"/>
            </c:ext>
          </c:extLst>
        </c:ser>
        <c:ser>
          <c:idx val="28"/>
          <c:order val="28"/>
          <c:tx>
            <c:strRef>
              <c:f>'Vestas turbines hist #'!$B$11</c:f>
              <c:strCache>
                <c:ptCount val="1"/>
                <c:pt idx="0">
                  <c:v>V23-0.15MW</c:v>
                </c:pt>
              </c:strCache>
            </c:strRef>
          </c:tx>
          <c:spPr>
            <a:solidFill>
              <a:schemeClr val="accent5">
                <a:lumMod val="60000"/>
                <a:lumOff val="4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#'!$T$11:$AD$11</c:f>
            </c:numRef>
          </c:val>
          <c:extLst>
            <c:ext xmlns:c16="http://schemas.microsoft.com/office/drawing/2014/chart" uri="{C3380CC4-5D6E-409C-BE32-E72D297353CC}">
              <c16:uniqueId val="{0000001C-A787-4C2E-B20D-02EE6FA3EC2F}"/>
            </c:ext>
          </c:extLst>
        </c:ser>
        <c:ser>
          <c:idx val="29"/>
          <c:order val="29"/>
          <c:tx>
            <c:strRef>
              <c:f>'Vestas turbines hist #'!$B$12</c:f>
              <c:strCache>
                <c:ptCount val="1"/>
                <c:pt idx="0">
                  <c:v>V23-0.2MW</c:v>
                </c:pt>
              </c:strCache>
            </c:strRef>
          </c:tx>
          <c:spPr>
            <a:solidFill>
              <a:schemeClr val="accent6">
                <a:lumMod val="60000"/>
                <a:lumOff val="4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#'!$T$12:$AD$12</c:f>
            </c:numRef>
          </c:val>
          <c:extLst>
            <c:ext xmlns:c16="http://schemas.microsoft.com/office/drawing/2014/chart" uri="{C3380CC4-5D6E-409C-BE32-E72D297353CC}">
              <c16:uniqueId val="{0000001D-A787-4C2E-B20D-02EE6FA3EC2F}"/>
            </c:ext>
          </c:extLst>
        </c:ser>
        <c:ser>
          <c:idx val="30"/>
          <c:order val="30"/>
          <c:tx>
            <c:strRef>
              <c:f>'Vestas turbines hist #'!$B$13</c:f>
              <c:strCache>
                <c:ptCount val="1"/>
                <c:pt idx="0">
                  <c:v>V25-0.2MW</c:v>
                </c:pt>
              </c:strCache>
            </c:strRef>
          </c:tx>
          <c:spPr>
            <a:solidFill>
              <a:schemeClr val="accent1">
                <a:lumMod val="5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#'!$T$13:$AD$13</c:f>
            </c:numRef>
          </c:val>
          <c:extLst>
            <c:ext xmlns:c16="http://schemas.microsoft.com/office/drawing/2014/chart" uri="{C3380CC4-5D6E-409C-BE32-E72D297353CC}">
              <c16:uniqueId val="{0000001E-A787-4C2E-B20D-02EE6FA3EC2F}"/>
            </c:ext>
          </c:extLst>
        </c:ser>
        <c:ser>
          <c:idx val="31"/>
          <c:order val="31"/>
          <c:tx>
            <c:strRef>
              <c:f>'Vestas turbines hist #'!$B$14</c:f>
              <c:strCache>
                <c:ptCount val="1"/>
                <c:pt idx="0">
                  <c:v>V27-0.225MW</c:v>
                </c:pt>
              </c:strCache>
            </c:strRef>
          </c:tx>
          <c:spPr>
            <a:solidFill>
              <a:schemeClr val="accent2">
                <a:lumMod val="5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#'!$T$14:$AD$14</c:f>
            </c:numRef>
          </c:val>
          <c:extLst>
            <c:ext xmlns:c16="http://schemas.microsoft.com/office/drawing/2014/chart" uri="{C3380CC4-5D6E-409C-BE32-E72D297353CC}">
              <c16:uniqueId val="{0000001F-A787-4C2E-B20D-02EE6FA3EC2F}"/>
            </c:ext>
          </c:extLst>
        </c:ser>
        <c:ser>
          <c:idx val="32"/>
          <c:order val="32"/>
          <c:tx>
            <c:strRef>
              <c:f>'Vestas turbines hist #'!$B$15</c:f>
              <c:strCache>
                <c:ptCount val="1"/>
                <c:pt idx="0">
                  <c:v>V27-0.27MW</c:v>
                </c:pt>
              </c:strCache>
            </c:strRef>
          </c:tx>
          <c:spPr>
            <a:solidFill>
              <a:schemeClr val="accent3">
                <a:lumMod val="5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#'!$T$15:$AD$15</c:f>
            </c:numRef>
          </c:val>
          <c:extLst>
            <c:ext xmlns:c16="http://schemas.microsoft.com/office/drawing/2014/chart" uri="{C3380CC4-5D6E-409C-BE32-E72D297353CC}">
              <c16:uniqueId val="{00000020-A787-4C2E-B20D-02EE6FA3EC2F}"/>
            </c:ext>
          </c:extLst>
        </c:ser>
        <c:ser>
          <c:idx val="33"/>
          <c:order val="33"/>
          <c:tx>
            <c:strRef>
              <c:f>'Vestas turbines hist #'!$B$16</c:f>
              <c:strCache>
                <c:ptCount val="1"/>
                <c:pt idx="0">
                  <c:v>V29-0.225MW</c:v>
                </c:pt>
              </c:strCache>
            </c:strRef>
          </c:tx>
          <c:spPr>
            <a:solidFill>
              <a:schemeClr val="accent4">
                <a:lumMod val="5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#'!$T$16:$AD$16</c:f>
            </c:numRef>
          </c:val>
          <c:extLst>
            <c:ext xmlns:c16="http://schemas.microsoft.com/office/drawing/2014/chart" uri="{C3380CC4-5D6E-409C-BE32-E72D297353CC}">
              <c16:uniqueId val="{00000021-A787-4C2E-B20D-02EE6FA3EC2F}"/>
            </c:ext>
          </c:extLst>
        </c:ser>
        <c:ser>
          <c:idx val="34"/>
          <c:order val="34"/>
          <c:tx>
            <c:strRef>
              <c:f>'Vestas turbines hist #'!$B$17</c:f>
              <c:strCache>
                <c:ptCount val="1"/>
                <c:pt idx="0">
                  <c:v>V34-0.4MW</c:v>
                </c:pt>
              </c:strCache>
            </c:strRef>
          </c:tx>
          <c:spPr>
            <a:solidFill>
              <a:schemeClr val="accent5">
                <a:lumMod val="5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#'!$T$17:$AD$17</c:f>
            </c:numRef>
          </c:val>
          <c:extLst>
            <c:ext xmlns:c16="http://schemas.microsoft.com/office/drawing/2014/chart" uri="{C3380CC4-5D6E-409C-BE32-E72D297353CC}">
              <c16:uniqueId val="{00000022-A787-4C2E-B20D-02EE6FA3EC2F}"/>
            </c:ext>
          </c:extLst>
        </c:ser>
        <c:ser>
          <c:idx val="35"/>
          <c:order val="35"/>
          <c:tx>
            <c:strRef>
              <c:f>'Vestas turbines hist #'!$B$18</c:f>
              <c:strCache>
                <c:ptCount val="1"/>
                <c:pt idx="0">
                  <c:v>V39-0.5MW</c:v>
                </c:pt>
              </c:strCache>
            </c:strRef>
          </c:tx>
          <c:spPr>
            <a:solidFill>
              <a:schemeClr val="accent6">
                <a:lumMod val="5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#'!$T$18:$AD$18</c:f>
            </c:numRef>
          </c:val>
          <c:extLst>
            <c:ext xmlns:c16="http://schemas.microsoft.com/office/drawing/2014/chart" uri="{C3380CC4-5D6E-409C-BE32-E72D297353CC}">
              <c16:uniqueId val="{00000023-A787-4C2E-B20D-02EE6FA3EC2F}"/>
            </c:ext>
          </c:extLst>
        </c:ser>
        <c:ser>
          <c:idx val="36"/>
          <c:order val="36"/>
          <c:tx>
            <c:strRef>
              <c:f>'Vestas turbines hist #'!$B$19</c:f>
              <c:strCache>
                <c:ptCount val="1"/>
                <c:pt idx="0">
                  <c:v>V39-0.6MW</c:v>
                </c:pt>
              </c:strCache>
            </c:strRef>
          </c:tx>
          <c:spPr>
            <a:solidFill>
              <a:schemeClr val="accent1">
                <a:lumMod val="70000"/>
                <a:lumOff val="3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#'!$T$19:$AD$19</c:f>
            </c:numRef>
          </c:val>
          <c:extLst>
            <c:ext xmlns:c16="http://schemas.microsoft.com/office/drawing/2014/chart" uri="{C3380CC4-5D6E-409C-BE32-E72D297353CC}">
              <c16:uniqueId val="{00000024-A787-4C2E-B20D-02EE6FA3EC2F}"/>
            </c:ext>
          </c:extLst>
        </c:ser>
        <c:ser>
          <c:idx val="37"/>
          <c:order val="37"/>
          <c:tx>
            <c:strRef>
              <c:f>'Vestas turbines hist #'!$B$20</c:f>
              <c:strCache>
                <c:ptCount val="1"/>
                <c:pt idx="0">
                  <c:v>V42-0.5MW</c:v>
                </c:pt>
              </c:strCache>
            </c:strRef>
          </c:tx>
          <c:spPr>
            <a:solidFill>
              <a:schemeClr val="accent2">
                <a:lumMod val="70000"/>
                <a:lumOff val="3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#'!$T$20:$AD$20</c:f>
            </c:numRef>
          </c:val>
          <c:extLst>
            <c:ext xmlns:c16="http://schemas.microsoft.com/office/drawing/2014/chart" uri="{C3380CC4-5D6E-409C-BE32-E72D297353CC}">
              <c16:uniqueId val="{00000025-A787-4C2E-B20D-02EE6FA3EC2F}"/>
            </c:ext>
          </c:extLst>
        </c:ser>
        <c:ser>
          <c:idx val="38"/>
          <c:order val="38"/>
          <c:tx>
            <c:strRef>
              <c:f>'Vestas turbines hist #'!$B$21</c:f>
              <c:strCache>
                <c:ptCount val="1"/>
                <c:pt idx="0">
                  <c:v>V42-0.6MW</c:v>
                </c:pt>
              </c:strCache>
            </c:strRef>
          </c:tx>
          <c:spPr>
            <a:solidFill>
              <a:schemeClr val="accent3">
                <a:lumMod val="70000"/>
                <a:lumOff val="3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#'!$T$21:$AD$21</c:f>
            </c:numRef>
          </c:val>
          <c:extLst>
            <c:ext xmlns:c16="http://schemas.microsoft.com/office/drawing/2014/chart" uri="{C3380CC4-5D6E-409C-BE32-E72D297353CC}">
              <c16:uniqueId val="{00000026-A787-4C2E-B20D-02EE6FA3EC2F}"/>
            </c:ext>
          </c:extLst>
        </c:ser>
        <c:ser>
          <c:idx val="39"/>
          <c:order val="39"/>
          <c:tx>
            <c:strRef>
              <c:f>'Vestas turbines hist #'!$B$22</c:f>
              <c:strCache>
                <c:ptCount val="1"/>
                <c:pt idx="0">
                  <c:v>V44-0.6MW</c:v>
                </c:pt>
              </c:strCache>
            </c:strRef>
          </c:tx>
          <c:spPr>
            <a:solidFill>
              <a:schemeClr val="accent4">
                <a:lumMod val="70000"/>
                <a:lumOff val="3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#'!$T$22:$AD$22</c:f>
            </c:numRef>
          </c:val>
          <c:extLst>
            <c:ext xmlns:c16="http://schemas.microsoft.com/office/drawing/2014/chart" uri="{C3380CC4-5D6E-409C-BE32-E72D297353CC}">
              <c16:uniqueId val="{00000027-A787-4C2E-B20D-02EE6FA3EC2F}"/>
            </c:ext>
          </c:extLst>
        </c:ser>
        <c:ser>
          <c:idx val="40"/>
          <c:order val="40"/>
          <c:tx>
            <c:strRef>
              <c:f>'Vestas turbines hist #'!$B$23</c:f>
              <c:strCache>
                <c:ptCount val="1"/>
                <c:pt idx="0">
                  <c:v>V47-0.66MW</c:v>
                </c:pt>
              </c:strCache>
            </c:strRef>
          </c:tx>
          <c:spPr>
            <a:solidFill>
              <a:schemeClr val="accent5">
                <a:lumMod val="70000"/>
                <a:lumOff val="3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#'!$T$23:$AD$23</c:f>
            </c:numRef>
          </c:val>
          <c:extLst>
            <c:ext xmlns:c16="http://schemas.microsoft.com/office/drawing/2014/chart" uri="{C3380CC4-5D6E-409C-BE32-E72D297353CC}">
              <c16:uniqueId val="{00000028-A787-4C2E-B20D-02EE6FA3EC2F}"/>
            </c:ext>
          </c:extLst>
        </c:ser>
        <c:ser>
          <c:idx val="41"/>
          <c:order val="41"/>
          <c:tx>
            <c:strRef>
              <c:f>'Vestas turbines hist #'!$B$24</c:f>
              <c:strCache>
                <c:ptCount val="1"/>
                <c:pt idx="0">
                  <c:v>V52-850kW</c:v>
                </c:pt>
              </c:strCache>
            </c:strRef>
          </c:tx>
          <c:spPr>
            <a:solidFill>
              <a:schemeClr val="accent6">
                <a:lumMod val="70000"/>
                <a:lumOff val="3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#'!$P$24:$AD$24</c:f>
              <c:numCache>
                <c:formatCode>0</c:formatCode>
                <c:ptCount val="15"/>
                <c:pt idx="0">
                  <c:v>0</c:v>
                </c:pt>
                <c:pt idx="1">
                  <c:v>0</c:v>
                </c:pt>
                <c:pt idx="2">
                  <c:v>0</c:v>
                </c:pt>
                <c:pt idx="3">
                  <c:v>0</c:v>
                </c:pt>
                <c:pt idx="4">
                  <c:v>0</c:v>
                </c:pt>
                <c:pt idx="5">
                  <c:v>0</c:v>
                </c:pt>
                <c:pt idx="6">
                  <c:v>0</c:v>
                </c:pt>
                <c:pt idx="7">
                  <c:v>0</c:v>
                </c:pt>
                <c:pt idx="8">
                  <c:v>364.70588235294116</c:v>
                </c:pt>
                <c:pt idx="9">
                  <c:v>0</c:v>
                </c:pt>
                <c:pt idx="10">
                  <c:v>0</c:v>
                </c:pt>
                <c:pt idx="11">
                  <c:v>0</c:v>
                </c:pt>
                <c:pt idx="12">
                  <c:v>115</c:v>
                </c:pt>
                <c:pt idx="13">
                  <c:v>0</c:v>
                </c:pt>
                <c:pt idx="14">
                  <c:v>237</c:v>
                </c:pt>
              </c:numCache>
            </c:numRef>
          </c:val>
          <c:extLst>
            <c:ext xmlns:c16="http://schemas.microsoft.com/office/drawing/2014/chart" uri="{C3380CC4-5D6E-409C-BE32-E72D297353CC}">
              <c16:uniqueId val="{00000029-A787-4C2E-B20D-02EE6FA3EC2F}"/>
            </c:ext>
          </c:extLst>
        </c:ser>
        <c:ser>
          <c:idx val="42"/>
          <c:order val="42"/>
          <c:tx>
            <c:strRef>
              <c:f>'Vestas turbines hist #'!$B$25</c:f>
              <c:strCache>
                <c:ptCount val="1"/>
                <c:pt idx="0">
                  <c:v>V60-850kW</c:v>
                </c:pt>
              </c:strCache>
            </c:strRef>
          </c:tx>
          <c:spPr>
            <a:solidFill>
              <a:schemeClr val="accent1">
                <a:lumMod val="7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#'!$T$25:$AD$25</c:f>
            </c:numRef>
          </c:val>
          <c:extLst>
            <c:ext xmlns:c16="http://schemas.microsoft.com/office/drawing/2014/chart" uri="{C3380CC4-5D6E-409C-BE32-E72D297353CC}">
              <c16:uniqueId val="{0000002A-A787-4C2E-B20D-02EE6FA3EC2F}"/>
            </c:ext>
          </c:extLst>
        </c:ser>
        <c:ser>
          <c:idx val="43"/>
          <c:order val="43"/>
          <c:tx>
            <c:strRef>
              <c:f>'Vestas turbines hist #'!$B$26</c:f>
              <c:strCache>
                <c:ptCount val="1"/>
                <c:pt idx="0">
                  <c:v>V63-1.5MW</c:v>
                </c:pt>
              </c:strCache>
            </c:strRef>
          </c:tx>
          <c:spPr>
            <a:solidFill>
              <a:schemeClr val="accent2">
                <a:lumMod val="7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#'!$T$26:$AD$26</c:f>
            </c:numRef>
          </c:val>
          <c:extLst>
            <c:ext xmlns:c16="http://schemas.microsoft.com/office/drawing/2014/chart" uri="{C3380CC4-5D6E-409C-BE32-E72D297353CC}">
              <c16:uniqueId val="{0000002B-A787-4C2E-B20D-02EE6FA3EC2F}"/>
            </c:ext>
          </c:extLst>
        </c:ser>
        <c:ser>
          <c:idx val="44"/>
          <c:order val="44"/>
          <c:tx>
            <c:strRef>
              <c:f>'Vestas turbines hist #'!$B$27</c:f>
              <c:strCache>
                <c:ptCount val="1"/>
                <c:pt idx="0">
                  <c:v>V66-1.65MW</c:v>
                </c:pt>
              </c:strCache>
            </c:strRef>
          </c:tx>
          <c:spPr>
            <a:solidFill>
              <a:schemeClr val="accent3">
                <a:lumMod val="7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#'!$T$27:$AD$27</c:f>
            </c:numRef>
          </c:val>
          <c:extLst>
            <c:ext xmlns:c16="http://schemas.microsoft.com/office/drawing/2014/chart" uri="{C3380CC4-5D6E-409C-BE32-E72D297353CC}">
              <c16:uniqueId val="{0000002C-A787-4C2E-B20D-02EE6FA3EC2F}"/>
            </c:ext>
          </c:extLst>
        </c:ser>
        <c:ser>
          <c:idx val="45"/>
          <c:order val="45"/>
          <c:tx>
            <c:strRef>
              <c:f>'Vestas turbines hist #'!$B$28</c:f>
              <c:strCache>
                <c:ptCount val="1"/>
                <c:pt idx="0">
                  <c:v>V66-1.75MW</c:v>
                </c:pt>
              </c:strCache>
            </c:strRef>
          </c:tx>
          <c:spPr>
            <a:solidFill>
              <a:schemeClr val="accent4">
                <a:lumMod val="7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#'!$T$28:$AD$28</c:f>
            </c:numRef>
          </c:val>
          <c:extLst>
            <c:ext xmlns:c16="http://schemas.microsoft.com/office/drawing/2014/chart" uri="{C3380CC4-5D6E-409C-BE32-E72D297353CC}">
              <c16:uniqueId val="{0000002D-A787-4C2E-B20D-02EE6FA3EC2F}"/>
            </c:ext>
          </c:extLst>
        </c:ser>
        <c:ser>
          <c:idx val="46"/>
          <c:order val="46"/>
          <c:tx>
            <c:strRef>
              <c:f>'Vestas turbines hist #'!$B$29</c:f>
              <c:strCache>
                <c:ptCount val="1"/>
                <c:pt idx="0">
                  <c:v>V66-2MW</c:v>
                </c:pt>
              </c:strCache>
            </c:strRef>
          </c:tx>
          <c:spPr>
            <a:solidFill>
              <a:schemeClr val="accent5">
                <a:lumMod val="7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#'!$T$29:$AD$29</c:f>
            </c:numRef>
          </c:val>
          <c:extLst>
            <c:ext xmlns:c16="http://schemas.microsoft.com/office/drawing/2014/chart" uri="{C3380CC4-5D6E-409C-BE32-E72D297353CC}">
              <c16:uniqueId val="{0000002E-A787-4C2E-B20D-02EE6FA3EC2F}"/>
            </c:ext>
          </c:extLst>
        </c:ser>
        <c:ser>
          <c:idx val="47"/>
          <c:order val="47"/>
          <c:tx>
            <c:strRef>
              <c:f>'Vestas turbines hist #'!$B$30</c:f>
              <c:strCache>
                <c:ptCount val="1"/>
                <c:pt idx="0">
                  <c:v>V70-1.65MW</c:v>
                </c:pt>
              </c:strCache>
            </c:strRef>
          </c:tx>
          <c:spPr>
            <a:solidFill>
              <a:schemeClr val="accent6">
                <a:lumMod val="7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#'!$T$30:$AD$30</c:f>
            </c:numRef>
          </c:val>
          <c:extLst>
            <c:ext xmlns:c16="http://schemas.microsoft.com/office/drawing/2014/chart" uri="{C3380CC4-5D6E-409C-BE32-E72D297353CC}">
              <c16:uniqueId val="{0000002F-A787-4C2E-B20D-02EE6FA3EC2F}"/>
            </c:ext>
          </c:extLst>
        </c:ser>
        <c:ser>
          <c:idx val="48"/>
          <c:order val="48"/>
          <c:tx>
            <c:strRef>
              <c:f>'Vestas turbines hist #'!$B$31</c:f>
              <c:strCache>
                <c:ptCount val="1"/>
                <c:pt idx="0">
                  <c:v>V80-1.8MW</c:v>
                </c:pt>
              </c:strCache>
            </c:strRef>
          </c:tx>
          <c:spPr>
            <a:solidFill>
              <a:schemeClr val="accent1">
                <a:lumMod val="50000"/>
                <a:lumOff val="5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#'!$T$31:$AD$31</c:f>
            </c:numRef>
          </c:val>
          <c:extLst>
            <c:ext xmlns:c16="http://schemas.microsoft.com/office/drawing/2014/chart" uri="{C3380CC4-5D6E-409C-BE32-E72D297353CC}">
              <c16:uniqueId val="{00000030-A787-4C2E-B20D-02EE6FA3EC2F}"/>
            </c:ext>
          </c:extLst>
        </c:ser>
        <c:ser>
          <c:idx val="49"/>
          <c:order val="49"/>
          <c:tx>
            <c:strRef>
              <c:f>'Vestas turbines hist #'!$B$32</c:f>
              <c:strCache>
                <c:ptCount val="1"/>
                <c:pt idx="0">
                  <c:v>V80-2.0MW</c:v>
                </c:pt>
              </c:strCache>
            </c:strRef>
          </c:tx>
          <c:spPr>
            <a:solidFill>
              <a:schemeClr val="accent2">
                <a:lumMod val="50000"/>
                <a:lumOff val="5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#'!$P$32:$AD$32</c:f>
              <c:numCache>
                <c:formatCode>0</c:formatCode>
                <c:ptCount val="15"/>
                <c:pt idx="0">
                  <c:v>0</c:v>
                </c:pt>
                <c:pt idx="1">
                  <c:v>0</c:v>
                </c:pt>
                <c:pt idx="2">
                  <c:v>0</c:v>
                </c:pt>
                <c:pt idx="3">
                  <c:v>0</c:v>
                </c:pt>
                <c:pt idx="4">
                  <c:v>0</c:v>
                </c:pt>
                <c:pt idx="5">
                  <c:v>0</c:v>
                </c:pt>
                <c:pt idx="6">
                  <c:v>0</c:v>
                </c:pt>
                <c:pt idx="7">
                  <c:v>0</c:v>
                </c:pt>
                <c:pt idx="8">
                  <c:v>34</c:v>
                </c:pt>
                <c:pt idx="9">
                  <c:v>0</c:v>
                </c:pt>
                <c:pt idx="10">
                  <c:v>47</c:v>
                </c:pt>
                <c:pt idx="11">
                  <c:v>73</c:v>
                </c:pt>
                <c:pt idx="12">
                  <c:v>57</c:v>
                </c:pt>
                <c:pt idx="13">
                  <c:v>88</c:v>
                </c:pt>
                <c:pt idx="14">
                  <c:v>0</c:v>
                </c:pt>
              </c:numCache>
            </c:numRef>
          </c:val>
          <c:extLst>
            <c:ext xmlns:c16="http://schemas.microsoft.com/office/drawing/2014/chart" uri="{C3380CC4-5D6E-409C-BE32-E72D297353CC}">
              <c16:uniqueId val="{00000031-A787-4C2E-B20D-02EE6FA3EC2F}"/>
            </c:ext>
          </c:extLst>
        </c:ser>
        <c:ser>
          <c:idx val="50"/>
          <c:order val="50"/>
          <c:tx>
            <c:strRef>
              <c:f>'Vestas turbines hist #'!$B$33</c:f>
              <c:strCache>
                <c:ptCount val="1"/>
                <c:pt idx="0">
                  <c:v>V82-1.5MW</c:v>
                </c:pt>
              </c:strCache>
            </c:strRef>
          </c:tx>
          <c:spPr>
            <a:solidFill>
              <a:schemeClr val="accent3">
                <a:lumMod val="50000"/>
                <a:lumOff val="5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#'!$T$33:$AD$33</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32-A787-4C2E-B20D-02EE6FA3EC2F}"/>
            </c:ext>
          </c:extLst>
        </c:ser>
        <c:ser>
          <c:idx val="51"/>
          <c:order val="51"/>
          <c:tx>
            <c:strRef>
              <c:f>'Vestas turbines hist #'!$B$34</c:f>
              <c:strCache>
                <c:ptCount val="1"/>
                <c:pt idx="0">
                  <c:v>V82-1.65MW</c:v>
                </c:pt>
              </c:strCache>
            </c:strRef>
          </c:tx>
          <c:spPr>
            <a:solidFill>
              <a:schemeClr val="accent4">
                <a:lumMod val="50000"/>
                <a:lumOff val="5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#'!$P$34:$AD$34</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94</c:v>
                </c:pt>
                <c:pt idx="13">
                  <c:v>60</c:v>
                </c:pt>
                <c:pt idx="14">
                  <c:v>0</c:v>
                </c:pt>
              </c:numCache>
            </c:numRef>
          </c:val>
          <c:extLst>
            <c:ext xmlns:c16="http://schemas.microsoft.com/office/drawing/2014/chart" uri="{C3380CC4-5D6E-409C-BE32-E72D297353CC}">
              <c16:uniqueId val="{00000033-A787-4C2E-B20D-02EE6FA3EC2F}"/>
            </c:ext>
          </c:extLst>
        </c:ser>
        <c:ser>
          <c:idx val="52"/>
          <c:order val="52"/>
          <c:tx>
            <c:strRef>
              <c:f>'Vestas turbines hist #'!$B$35</c:f>
              <c:strCache>
                <c:ptCount val="1"/>
                <c:pt idx="0">
                  <c:v>V90-1.8MW</c:v>
                </c:pt>
              </c:strCache>
            </c:strRef>
          </c:tx>
          <c:spPr>
            <a:solidFill>
              <a:schemeClr val="accent5">
                <a:lumMod val="50000"/>
                <a:lumOff val="5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#'!$P$35:$AD$35</c:f>
              <c:numCache>
                <c:formatCode>0</c:formatCode>
                <c:ptCount val="15"/>
                <c:pt idx="0">
                  <c:v>0</c:v>
                </c:pt>
                <c:pt idx="1">
                  <c:v>0</c:v>
                </c:pt>
                <c:pt idx="2">
                  <c:v>0</c:v>
                </c:pt>
                <c:pt idx="3">
                  <c:v>0</c:v>
                </c:pt>
                <c:pt idx="4">
                  <c:v>0</c:v>
                </c:pt>
                <c:pt idx="5">
                  <c:v>0</c:v>
                </c:pt>
                <c:pt idx="6">
                  <c:v>0</c:v>
                </c:pt>
                <c:pt idx="7">
                  <c:v>0</c:v>
                </c:pt>
                <c:pt idx="8">
                  <c:v>0</c:v>
                </c:pt>
                <c:pt idx="9">
                  <c:v>0</c:v>
                </c:pt>
                <c:pt idx="10">
                  <c:v>0</c:v>
                </c:pt>
                <c:pt idx="11">
                  <c:v>342.77777777777777</c:v>
                </c:pt>
                <c:pt idx="12">
                  <c:v>427</c:v>
                </c:pt>
                <c:pt idx="13">
                  <c:v>0</c:v>
                </c:pt>
                <c:pt idx="14">
                  <c:v>26</c:v>
                </c:pt>
              </c:numCache>
            </c:numRef>
          </c:val>
          <c:extLst>
            <c:ext xmlns:c16="http://schemas.microsoft.com/office/drawing/2014/chart" uri="{C3380CC4-5D6E-409C-BE32-E72D297353CC}">
              <c16:uniqueId val="{00000034-A787-4C2E-B20D-02EE6FA3EC2F}"/>
            </c:ext>
          </c:extLst>
        </c:ser>
        <c:ser>
          <c:idx val="53"/>
          <c:order val="53"/>
          <c:tx>
            <c:strRef>
              <c:f>'Vestas turbines hist #'!$B$36</c:f>
              <c:strCache>
                <c:ptCount val="1"/>
                <c:pt idx="0">
                  <c:v>V90-2.0MW</c:v>
                </c:pt>
              </c:strCache>
            </c:strRef>
          </c:tx>
          <c:spPr>
            <a:solidFill>
              <a:schemeClr val="accent6">
                <a:lumMod val="50000"/>
                <a:lumOff val="50000"/>
              </a:schemeClr>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#'!$P$36:$AD$36</c:f>
              <c:numCache>
                <c:formatCode>0</c:formatCode>
                <c:ptCount val="15"/>
                <c:pt idx="0">
                  <c:v>0</c:v>
                </c:pt>
                <c:pt idx="1">
                  <c:v>2</c:v>
                </c:pt>
                <c:pt idx="2">
                  <c:v>1</c:v>
                </c:pt>
                <c:pt idx="3">
                  <c:v>0</c:v>
                </c:pt>
                <c:pt idx="4">
                  <c:v>0</c:v>
                </c:pt>
                <c:pt idx="5">
                  <c:v>0</c:v>
                </c:pt>
                <c:pt idx="6">
                  <c:v>0</c:v>
                </c:pt>
                <c:pt idx="7">
                  <c:v>49</c:v>
                </c:pt>
                <c:pt idx="8">
                  <c:v>21</c:v>
                </c:pt>
                <c:pt idx="9">
                  <c:v>202.5</c:v>
                </c:pt>
                <c:pt idx="10">
                  <c:v>151</c:v>
                </c:pt>
                <c:pt idx="11">
                  <c:v>373</c:v>
                </c:pt>
                <c:pt idx="12">
                  <c:v>415</c:v>
                </c:pt>
                <c:pt idx="13">
                  <c:v>130</c:v>
                </c:pt>
                <c:pt idx="14">
                  <c:v>101</c:v>
                </c:pt>
              </c:numCache>
            </c:numRef>
          </c:val>
          <c:extLst>
            <c:ext xmlns:c16="http://schemas.microsoft.com/office/drawing/2014/chart" uri="{C3380CC4-5D6E-409C-BE32-E72D297353CC}">
              <c16:uniqueId val="{00000035-A787-4C2E-B20D-02EE6FA3EC2F}"/>
            </c:ext>
          </c:extLst>
        </c:ser>
        <c:ser>
          <c:idx val="54"/>
          <c:order val="54"/>
          <c:tx>
            <c:strRef>
              <c:f>'Vestas turbines hist #'!$B$37</c:f>
              <c:strCache>
                <c:ptCount val="1"/>
                <c:pt idx="0">
                  <c:v>V90-3.0MW</c:v>
                </c:pt>
              </c:strCache>
            </c:strRef>
          </c:tx>
          <c:spPr>
            <a:solidFill>
              <a:schemeClr val="accent1"/>
            </a:solidFill>
            <a:ln>
              <a:noFill/>
            </a:ln>
            <a:effectLst/>
          </c:spPr>
          <c:invertIfNegative val="0"/>
          <c:cat>
            <c:numRef>
              <c:f>'Vestas turbines hist #'!$P$4:$AD$4</c:f>
              <c:numCache>
                <c:formatCode>General</c:formatCod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numCache>
            </c:numRef>
          </c:cat>
          <c:val>
            <c:numRef>
              <c:f>'Vestas turbines hist #'!$P$37:$AD$37</c:f>
              <c:numCache>
                <c:formatCode>0</c:formatCode>
                <c:ptCount val="15"/>
                <c:pt idx="0">
                  <c:v>0</c:v>
                </c:pt>
                <c:pt idx="1">
                  <c:v>0</c:v>
                </c:pt>
                <c:pt idx="2">
                  <c:v>0</c:v>
                </c:pt>
                <c:pt idx="3">
                  <c:v>0</c:v>
                </c:pt>
                <c:pt idx="4">
                  <c:v>0</c:v>
                </c:pt>
                <c:pt idx="5">
                  <c:v>0</c:v>
                </c:pt>
                <c:pt idx="6">
                  <c:v>40</c:v>
                </c:pt>
                <c:pt idx="7">
                  <c:v>29</c:v>
                </c:pt>
                <c:pt idx="8">
                  <c:v>61</c:v>
                </c:pt>
                <c:pt idx="9">
                  <c:v>43</c:v>
                </c:pt>
                <c:pt idx="10">
                  <c:v>208</c:v>
                </c:pt>
                <c:pt idx="11">
                  <c:v>193</c:v>
                </c:pt>
                <c:pt idx="12">
                  <c:v>342</c:v>
                </c:pt>
                <c:pt idx="13">
                  <c:v>286</c:v>
                </c:pt>
                <c:pt idx="14">
                  <c:v>219</c:v>
                </c:pt>
              </c:numCache>
            </c:numRef>
          </c:val>
          <c:extLst>
            <c:ext xmlns:c16="http://schemas.microsoft.com/office/drawing/2014/chart" uri="{C3380CC4-5D6E-409C-BE32-E72D297353CC}">
              <c16:uniqueId val="{00000036-A787-4C2E-B20D-02EE6FA3EC2F}"/>
            </c:ext>
          </c:extLst>
        </c:ser>
        <c:dLbls>
          <c:showLegendKey val="0"/>
          <c:showVal val="0"/>
          <c:showCatName val="0"/>
          <c:showSerName val="0"/>
          <c:showPercent val="0"/>
          <c:showBubbleSize val="0"/>
        </c:dLbls>
        <c:gapWidth val="150"/>
        <c:overlap val="100"/>
        <c:axId val="187174704"/>
        <c:axId val="187175096"/>
      </c:barChart>
      <c:catAx>
        <c:axId val="18717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5096"/>
        <c:crosses val="autoZero"/>
        <c:auto val="1"/>
        <c:lblAlgn val="ctr"/>
        <c:lblOffset val="100"/>
        <c:noMultiLvlLbl val="0"/>
      </c:catAx>
      <c:valAx>
        <c:axId val="187175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4704"/>
        <c:crosses val="autoZero"/>
        <c:crossBetween val="between"/>
      </c:valAx>
      <c:spPr>
        <a:noFill/>
        <a:ln>
          <a:noFill/>
        </a:ln>
        <a:effectLst/>
      </c:spPr>
    </c:plotArea>
    <c:legend>
      <c:legendPos val="b"/>
      <c:layout>
        <c:manualLayout>
          <c:xMode val="edge"/>
          <c:yMode val="edge"/>
          <c:x val="2.0774985462146574E-2"/>
          <c:y val="0.88763193388892903"/>
          <c:w val="0.95246200512361123"/>
          <c:h val="9.953934364270036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6.604617536580383E-2"/>
          <c:y val="8.4506721348826613E-2"/>
          <c:w val="0.91199773680984486"/>
          <c:h val="0.7239385148626758"/>
        </c:manualLayout>
      </c:layout>
      <c:barChart>
        <c:barDir val="col"/>
        <c:grouping val="stacked"/>
        <c:varyColors val="0"/>
        <c:ser>
          <c:idx val="0"/>
          <c:order val="0"/>
          <c:tx>
            <c:strRef>
              <c:f>'Vestas turbines hist #'!$B$97</c:f>
              <c:strCache>
                <c:ptCount val="1"/>
                <c:pt idx="0">
                  <c:v>V52</c:v>
                </c:pt>
              </c:strCache>
            </c:strRef>
          </c:tx>
          <c:spPr>
            <a:solidFill>
              <a:schemeClr val="accent1"/>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#'!$O$97:$AD$97</c:f>
              <c:numCache>
                <c:formatCode>0</c:formatCode>
                <c:ptCount val="16"/>
                <c:pt idx="0">
                  <c:v>0</c:v>
                </c:pt>
                <c:pt idx="1">
                  <c:v>0</c:v>
                </c:pt>
                <c:pt idx="2">
                  <c:v>0</c:v>
                </c:pt>
                <c:pt idx="3">
                  <c:v>0</c:v>
                </c:pt>
                <c:pt idx="4">
                  <c:v>0</c:v>
                </c:pt>
                <c:pt idx="5">
                  <c:v>0</c:v>
                </c:pt>
                <c:pt idx="6">
                  <c:v>0</c:v>
                </c:pt>
                <c:pt idx="7">
                  <c:v>0</c:v>
                </c:pt>
                <c:pt idx="8">
                  <c:v>0</c:v>
                </c:pt>
                <c:pt idx="9">
                  <c:v>364.70588235294116</c:v>
                </c:pt>
                <c:pt idx="10">
                  <c:v>0</c:v>
                </c:pt>
                <c:pt idx="11">
                  <c:v>0</c:v>
                </c:pt>
                <c:pt idx="12">
                  <c:v>0</c:v>
                </c:pt>
                <c:pt idx="13">
                  <c:v>115</c:v>
                </c:pt>
                <c:pt idx="14">
                  <c:v>0</c:v>
                </c:pt>
                <c:pt idx="15">
                  <c:v>237</c:v>
                </c:pt>
              </c:numCache>
            </c:numRef>
          </c:val>
          <c:extLst>
            <c:ext xmlns:c16="http://schemas.microsoft.com/office/drawing/2014/chart" uri="{C3380CC4-5D6E-409C-BE32-E72D297353CC}">
              <c16:uniqueId val="{00000000-15C0-43D4-AC0F-1D998B7C40B8}"/>
            </c:ext>
          </c:extLst>
        </c:ser>
        <c:ser>
          <c:idx val="1"/>
          <c:order val="1"/>
          <c:tx>
            <c:strRef>
              <c:f>'Vestas turbines hist #'!$B$98</c:f>
              <c:strCache>
                <c:ptCount val="1"/>
                <c:pt idx="0">
                  <c:v>V80</c:v>
                </c:pt>
              </c:strCache>
            </c:strRef>
          </c:tx>
          <c:spPr>
            <a:solidFill>
              <a:schemeClr val="accent2"/>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#'!$O$98:$AD$98</c:f>
              <c:numCache>
                <c:formatCode>0</c:formatCode>
                <c:ptCount val="16"/>
                <c:pt idx="0">
                  <c:v>0</c:v>
                </c:pt>
                <c:pt idx="1">
                  <c:v>0</c:v>
                </c:pt>
                <c:pt idx="2">
                  <c:v>0</c:v>
                </c:pt>
                <c:pt idx="3">
                  <c:v>0</c:v>
                </c:pt>
                <c:pt idx="4">
                  <c:v>0</c:v>
                </c:pt>
                <c:pt idx="5">
                  <c:v>0</c:v>
                </c:pt>
                <c:pt idx="6">
                  <c:v>0</c:v>
                </c:pt>
                <c:pt idx="7">
                  <c:v>0</c:v>
                </c:pt>
                <c:pt idx="8">
                  <c:v>0</c:v>
                </c:pt>
                <c:pt idx="9">
                  <c:v>34</c:v>
                </c:pt>
                <c:pt idx="10">
                  <c:v>0</c:v>
                </c:pt>
                <c:pt idx="11">
                  <c:v>47</c:v>
                </c:pt>
                <c:pt idx="12">
                  <c:v>73</c:v>
                </c:pt>
                <c:pt idx="13">
                  <c:v>57</c:v>
                </c:pt>
                <c:pt idx="14">
                  <c:v>88</c:v>
                </c:pt>
                <c:pt idx="15">
                  <c:v>0</c:v>
                </c:pt>
              </c:numCache>
            </c:numRef>
          </c:val>
          <c:extLst>
            <c:ext xmlns:c16="http://schemas.microsoft.com/office/drawing/2014/chart" uri="{C3380CC4-5D6E-409C-BE32-E72D297353CC}">
              <c16:uniqueId val="{00000001-15C0-43D4-AC0F-1D998B7C40B8}"/>
            </c:ext>
          </c:extLst>
        </c:ser>
        <c:ser>
          <c:idx val="2"/>
          <c:order val="2"/>
          <c:tx>
            <c:strRef>
              <c:f>'Vestas turbines hist #'!$B$99</c:f>
              <c:strCache>
                <c:ptCount val="1"/>
                <c:pt idx="0">
                  <c:v>V90</c:v>
                </c:pt>
              </c:strCache>
            </c:strRef>
          </c:tx>
          <c:spPr>
            <a:solidFill>
              <a:schemeClr val="accent3"/>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#'!$O$99:$AD$99</c:f>
              <c:numCache>
                <c:formatCode>0</c:formatCode>
                <c:ptCount val="16"/>
                <c:pt idx="0">
                  <c:v>0</c:v>
                </c:pt>
                <c:pt idx="1">
                  <c:v>0</c:v>
                </c:pt>
                <c:pt idx="2">
                  <c:v>2</c:v>
                </c:pt>
                <c:pt idx="3">
                  <c:v>1</c:v>
                </c:pt>
                <c:pt idx="4">
                  <c:v>0</c:v>
                </c:pt>
                <c:pt idx="5">
                  <c:v>0</c:v>
                </c:pt>
                <c:pt idx="6">
                  <c:v>0</c:v>
                </c:pt>
                <c:pt idx="7">
                  <c:v>40</c:v>
                </c:pt>
                <c:pt idx="8">
                  <c:v>78</c:v>
                </c:pt>
                <c:pt idx="9">
                  <c:v>82</c:v>
                </c:pt>
                <c:pt idx="10">
                  <c:v>245.5</c:v>
                </c:pt>
                <c:pt idx="11">
                  <c:v>359</c:v>
                </c:pt>
                <c:pt idx="12">
                  <c:v>908.77777777777783</c:v>
                </c:pt>
                <c:pt idx="13">
                  <c:v>1184</c:v>
                </c:pt>
                <c:pt idx="14">
                  <c:v>416</c:v>
                </c:pt>
                <c:pt idx="15">
                  <c:v>346</c:v>
                </c:pt>
              </c:numCache>
            </c:numRef>
          </c:val>
          <c:extLst>
            <c:ext xmlns:c16="http://schemas.microsoft.com/office/drawing/2014/chart" uri="{C3380CC4-5D6E-409C-BE32-E72D297353CC}">
              <c16:uniqueId val="{00000002-15C0-43D4-AC0F-1D998B7C40B8}"/>
            </c:ext>
          </c:extLst>
        </c:ser>
        <c:ser>
          <c:idx val="3"/>
          <c:order val="3"/>
          <c:tx>
            <c:strRef>
              <c:f>'Vestas turbines hist #'!$B$100</c:f>
              <c:strCache>
                <c:ptCount val="1"/>
                <c:pt idx="0">
                  <c:v>V100</c:v>
                </c:pt>
              </c:strCache>
            </c:strRef>
          </c:tx>
          <c:spPr>
            <a:solidFill>
              <a:schemeClr val="accent4"/>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#'!$O$100:$AD$100</c:f>
              <c:numCache>
                <c:formatCode>0</c:formatCode>
                <c:ptCount val="16"/>
                <c:pt idx="0">
                  <c:v>40</c:v>
                </c:pt>
                <c:pt idx="1">
                  <c:v>2</c:v>
                </c:pt>
                <c:pt idx="2">
                  <c:v>86</c:v>
                </c:pt>
                <c:pt idx="3">
                  <c:v>124</c:v>
                </c:pt>
                <c:pt idx="4">
                  <c:v>0</c:v>
                </c:pt>
                <c:pt idx="5">
                  <c:v>141</c:v>
                </c:pt>
                <c:pt idx="6">
                  <c:v>72</c:v>
                </c:pt>
                <c:pt idx="7">
                  <c:v>119</c:v>
                </c:pt>
                <c:pt idx="8">
                  <c:v>556</c:v>
                </c:pt>
                <c:pt idx="9">
                  <c:v>659</c:v>
                </c:pt>
                <c:pt idx="10">
                  <c:v>681.11111111111109</c:v>
                </c:pt>
                <c:pt idx="11">
                  <c:v>202</c:v>
                </c:pt>
                <c:pt idx="12">
                  <c:v>406</c:v>
                </c:pt>
                <c:pt idx="13">
                  <c:v>252</c:v>
                </c:pt>
                <c:pt idx="14">
                  <c:v>50</c:v>
                </c:pt>
                <c:pt idx="15">
                  <c:v>0</c:v>
                </c:pt>
              </c:numCache>
            </c:numRef>
          </c:val>
          <c:extLst>
            <c:ext xmlns:c16="http://schemas.microsoft.com/office/drawing/2014/chart" uri="{C3380CC4-5D6E-409C-BE32-E72D297353CC}">
              <c16:uniqueId val="{00000003-15C0-43D4-AC0F-1D998B7C40B8}"/>
            </c:ext>
          </c:extLst>
        </c:ser>
        <c:ser>
          <c:idx val="4"/>
          <c:order val="4"/>
          <c:tx>
            <c:strRef>
              <c:f>'Vestas turbines hist #'!$B$101</c:f>
              <c:strCache>
                <c:ptCount val="1"/>
                <c:pt idx="0">
                  <c:v>V105</c:v>
                </c:pt>
              </c:strCache>
            </c:strRef>
          </c:tx>
          <c:spPr>
            <a:solidFill>
              <a:schemeClr val="accent5"/>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#'!$O$101:$AD$101</c:f>
              <c:numCache>
                <c:formatCode>0</c:formatCode>
                <c:ptCount val="16"/>
                <c:pt idx="0">
                  <c:v>0</c:v>
                </c:pt>
                <c:pt idx="1">
                  <c:v>8</c:v>
                </c:pt>
                <c:pt idx="2">
                  <c:v>25</c:v>
                </c:pt>
                <c:pt idx="3">
                  <c:v>138</c:v>
                </c:pt>
                <c:pt idx="4">
                  <c:v>17</c:v>
                </c:pt>
                <c:pt idx="5">
                  <c:v>0</c:v>
                </c:pt>
                <c:pt idx="6">
                  <c:v>31.714975845410628</c:v>
                </c:pt>
                <c:pt idx="7">
                  <c:v>8.9855072463768106</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15C0-43D4-AC0F-1D998B7C40B8}"/>
            </c:ext>
          </c:extLst>
        </c:ser>
        <c:ser>
          <c:idx val="5"/>
          <c:order val="5"/>
          <c:tx>
            <c:strRef>
              <c:f>'Vestas turbines hist #'!$B$102</c:f>
              <c:strCache>
                <c:ptCount val="1"/>
                <c:pt idx="0">
                  <c:v>V110</c:v>
                </c:pt>
              </c:strCache>
            </c:strRef>
          </c:tx>
          <c:spPr>
            <a:solidFill>
              <a:schemeClr val="accent6"/>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#'!$O$102:$AD$102</c:f>
              <c:numCache>
                <c:formatCode>0</c:formatCode>
                <c:ptCount val="16"/>
                <c:pt idx="0">
                  <c:v>259</c:v>
                </c:pt>
                <c:pt idx="1">
                  <c:v>66</c:v>
                </c:pt>
                <c:pt idx="2">
                  <c:v>119.09090909090909</c:v>
                </c:pt>
                <c:pt idx="3">
                  <c:v>278</c:v>
                </c:pt>
                <c:pt idx="4">
                  <c:v>321</c:v>
                </c:pt>
                <c:pt idx="5">
                  <c:v>543.27272727272725</c:v>
                </c:pt>
                <c:pt idx="6">
                  <c:v>1449.8636363636363</c:v>
                </c:pt>
                <c:pt idx="7">
                  <c:v>1354.3636363636363</c:v>
                </c:pt>
                <c:pt idx="8">
                  <c:v>860</c:v>
                </c:pt>
                <c:pt idx="9">
                  <c:v>336</c:v>
                </c:pt>
                <c:pt idx="10">
                  <c:v>295</c:v>
                </c:pt>
                <c:pt idx="11">
                  <c:v>0</c:v>
                </c:pt>
                <c:pt idx="12">
                  <c:v>0</c:v>
                </c:pt>
                <c:pt idx="13">
                  <c:v>0</c:v>
                </c:pt>
                <c:pt idx="14">
                  <c:v>0</c:v>
                </c:pt>
                <c:pt idx="15">
                  <c:v>0</c:v>
                </c:pt>
              </c:numCache>
            </c:numRef>
          </c:val>
          <c:extLst>
            <c:ext xmlns:c16="http://schemas.microsoft.com/office/drawing/2014/chart" uri="{C3380CC4-5D6E-409C-BE32-E72D297353CC}">
              <c16:uniqueId val="{00000005-15C0-43D4-AC0F-1D998B7C40B8}"/>
            </c:ext>
          </c:extLst>
        </c:ser>
        <c:ser>
          <c:idx val="6"/>
          <c:order val="6"/>
          <c:tx>
            <c:strRef>
              <c:f>'Vestas turbines hist #'!$B$103</c:f>
              <c:strCache>
                <c:ptCount val="1"/>
                <c:pt idx="0">
                  <c:v>V112</c:v>
                </c:pt>
              </c:strCache>
            </c:strRef>
          </c:tx>
          <c:spPr>
            <a:solidFill>
              <a:schemeClr val="accent1">
                <a:lumMod val="6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#'!$O$103:$AD$103</c:f>
              <c:numCache>
                <c:formatCode>0</c:formatCode>
                <c:ptCount val="16"/>
                <c:pt idx="0">
                  <c:v>0</c:v>
                </c:pt>
                <c:pt idx="1">
                  <c:v>2</c:v>
                </c:pt>
                <c:pt idx="2">
                  <c:v>10</c:v>
                </c:pt>
                <c:pt idx="3">
                  <c:v>34</c:v>
                </c:pt>
                <c:pt idx="4">
                  <c:v>81</c:v>
                </c:pt>
                <c:pt idx="5">
                  <c:v>41.95125164690382</c:v>
                </c:pt>
                <c:pt idx="6">
                  <c:v>66.186209925340364</c:v>
                </c:pt>
                <c:pt idx="7">
                  <c:v>199.00790513833991</c:v>
                </c:pt>
                <c:pt idx="8">
                  <c:v>377.82586220598421</c:v>
                </c:pt>
                <c:pt idx="9">
                  <c:v>297.39393939393938</c:v>
                </c:pt>
                <c:pt idx="10">
                  <c:v>467.09090909090912</c:v>
                </c:pt>
                <c:pt idx="11">
                  <c:v>112</c:v>
                </c:pt>
                <c:pt idx="12">
                  <c:v>250</c:v>
                </c:pt>
                <c:pt idx="13">
                  <c:v>200</c:v>
                </c:pt>
                <c:pt idx="14">
                  <c:v>0</c:v>
                </c:pt>
                <c:pt idx="15">
                  <c:v>0</c:v>
                </c:pt>
              </c:numCache>
            </c:numRef>
          </c:val>
          <c:extLst>
            <c:ext xmlns:c16="http://schemas.microsoft.com/office/drawing/2014/chart" uri="{C3380CC4-5D6E-409C-BE32-E72D297353CC}">
              <c16:uniqueId val="{00000006-15C0-43D4-AC0F-1D998B7C40B8}"/>
            </c:ext>
          </c:extLst>
        </c:ser>
        <c:ser>
          <c:idx val="7"/>
          <c:order val="7"/>
          <c:tx>
            <c:strRef>
              <c:f>'Vestas turbines hist #'!$B$104</c:f>
              <c:strCache>
                <c:ptCount val="1"/>
                <c:pt idx="0">
                  <c:v>V116</c:v>
                </c:pt>
              </c:strCache>
            </c:strRef>
          </c:tx>
          <c:spPr>
            <a:solidFill>
              <a:schemeClr val="accent2">
                <a:lumMod val="6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#'!$O$104:$AD$104</c:f>
              <c:numCache>
                <c:formatCode>0</c:formatCode>
                <c:ptCount val="16"/>
                <c:pt idx="0">
                  <c:v>0</c:v>
                </c:pt>
                <c:pt idx="1">
                  <c:v>0</c:v>
                </c:pt>
                <c:pt idx="2">
                  <c:v>0</c:v>
                </c:pt>
                <c:pt idx="3">
                  <c:v>0</c:v>
                </c:pt>
                <c:pt idx="4">
                  <c:v>0</c:v>
                </c:pt>
                <c:pt idx="5">
                  <c:v>216</c:v>
                </c:pt>
                <c:pt idx="6">
                  <c:v>33</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7-15C0-43D4-AC0F-1D998B7C40B8}"/>
            </c:ext>
          </c:extLst>
        </c:ser>
        <c:ser>
          <c:idx val="8"/>
          <c:order val="8"/>
          <c:tx>
            <c:strRef>
              <c:f>'Vestas turbines hist #'!$B$105</c:f>
              <c:strCache>
                <c:ptCount val="1"/>
                <c:pt idx="0">
                  <c:v>V117</c:v>
                </c:pt>
              </c:strCache>
            </c:strRef>
          </c:tx>
          <c:spPr>
            <a:solidFill>
              <a:schemeClr val="accent3">
                <a:lumMod val="6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#'!$O$105:$AD$105</c:f>
              <c:numCache>
                <c:formatCode>0</c:formatCode>
                <c:ptCount val="16"/>
                <c:pt idx="0">
                  <c:v>44</c:v>
                </c:pt>
                <c:pt idx="1">
                  <c:v>49</c:v>
                </c:pt>
                <c:pt idx="2">
                  <c:v>120</c:v>
                </c:pt>
                <c:pt idx="3">
                  <c:v>199</c:v>
                </c:pt>
                <c:pt idx="4">
                  <c:v>153</c:v>
                </c:pt>
                <c:pt idx="5">
                  <c:v>219.15217391304347</c:v>
                </c:pt>
                <c:pt idx="6">
                  <c:v>66.932367149758448</c:v>
                </c:pt>
                <c:pt idx="7">
                  <c:v>452.91040843214756</c:v>
                </c:pt>
                <c:pt idx="8">
                  <c:v>395.45454545454544</c:v>
                </c:pt>
                <c:pt idx="9">
                  <c:v>19</c:v>
                </c:pt>
                <c:pt idx="10">
                  <c:v>0</c:v>
                </c:pt>
                <c:pt idx="11">
                  <c:v>0</c:v>
                </c:pt>
                <c:pt idx="12">
                  <c:v>0</c:v>
                </c:pt>
                <c:pt idx="13">
                  <c:v>0</c:v>
                </c:pt>
                <c:pt idx="14">
                  <c:v>0</c:v>
                </c:pt>
                <c:pt idx="15">
                  <c:v>0</c:v>
                </c:pt>
              </c:numCache>
            </c:numRef>
          </c:val>
          <c:extLst>
            <c:ext xmlns:c16="http://schemas.microsoft.com/office/drawing/2014/chart" uri="{C3380CC4-5D6E-409C-BE32-E72D297353CC}">
              <c16:uniqueId val="{00000008-15C0-43D4-AC0F-1D998B7C40B8}"/>
            </c:ext>
          </c:extLst>
        </c:ser>
        <c:ser>
          <c:idx val="9"/>
          <c:order val="9"/>
          <c:tx>
            <c:strRef>
              <c:f>'Vestas turbines hist #'!$B$106</c:f>
              <c:strCache>
                <c:ptCount val="1"/>
                <c:pt idx="0">
                  <c:v>V120</c:v>
                </c:pt>
              </c:strCache>
            </c:strRef>
          </c:tx>
          <c:spPr>
            <a:solidFill>
              <a:schemeClr val="accent4">
                <a:lumMod val="6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#'!$O$106:$AD$106</c:f>
              <c:numCache>
                <c:formatCode>0</c:formatCode>
                <c:ptCount val="16"/>
                <c:pt idx="0">
                  <c:v>72</c:v>
                </c:pt>
                <c:pt idx="1">
                  <c:v>23</c:v>
                </c:pt>
                <c:pt idx="2">
                  <c:v>255</c:v>
                </c:pt>
                <c:pt idx="3">
                  <c:v>320</c:v>
                </c:pt>
                <c:pt idx="4">
                  <c:v>1269.8181818181815</c:v>
                </c:pt>
                <c:pt idx="5">
                  <c:v>459.72727272727275</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9-15C0-43D4-AC0F-1D998B7C40B8}"/>
            </c:ext>
          </c:extLst>
        </c:ser>
        <c:ser>
          <c:idx val="10"/>
          <c:order val="10"/>
          <c:tx>
            <c:strRef>
              <c:f>'Vestas turbines hist #'!$B$107</c:f>
              <c:strCache>
                <c:ptCount val="1"/>
                <c:pt idx="0">
                  <c:v>V126</c:v>
                </c:pt>
              </c:strCache>
            </c:strRef>
          </c:tx>
          <c:spPr>
            <a:solidFill>
              <a:schemeClr val="accent5">
                <a:lumMod val="6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#'!$O$107:$AD$107</c:f>
              <c:numCache>
                <c:formatCode>0</c:formatCode>
                <c:ptCount val="16"/>
                <c:pt idx="0">
                  <c:v>7</c:v>
                </c:pt>
                <c:pt idx="1">
                  <c:v>25</c:v>
                </c:pt>
                <c:pt idx="2">
                  <c:v>167</c:v>
                </c:pt>
                <c:pt idx="3">
                  <c:v>213</c:v>
                </c:pt>
                <c:pt idx="4">
                  <c:v>192.44927536231884</c:v>
                </c:pt>
                <c:pt idx="5">
                  <c:v>261.11212814645307</c:v>
                </c:pt>
                <c:pt idx="6">
                  <c:v>357.37241985068073</c:v>
                </c:pt>
                <c:pt idx="7">
                  <c:v>409.70575318401404</c:v>
                </c:pt>
                <c:pt idx="8">
                  <c:v>245.74440052700922</c:v>
                </c:pt>
                <c:pt idx="9">
                  <c:v>98.090909090909093</c:v>
                </c:pt>
                <c:pt idx="10">
                  <c:v>0</c:v>
                </c:pt>
                <c:pt idx="11">
                  <c:v>3</c:v>
                </c:pt>
                <c:pt idx="12">
                  <c:v>0</c:v>
                </c:pt>
                <c:pt idx="13">
                  <c:v>0</c:v>
                </c:pt>
                <c:pt idx="14">
                  <c:v>0</c:v>
                </c:pt>
                <c:pt idx="15">
                  <c:v>0</c:v>
                </c:pt>
              </c:numCache>
            </c:numRef>
          </c:val>
          <c:extLst>
            <c:ext xmlns:c16="http://schemas.microsoft.com/office/drawing/2014/chart" uri="{C3380CC4-5D6E-409C-BE32-E72D297353CC}">
              <c16:uniqueId val="{0000000A-15C0-43D4-AC0F-1D998B7C40B8}"/>
            </c:ext>
          </c:extLst>
        </c:ser>
        <c:ser>
          <c:idx val="11"/>
          <c:order val="11"/>
          <c:tx>
            <c:strRef>
              <c:f>'Vestas turbines hist #'!$B$108</c:f>
              <c:strCache>
                <c:ptCount val="1"/>
                <c:pt idx="0">
                  <c:v>V136</c:v>
                </c:pt>
              </c:strCache>
            </c:strRef>
          </c:tx>
          <c:spPr>
            <a:solidFill>
              <a:schemeClr val="accent6">
                <a:lumMod val="6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#'!$O$108:$AD$108</c:f>
              <c:numCache>
                <c:formatCode>0</c:formatCode>
                <c:ptCount val="16"/>
                <c:pt idx="0">
                  <c:v>166</c:v>
                </c:pt>
                <c:pt idx="1">
                  <c:v>190</c:v>
                </c:pt>
                <c:pt idx="2">
                  <c:v>158</c:v>
                </c:pt>
                <c:pt idx="3">
                  <c:v>496</c:v>
                </c:pt>
                <c:pt idx="4">
                  <c:v>364.79918789221119</c:v>
                </c:pt>
                <c:pt idx="5">
                  <c:v>1227.5274236315427</c:v>
                </c:pt>
                <c:pt idx="6">
                  <c:v>824.00076277650646</c:v>
                </c:pt>
                <c:pt idx="7">
                  <c:v>0</c:v>
                </c:pt>
                <c:pt idx="8">
                  <c:v>33.913043478260867</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B-15C0-43D4-AC0F-1D998B7C40B8}"/>
            </c:ext>
          </c:extLst>
        </c:ser>
        <c:ser>
          <c:idx val="12"/>
          <c:order val="12"/>
          <c:tx>
            <c:strRef>
              <c:f>'Vestas turbines hist #'!$B$109</c:f>
              <c:strCache>
                <c:ptCount val="1"/>
                <c:pt idx="0">
                  <c:v>V150</c:v>
                </c:pt>
              </c:strCache>
            </c:strRef>
          </c:tx>
          <c:spPr>
            <a:solidFill>
              <a:schemeClr val="accent1">
                <a:lumMod val="80000"/>
                <a:lumOff val="2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#'!$O$109:$AD$109</c:f>
              <c:numCache>
                <c:formatCode>0</c:formatCode>
                <c:ptCount val="16"/>
                <c:pt idx="0">
                  <c:v>892</c:v>
                </c:pt>
                <c:pt idx="1">
                  <c:v>881</c:v>
                </c:pt>
                <c:pt idx="2">
                  <c:v>784</c:v>
                </c:pt>
                <c:pt idx="3">
                  <c:v>1167.9047619047619</c:v>
                </c:pt>
                <c:pt idx="4">
                  <c:v>1107.8214285714287</c:v>
                </c:pt>
                <c:pt idx="5">
                  <c:v>267</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C-15C0-43D4-AC0F-1D998B7C40B8}"/>
            </c:ext>
          </c:extLst>
        </c:ser>
        <c:ser>
          <c:idx val="13"/>
          <c:order val="13"/>
          <c:tx>
            <c:strRef>
              <c:f>'Vestas turbines hist #'!$B$110</c:f>
              <c:strCache>
                <c:ptCount val="1"/>
                <c:pt idx="0">
                  <c:v>V155</c:v>
                </c:pt>
              </c:strCache>
            </c:strRef>
          </c:tx>
          <c:spPr>
            <a:solidFill>
              <a:schemeClr val="accent2">
                <a:lumMod val="80000"/>
                <a:lumOff val="2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#'!$O$110:$AD$110</c:f>
              <c:numCache>
                <c:formatCode>0</c:formatCode>
                <c:ptCount val="16"/>
                <c:pt idx="0">
                  <c:v>36</c:v>
                </c:pt>
                <c:pt idx="1">
                  <c:v>15</c:v>
                </c:pt>
                <c:pt idx="2">
                  <c:v>0</c:v>
                </c:pt>
                <c:pt idx="3">
                  <c:v>141</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CD56-4DA3-ABA0-E99D646DE883}"/>
            </c:ext>
          </c:extLst>
        </c:ser>
        <c:ser>
          <c:idx val="14"/>
          <c:order val="14"/>
          <c:tx>
            <c:strRef>
              <c:f>'Vestas turbines hist #'!$B$111</c:f>
              <c:strCache>
                <c:ptCount val="1"/>
                <c:pt idx="0">
                  <c:v>V162</c:v>
                </c:pt>
              </c:strCache>
            </c:strRef>
          </c:tx>
          <c:spPr>
            <a:solidFill>
              <a:schemeClr val="accent3">
                <a:lumMod val="80000"/>
                <a:lumOff val="2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#'!$O$111:$AD$111</c:f>
              <c:numCache>
                <c:formatCode>0</c:formatCode>
                <c:ptCount val="16"/>
                <c:pt idx="0">
                  <c:v>297</c:v>
                </c:pt>
                <c:pt idx="1">
                  <c:v>392</c:v>
                </c:pt>
                <c:pt idx="2">
                  <c:v>519</c:v>
                </c:pt>
                <c:pt idx="3">
                  <c:v>217</c:v>
                </c:pt>
                <c:pt idx="4">
                  <c:v>45</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CD56-4DA3-ABA0-E99D646DE883}"/>
            </c:ext>
          </c:extLst>
        </c:ser>
        <c:ser>
          <c:idx val="15"/>
          <c:order val="15"/>
          <c:tx>
            <c:strRef>
              <c:f>'Vestas turbines hist #'!$B$112</c:f>
              <c:strCache>
                <c:ptCount val="1"/>
                <c:pt idx="0">
                  <c:v>V164</c:v>
                </c:pt>
              </c:strCache>
            </c:strRef>
          </c:tx>
          <c:spPr>
            <a:solidFill>
              <a:schemeClr val="accent4">
                <a:lumMod val="80000"/>
                <a:lumOff val="2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#'!$O$112:$AD$112</c:f>
              <c:numCache>
                <c:formatCode>0</c:formatCode>
                <c:ptCount val="16"/>
                <c:pt idx="0">
                  <c:v>0</c:v>
                </c:pt>
                <c:pt idx="1">
                  <c:v>6</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CD56-4DA3-ABA0-E99D646DE883}"/>
            </c:ext>
          </c:extLst>
        </c:ser>
        <c:ser>
          <c:idx val="16"/>
          <c:order val="16"/>
          <c:tx>
            <c:strRef>
              <c:f>'Vestas turbines hist #'!$B$113</c:f>
              <c:strCache>
                <c:ptCount val="1"/>
                <c:pt idx="0">
                  <c:v>V174</c:v>
                </c:pt>
              </c:strCache>
            </c:strRef>
          </c:tx>
          <c:spPr>
            <a:solidFill>
              <a:schemeClr val="accent5">
                <a:lumMod val="80000"/>
                <a:lumOff val="2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#'!$O$113:$AD$113</c:f>
              <c:numCache>
                <c:formatCode>0</c:formatCode>
                <c:ptCount val="16"/>
                <c:pt idx="0">
                  <c:v>25</c:v>
                </c:pt>
                <c:pt idx="1">
                  <c:v>62</c:v>
                </c:pt>
                <c:pt idx="2">
                  <c:v>77</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CD56-4DA3-ABA0-E99D646DE883}"/>
            </c:ext>
          </c:extLst>
        </c:ser>
        <c:ser>
          <c:idx val="17"/>
          <c:order val="17"/>
          <c:tx>
            <c:strRef>
              <c:f>'Vestas turbines hist #'!$B$114</c:f>
              <c:strCache>
                <c:ptCount val="1"/>
                <c:pt idx="0">
                  <c:v>V236</c:v>
                </c:pt>
              </c:strCache>
            </c:strRef>
          </c:tx>
          <c:spPr>
            <a:solidFill>
              <a:schemeClr val="accent6">
                <a:lumMod val="80000"/>
                <a:lumOff val="2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#'!$O$114:$AD$114</c:f>
              <c:numCache>
                <c:formatCode>0</c:formatCode>
                <c:ptCount val="16"/>
                <c:pt idx="0">
                  <c:v>192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1797-445C-85F4-BBAF9C7DA7BA}"/>
            </c:ext>
          </c:extLst>
        </c:ser>
        <c:dLbls>
          <c:showLegendKey val="0"/>
          <c:showVal val="0"/>
          <c:showCatName val="0"/>
          <c:showSerName val="0"/>
          <c:showPercent val="0"/>
          <c:showBubbleSize val="0"/>
        </c:dLbls>
        <c:gapWidth val="150"/>
        <c:overlap val="100"/>
        <c:axId val="187175880"/>
        <c:axId val="187176272"/>
      </c:barChart>
      <c:catAx>
        <c:axId val="187175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6272"/>
        <c:crosses val="autoZero"/>
        <c:auto val="1"/>
        <c:lblAlgn val="ctr"/>
        <c:lblOffset val="100"/>
        <c:noMultiLvlLbl val="0"/>
      </c:catAx>
      <c:valAx>
        <c:axId val="187176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5880"/>
        <c:crosses val="autoZero"/>
        <c:crossBetween val="between"/>
      </c:valAx>
      <c:spPr>
        <a:noFill/>
        <a:ln>
          <a:noFill/>
        </a:ln>
        <a:effectLst/>
      </c:spPr>
    </c:plotArea>
    <c:legend>
      <c:legendPos val="b"/>
      <c:layout>
        <c:manualLayout>
          <c:xMode val="edge"/>
          <c:yMode val="edge"/>
          <c:x val="2.0774985462146567E-2"/>
          <c:y val="0.86237677228145526"/>
          <c:w val="0.88350382337638478"/>
          <c:h val="3.69339420228413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6.604617536580383E-2"/>
          <c:y val="8.4506721348826613E-2"/>
          <c:w val="0.91199773680984486"/>
          <c:h val="0.7239385148626758"/>
        </c:manualLayout>
      </c:layout>
      <c:barChart>
        <c:barDir val="col"/>
        <c:grouping val="clustered"/>
        <c:varyColors val="0"/>
        <c:ser>
          <c:idx val="0"/>
          <c:order val="0"/>
          <c:tx>
            <c:strRef>
              <c:f>'Vestas turbines hist #'!$B$97</c:f>
              <c:strCache>
                <c:ptCount val="1"/>
                <c:pt idx="0">
                  <c:v>V52</c:v>
                </c:pt>
              </c:strCache>
            </c:strRef>
          </c:tx>
          <c:spPr>
            <a:solidFill>
              <a:schemeClr val="accent1"/>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#'!$O$97:$AD$97</c:f>
              <c:numCache>
                <c:formatCode>0</c:formatCode>
                <c:ptCount val="16"/>
                <c:pt idx="0">
                  <c:v>0</c:v>
                </c:pt>
                <c:pt idx="1">
                  <c:v>0</c:v>
                </c:pt>
                <c:pt idx="2">
                  <c:v>0</c:v>
                </c:pt>
                <c:pt idx="3">
                  <c:v>0</c:v>
                </c:pt>
                <c:pt idx="4">
                  <c:v>0</c:v>
                </c:pt>
                <c:pt idx="5">
                  <c:v>0</c:v>
                </c:pt>
                <c:pt idx="6">
                  <c:v>0</c:v>
                </c:pt>
                <c:pt idx="7">
                  <c:v>0</c:v>
                </c:pt>
                <c:pt idx="8">
                  <c:v>0</c:v>
                </c:pt>
                <c:pt idx="9">
                  <c:v>364.70588235294116</c:v>
                </c:pt>
                <c:pt idx="10">
                  <c:v>0</c:v>
                </c:pt>
                <c:pt idx="11">
                  <c:v>0</c:v>
                </c:pt>
                <c:pt idx="12">
                  <c:v>0</c:v>
                </c:pt>
                <c:pt idx="13">
                  <c:v>115</c:v>
                </c:pt>
                <c:pt idx="14">
                  <c:v>0</c:v>
                </c:pt>
                <c:pt idx="15">
                  <c:v>237</c:v>
                </c:pt>
              </c:numCache>
            </c:numRef>
          </c:val>
          <c:extLst>
            <c:ext xmlns:c16="http://schemas.microsoft.com/office/drawing/2014/chart" uri="{C3380CC4-5D6E-409C-BE32-E72D297353CC}">
              <c16:uniqueId val="{00000000-1B12-43D1-9A71-278292BA95DF}"/>
            </c:ext>
          </c:extLst>
        </c:ser>
        <c:ser>
          <c:idx val="1"/>
          <c:order val="1"/>
          <c:tx>
            <c:strRef>
              <c:f>'Vestas turbines hist #'!$B$98</c:f>
              <c:strCache>
                <c:ptCount val="1"/>
                <c:pt idx="0">
                  <c:v>V80</c:v>
                </c:pt>
              </c:strCache>
            </c:strRef>
          </c:tx>
          <c:spPr>
            <a:solidFill>
              <a:schemeClr val="accent2"/>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#'!$O$98:$AD$98</c:f>
              <c:numCache>
                <c:formatCode>0</c:formatCode>
                <c:ptCount val="16"/>
                <c:pt idx="0">
                  <c:v>0</c:v>
                </c:pt>
                <c:pt idx="1">
                  <c:v>0</c:v>
                </c:pt>
                <c:pt idx="2">
                  <c:v>0</c:v>
                </c:pt>
                <c:pt idx="3">
                  <c:v>0</c:v>
                </c:pt>
                <c:pt idx="4">
                  <c:v>0</c:v>
                </c:pt>
                <c:pt idx="5">
                  <c:v>0</c:v>
                </c:pt>
                <c:pt idx="6">
                  <c:v>0</c:v>
                </c:pt>
                <c:pt idx="7">
                  <c:v>0</c:v>
                </c:pt>
                <c:pt idx="8">
                  <c:v>0</c:v>
                </c:pt>
                <c:pt idx="9">
                  <c:v>34</c:v>
                </c:pt>
                <c:pt idx="10">
                  <c:v>0</c:v>
                </c:pt>
                <c:pt idx="11">
                  <c:v>47</c:v>
                </c:pt>
                <c:pt idx="12">
                  <c:v>73</c:v>
                </c:pt>
                <c:pt idx="13">
                  <c:v>57</c:v>
                </c:pt>
                <c:pt idx="14">
                  <c:v>88</c:v>
                </c:pt>
                <c:pt idx="15">
                  <c:v>0</c:v>
                </c:pt>
              </c:numCache>
            </c:numRef>
          </c:val>
          <c:extLst>
            <c:ext xmlns:c16="http://schemas.microsoft.com/office/drawing/2014/chart" uri="{C3380CC4-5D6E-409C-BE32-E72D297353CC}">
              <c16:uniqueId val="{00000001-1B12-43D1-9A71-278292BA95DF}"/>
            </c:ext>
          </c:extLst>
        </c:ser>
        <c:ser>
          <c:idx val="2"/>
          <c:order val="2"/>
          <c:tx>
            <c:strRef>
              <c:f>'Vestas turbines hist #'!$B$99</c:f>
              <c:strCache>
                <c:ptCount val="1"/>
                <c:pt idx="0">
                  <c:v>V90</c:v>
                </c:pt>
              </c:strCache>
            </c:strRef>
          </c:tx>
          <c:spPr>
            <a:solidFill>
              <a:schemeClr val="accent3"/>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#'!$O$99:$AD$99</c:f>
              <c:numCache>
                <c:formatCode>0</c:formatCode>
                <c:ptCount val="16"/>
                <c:pt idx="0">
                  <c:v>0</c:v>
                </c:pt>
                <c:pt idx="1">
                  <c:v>0</c:v>
                </c:pt>
                <c:pt idx="2">
                  <c:v>2</c:v>
                </c:pt>
                <c:pt idx="3">
                  <c:v>1</c:v>
                </c:pt>
                <c:pt idx="4">
                  <c:v>0</c:v>
                </c:pt>
                <c:pt idx="5">
                  <c:v>0</c:v>
                </c:pt>
                <c:pt idx="6">
                  <c:v>0</c:v>
                </c:pt>
                <c:pt idx="7">
                  <c:v>40</c:v>
                </c:pt>
                <c:pt idx="8">
                  <c:v>78</c:v>
                </c:pt>
                <c:pt idx="9">
                  <c:v>82</c:v>
                </c:pt>
                <c:pt idx="10">
                  <c:v>245.5</c:v>
                </c:pt>
                <c:pt idx="11">
                  <c:v>359</c:v>
                </c:pt>
                <c:pt idx="12">
                  <c:v>908.77777777777783</c:v>
                </c:pt>
                <c:pt idx="13">
                  <c:v>1184</c:v>
                </c:pt>
                <c:pt idx="14">
                  <c:v>416</c:v>
                </c:pt>
                <c:pt idx="15">
                  <c:v>346</c:v>
                </c:pt>
              </c:numCache>
            </c:numRef>
          </c:val>
          <c:extLst>
            <c:ext xmlns:c16="http://schemas.microsoft.com/office/drawing/2014/chart" uri="{C3380CC4-5D6E-409C-BE32-E72D297353CC}">
              <c16:uniqueId val="{00000002-1B12-43D1-9A71-278292BA95DF}"/>
            </c:ext>
          </c:extLst>
        </c:ser>
        <c:ser>
          <c:idx val="3"/>
          <c:order val="3"/>
          <c:tx>
            <c:strRef>
              <c:f>'Vestas turbines hist #'!$B$100</c:f>
              <c:strCache>
                <c:ptCount val="1"/>
                <c:pt idx="0">
                  <c:v>V100</c:v>
                </c:pt>
              </c:strCache>
            </c:strRef>
          </c:tx>
          <c:spPr>
            <a:solidFill>
              <a:schemeClr val="accent4"/>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#'!$O$100:$AD$100</c:f>
              <c:numCache>
                <c:formatCode>0</c:formatCode>
                <c:ptCount val="16"/>
                <c:pt idx="0">
                  <c:v>40</c:v>
                </c:pt>
                <c:pt idx="1">
                  <c:v>2</c:v>
                </c:pt>
                <c:pt idx="2">
                  <c:v>86</c:v>
                </c:pt>
                <c:pt idx="3">
                  <c:v>124</c:v>
                </c:pt>
                <c:pt idx="4">
                  <c:v>0</c:v>
                </c:pt>
                <c:pt idx="5">
                  <c:v>141</c:v>
                </c:pt>
                <c:pt idx="6">
                  <c:v>72</c:v>
                </c:pt>
                <c:pt idx="7">
                  <c:v>119</c:v>
                </c:pt>
                <c:pt idx="8">
                  <c:v>556</c:v>
                </c:pt>
                <c:pt idx="9">
                  <c:v>659</c:v>
                </c:pt>
                <c:pt idx="10">
                  <c:v>681.11111111111109</c:v>
                </c:pt>
                <c:pt idx="11">
                  <c:v>202</c:v>
                </c:pt>
                <c:pt idx="12">
                  <c:v>406</c:v>
                </c:pt>
                <c:pt idx="13">
                  <c:v>252</c:v>
                </c:pt>
                <c:pt idx="14">
                  <c:v>50</c:v>
                </c:pt>
                <c:pt idx="15">
                  <c:v>0</c:v>
                </c:pt>
              </c:numCache>
            </c:numRef>
          </c:val>
          <c:extLst>
            <c:ext xmlns:c16="http://schemas.microsoft.com/office/drawing/2014/chart" uri="{C3380CC4-5D6E-409C-BE32-E72D297353CC}">
              <c16:uniqueId val="{00000003-1B12-43D1-9A71-278292BA95DF}"/>
            </c:ext>
          </c:extLst>
        </c:ser>
        <c:ser>
          <c:idx val="4"/>
          <c:order val="4"/>
          <c:tx>
            <c:strRef>
              <c:f>'Vestas turbines hist #'!$B$101</c:f>
              <c:strCache>
                <c:ptCount val="1"/>
                <c:pt idx="0">
                  <c:v>V105</c:v>
                </c:pt>
              </c:strCache>
            </c:strRef>
          </c:tx>
          <c:spPr>
            <a:solidFill>
              <a:schemeClr val="accent5"/>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#'!$O$101:$AD$101</c:f>
              <c:numCache>
                <c:formatCode>0</c:formatCode>
                <c:ptCount val="16"/>
                <c:pt idx="0">
                  <c:v>0</c:v>
                </c:pt>
                <c:pt idx="1">
                  <c:v>8</c:v>
                </c:pt>
                <c:pt idx="2">
                  <c:v>25</c:v>
                </c:pt>
                <c:pt idx="3">
                  <c:v>138</c:v>
                </c:pt>
                <c:pt idx="4">
                  <c:v>17</c:v>
                </c:pt>
                <c:pt idx="5">
                  <c:v>0</c:v>
                </c:pt>
                <c:pt idx="6">
                  <c:v>31.714975845410628</c:v>
                </c:pt>
                <c:pt idx="7">
                  <c:v>8.9855072463768106</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1B12-43D1-9A71-278292BA95DF}"/>
            </c:ext>
          </c:extLst>
        </c:ser>
        <c:ser>
          <c:idx val="5"/>
          <c:order val="5"/>
          <c:tx>
            <c:strRef>
              <c:f>'Vestas turbines hist #'!$B$102</c:f>
              <c:strCache>
                <c:ptCount val="1"/>
                <c:pt idx="0">
                  <c:v>V110</c:v>
                </c:pt>
              </c:strCache>
            </c:strRef>
          </c:tx>
          <c:spPr>
            <a:solidFill>
              <a:schemeClr val="accent6"/>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#'!$O$102:$AD$102</c:f>
              <c:numCache>
                <c:formatCode>0</c:formatCode>
                <c:ptCount val="16"/>
                <c:pt idx="0">
                  <c:v>259</c:v>
                </c:pt>
                <c:pt idx="1">
                  <c:v>66</c:v>
                </c:pt>
                <c:pt idx="2">
                  <c:v>119.09090909090909</c:v>
                </c:pt>
                <c:pt idx="3">
                  <c:v>278</c:v>
                </c:pt>
                <c:pt idx="4">
                  <c:v>321</c:v>
                </c:pt>
                <c:pt idx="5">
                  <c:v>543.27272727272725</c:v>
                </c:pt>
                <c:pt idx="6">
                  <c:v>1449.8636363636363</c:v>
                </c:pt>
                <c:pt idx="7">
                  <c:v>1354.3636363636363</c:v>
                </c:pt>
                <c:pt idx="8">
                  <c:v>860</c:v>
                </c:pt>
                <c:pt idx="9">
                  <c:v>336</c:v>
                </c:pt>
                <c:pt idx="10">
                  <c:v>295</c:v>
                </c:pt>
                <c:pt idx="11">
                  <c:v>0</c:v>
                </c:pt>
                <c:pt idx="12">
                  <c:v>0</c:v>
                </c:pt>
                <c:pt idx="13">
                  <c:v>0</c:v>
                </c:pt>
                <c:pt idx="14">
                  <c:v>0</c:v>
                </c:pt>
                <c:pt idx="15">
                  <c:v>0</c:v>
                </c:pt>
              </c:numCache>
            </c:numRef>
          </c:val>
          <c:extLst>
            <c:ext xmlns:c16="http://schemas.microsoft.com/office/drawing/2014/chart" uri="{C3380CC4-5D6E-409C-BE32-E72D297353CC}">
              <c16:uniqueId val="{00000005-1B12-43D1-9A71-278292BA95DF}"/>
            </c:ext>
          </c:extLst>
        </c:ser>
        <c:ser>
          <c:idx val="6"/>
          <c:order val="6"/>
          <c:tx>
            <c:strRef>
              <c:f>'Vestas turbines hist #'!$B$103</c:f>
              <c:strCache>
                <c:ptCount val="1"/>
                <c:pt idx="0">
                  <c:v>V112</c:v>
                </c:pt>
              </c:strCache>
            </c:strRef>
          </c:tx>
          <c:spPr>
            <a:solidFill>
              <a:schemeClr val="accent1">
                <a:lumMod val="6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#'!$O$103:$AD$103</c:f>
              <c:numCache>
                <c:formatCode>0</c:formatCode>
                <c:ptCount val="16"/>
                <c:pt idx="0">
                  <c:v>0</c:v>
                </c:pt>
                <c:pt idx="1">
                  <c:v>2</c:v>
                </c:pt>
                <c:pt idx="2">
                  <c:v>10</c:v>
                </c:pt>
                <c:pt idx="3">
                  <c:v>34</c:v>
                </c:pt>
                <c:pt idx="4">
                  <c:v>81</c:v>
                </c:pt>
                <c:pt idx="5">
                  <c:v>41.95125164690382</c:v>
                </c:pt>
                <c:pt idx="6">
                  <c:v>66.186209925340364</c:v>
                </c:pt>
                <c:pt idx="7">
                  <c:v>199.00790513833991</c:v>
                </c:pt>
                <c:pt idx="8">
                  <c:v>377.82586220598421</c:v>
                </c:pt>
                <c:pt idx="9">
                  <c:v>297.39393939393938</c:v>
                </c:pt>
                <c:pt idx="10">
                  <c:v>467.09090909090912</c:v>
                </c:pt>
                <c:pt idx="11">
                  <c:v>112</c:v>
                </c:pt>
                <c:pt idx="12">
                  <c:v>250</c:v>
                </c:pt>
                <c:pt idx="13">
                  <c:v>200</c:v>
                </c:pt>
                <c:pt idx="14">
                  <c:v>0</c:v>
                </c:pt>
                <c:pt idx="15">
                  <c:v>0</c:v>
                </c:pt>
              </c:numCache>
            </c:numRef>
          </c:val>
          <c:extLst>
            <c:ext xmlns:c16="http://schemas.microsoft.com/office/drawing/2014/chart" uri="{C3380CC4-5D6E-409C-BE32-E72D297353CC}">
              <c16:uniqueId val="{00000006-1B12-43D1-9A71-278292BA95DF}"/>
            </c:ext>
          </c:extLst>
        </c:ser>
        <c:ser>
          <c:idx val="7"/>
          <c:order val="7"/>
          <c:tx>
            <c:strRef>
              <c:f>'Vestas turbines hist #'!$B$104</c:f>
              <c:strCache>
                <c:ptCount val="1"/>
                <c:pt idx="0">
                  <c:v>V116</c:v>
                </c:pt>
              </c:strCache>
            </c:strRef>
          </c:tx>
          <c:spPr>
            <a:solidFill>
              <a:schemeClr val="accent2">
                <a:lumMod val="6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#'!$O$104:$AD$104</c:f>
              <c:numCache>
                <c:formatCode>0</c:formatCode>
                <c:ptCount val="16"/>
                <c:pt idx="0">
                  <c:v>0</c:v>
                </c:pt>
                <c:pt idx="1">
                  <c:v>0</c:v>
                </c:pt>
                <c:pt idx="2">
                  <c:v>0</c:v>
                </c:pt>
                <c:pt idx="3">
                  <c:v>0</c:v>
                </c:pt>
                <c:pt idx="4">
                  <c:v>0</c:v>
                </c:pt>
                <c:pt idx="5">
                  <c:v>216</c:v>
                </c:pt>
                <c:pt idx="6">
                  <c:v>33</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7-1B12-43D1-9A71-278292BA95DF}"/>
            </c:ext>
          </c:extLst>
        </c:ser>
        <c:ser>
          <c:idx val="8"/>
          <c:order val="8"/>
          <c:tx>
            <c:strRef>
              <c:f>'Vestas turbines hist #'!$B$105</c:f>
              <c:strCache>
                <c:ptCount val="1"/>
                <c:pt idx="0">
                  <c:v>V117</c:v>
                </c:pt>
              </c:strCache>
            </c:strRef>
          </c:tx>
          <c:spPr>
            <a:solidFill>
              <a:schemeClr val="accent3">
                <a:lumMod val="6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#'!$O$105:$AD$105</c:f>
              <c:numCache>
                <c:formatCode>0</c:formatCode>
                <c:ptCount val="16"/>
                <c:pt idx="0">
                  <c:v>44</c:v>
                </c:pt>
                <c:pt idx="1">
                  <c:v>49</c:v>
                </c:pt>
                <c:pt idx="2">
                  <c:v>120</c:v>
                </c:pt>
                <c:pt idx="3">
                  <c:v>199</c:v>
                </c:pt>
                <c:pt idx="4">
                  <c:v>153</c:v>
                </c:pt>
                <c:pt idx="5">
                  <c:v>219.15217391304347</c:v>
                </c:pt>
                <c:pt idx="6">
                  <c:v>66.932367149758448</c:v>
                </c:pt>
                <c:pt idx="7">
                  <c:v>452.91040843214756</c:v>
                </c:pt>
                <c:pt idx="8">
                  <c:v>395.45454545454544</c:v>
                </c:pt>
                <c:pt idx="9">
                  <c:v>19</c:v>
                </c:pt>
                <c:pt idx="10">
                  <c:v>0</c:v>
                </c:pt>
                <c:pt idx="11">
                  <c:v>0</c:v>
                </c:pt>
                <c:pt idx="12">
                  <c:v>0</c:v>
                </c:pt>
                <c:pt idx="13">
                  <c:v>0</c:v>
                </c:pt>
                <c:pt idx="14">
                  <c:v>0</c:v>
                </c:pt>
                <c:pt idx="15">
                  <c:v>0</c:v>
                </c:pt>
              </c:numCache>
            </c:numRef>
          </c:val>
          <c:extLst>
            <c:ext xmlns:c16="http://schemas.microsoft.com/office/drawing/2014/chart" uri="{C3380CC4-5D6E-409C-BE32-E72D297353CC}">
              <c16:uniqueId val="{00000008-1B12-43D1-9A71-278292BA95DF}"/>
            </c:ext>
          </c:extLst>
        </c:ser>
        <c:ser>
          <c:idx val="9"/>
          <c:order val="9"/>
          <c:tx>
            <c:strRef>
              <c:f>'Vestas turbines hist #'!$B$106</c:f>
              <c:strCache>
                <c:ptCount val="1"/>
                <c:pt idx="0">
                  <c:v>V120</c:v>
                </c:pt>
              </c:strCache>
            </c:strRef>
          </c:tx>
          <c:spPr>
            <a:solidFill>
              <a:schemeClr val="accent4">
                <a:lumMod val="6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#'!$O$106:$AD$106</c:f>
              <c:numCache>
                <c:formatCode>0</c:formatCode>
                <c:ptCount val="16"/>
                <c:pt idx="0">
                  <c:v>72</c:v>
                </c:pt>
                <c:pt idx="1">
                  <c:v>23</c:v>
                </c:pt>
                <c:pt idx="2">
                  <c:v>255</c:v>
                </c:pt>
                <c:pt idx="3">
                  <c:v>320</c:v>
                </c:pt>
                <c:pt idx="4">
                  <c:v>1269.8181818181815</c:v>
                </c:pt>
                <c:pt idx="5">
                  <c:v>459.72727272727275</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9-1B12-43D1-9A71-278292BA95DF}"/>
            </c:ext>
          </c:extLst>
        </c:ser>
        <c:ser>
          <c:idx val="10"/>
          <c:order val="10"/>
          <c:tx>
            <c:strRef>
              <c:f>'Vestas turbines hist #'!$B$107</c:f>
              <c:strCache>
                <c:ptCount val="1"/>
                <c:pt idx="0">
                  <c:v>V126</c:v>
                </c:pt>
              </c:strCache>
            </c:strRef>
          </c:tx>
          <c:spPr>
            <a:solidFill>
              <a:schemeClr val="accent5">
                <a:lumMod val="6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#'!$O$107:$AD$107</c:f>
              <c:numCache>
                <c:formatCode>0</c:formatCode>
                <c:ptCount val="16"/>
                <c:pt idx="0">
                  <c:v>7</c:v>
                </c:pt>
                <c:pt idx="1">
                  <c:v>25</c:v>
                </c:pt>
                <c:pt idx="2">
                  <c:v>167</c:v>
                </c:pt>
                <c:pt idx="3">
                  <c:v>213</c:v>
                </c:pt>
                <c:pt idx="4">
                  <c:v>192.44927536231884</c:v>
                </c:pt>
                <c:pt idx="5">
                  <c:v>261.11212814645307</c:v>
                </c:pt>
                <c:pt idx="6">
                  <c:v>357.37241985068073</c:v>
                </c:pt>
                <c:pt idx="7">
                  <c:v>409.70575318401404</c:v>
                </c:pt>
                <c:pt idx="8">
                  <c:v>245.74440052700922</c:v>
                </c:pt>
                <c:pt idx="9">
                  <c:v>98.090909090909093</c:v>
                </c:pt>
                <c:pt idx="10">
                  <c:v>0</c:v>
                </c:pt>
                <c:pt idx="11">
                  <c:v>3</c:v>
                </c:pt>
                <c:pt idx="12">
                  <c:v>0</c:v>
                </c:pt>
                <c:pt idx="13">
                  <c:v>0</c:v>
                </c:pt>
                <c:pt idx="14">
                  <c:v>0</c:v>
                </c:pt>
                <c:pt idx="15">
                  <c:v>0</c:v>
                </c:pt>
              </c:numCache>
            </c:numRef>
          </c:val>
          <c:extLst>
            <c:ext xmlns:c16="http://schemas.microsoft.com/office/drawing/2014/chart" uri="{C3380CC4-5D6E-409C-BE32-E72D297353CC}">
              <c16:uniqueId val="{0000000A-1B12-43D1-9A71-278292BA95DF}"/>
            </c:ext>
          </c:extLst>
        </c:ser>
        <c:ser>
          <c:idx val="11"/>
          <c:order val="11"/>
          <c:tx>
            <c:strRef>
              <c:f>'Vestas turbines hist #'!$B$108</c:f>
              <c:strCache>
                <c:ptCount val="1"/>
                <c:pt idx="0">
                  <c:v>V136</c:v>
                </c:pt>
              </c:strCache>
            </c:strRef>
          </c:tx>
          <c:spPr>
            <a:solidFill>
              <a:schemeClr val="accent6">
                <a:lumMod val="6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#'!$O$108:$AD$108</c:f>
              <c:numCache>
                <c:formatCode>0</c:formatCode>
                <c:ptCount val="16"/>
                <c:pt idx="0">
                  <c:v>166</c:v>
                </c:pt>
                <c:pt idx="1">
                  <c:v>190</c:v>
                </c:pt>
                <c:pt idx="2">
                  <c:v>158</c:v>
                </c:pt>
                <c:pt idx="3">
                  <c:v>496</c:v>
                </c:pt>
                <c:pt idx="4">
                  <c:v>364.79918789221119</c:v>
                </c:pt>
                <c:pt idx="5">
                  <c:v>1227.5274236315427</c:v>
                </c:pt>
                <c:pt idx="6">
                  <c:v>824.00076277650646</c:v>
                </c:pt>
                <c:pt idx="7">
                  <c:v>0</c:v>
                </c:pt>
                <c:pt idx="8">
                  <c:v>33.913043478260867</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B-1B12-43D1-9A71-278292BA95DF}"/>
            </c:ext>
          </c:extLst>
        </c:ser>
        <c:ser>
          <c:idx val="12"/>
          <c:order val="12"/>
          <c:tx>
            <c:strRef>
              <c:f>'Vestas turbines hist #'!$B$109</c:f>
              <c:strCache>
                <c:ptCount val="1"/>
                <c:pt idx="0">
                  <c:v>V150</c:v>
                </c:pt>
              </c:strCache>
            </c:strRef>
          </c:tx>
          <c:spPr>
            <a:solidFill>
              <a:schemeClr val="accent1">
                <a:lumMod val="80000"/>
                <a:lumOff val="2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#'!$O$109:$AD$109</c:f>
              <c:numCache>
                <c:formatCode>0</c:formatCode>
                <c:ptCount val="16"/>
                <c:pt idx="0">
                  <c:v>892</c:v>
                </c:pt>
                <c:pt idx="1">
                  <c:v>881</c:v>
                </c:pt>
                <c:pt idx="2">
                  <c:v>784</c:v>
                </c:pt>
                <c:pt idx="3">
                  <c:v>1167.9047619047619</c:v>
                </c:pt>
                <c:pt idx="4">
                  <c:v>1107.8214285714287</c:v>
                </c:pt>
                <c:pt idx="5">
                  <c:v>267</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C-1B12-43D1-9A71-278292BA95DF}"/>
            </c:ext>
          </c:extLst>
        </c:ser>
        <c:ser>
          <c:idx val="13"/>
          <c:order val="13"/>
          <c:tx>
            <c:strRef>
              <c:f>'Vestas turbines hist #'!$B$110</c:f>
              <c:strCache>
                <c:ptCount val="1"/>
                <c:pt idx="0">
                  <c:v>V155</c:v>
                </c:pt>
              </c:strCache>
            </c:strRef>
          </c:tx>
          <c:spPr>
            <a:solidFill>
              <a:schemeClr val="accent2">
                <a:lumMod val="80000"/>
                <a:lumOff val="2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#'!$O$110:$AD$110</c:f>
              <c:numCache>
                <c:formatCode>0</c:formatCode>
                <c:ptCount val="16"/>
                <c:pt idx="0">
                  <c:v>36</c:v>
                </c:pt>
                <c:pt idx="1">
                  <c:v>15</c:v>
                </c:pt>
                <c:pt idx="2">
                  <c:v>0</c:v>
                </c:pt>
                <c:pt idx="3">
                  <c:v>141</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2791-488F-9C73-7AF51CD29F60}"/>
            </c:ext>
          </c:extLst>
        </c:ser>
        <c:ser>
          <c:idx val="14"/>
          <c:order val="14"/>
          <c:tx>
            <c:strRef>
              <c:f>'Vestas turbines hist #'!$B$111</c:f>
              <c:strCache>
                <c:ptCount val="1"/>
                <c:pt idx="0">
                  <c:v>V162</c:v>
                </c:pt>
              </c:strCache>
            </c:strRef>
          </c:tx>
          <c:spPr>
            <a:solidFill>
              <a:schemeClr val="accent3">
                <a:lumMod val="80000"/>
                <a:lumOff val="2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#'!$O$111:$AD$111</c:f>
              <c:numCache>
                <c:formatCode>0</c:formatCode>
                <c:ptCount val="16"/>
                <c:pt idx="0">
                  <c:v>297</c:v>
                </c:pt>
                <c:pt idx="1">
                  <c:v>392</c:v>
                </c:pt>
                <c:pt idx="2">
                  <c:v>519</c:v>
                </c:pt>
                <c:pt idx="3">
                  <c:v>217</c:v>
                </c:pt>
                <c:pt idx="4">
                  <c:v>45</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2791-488F-9C73-7AF51CD29F60}"/>
            </c:ext>
          </c:extLst>
        </c:ser>
        <c:ser>
          <c:idx val="15"/>
          <c:order val="15"/>
          <c:tx>
            <c:strRef>
              <c:f>'Vestas turbines hist #'!$B$112</c:f>
              <c:strCache>
                <c:ptCount val="1"/>
                <c:pt idx="0">
                  <c:v>V164</c:v>
                </c:pt>
              </c:strCache>
            </c:strRef>
          </c:tx>
          <c:spPr>
            <a:solidFill>
              <a:schemeClr val="accent4">
                <a:lumMod val="80000"/>
                <a:lumOff val="2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#'!$O$112:$AD$112</c:f>
              <c:numCache>
                <c:formatCode>0</c:formatCode>
                <c:ptCount val="16"/>
                <c:pt idx="0">
                  <c:v>0</c:v>
                </c:pt>
                <c:pt idx="1">
                  <c:v>6</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2791-488F-9C73-7AF51CD29F60}"/>
            </c:ext>
          </c:extLst>
        </c:ser>
        <c:ser>
          <c:idx val="16"/>
          <c:order val="16"/>
          <c:tx>
            <c:strRef>
              <c:f>'Vestas turbines hist #'!$B$113</c:f>
              <c:strCache>
                <c:ptCount val="1"/>
                <c:pt idx="0">
                  <c:v>V174</c:v>
                </c:pt>
              </c:strCache>
            </c:strRef>
          </c:tx>
          <c:spPr>
            <a:solidFill>
              <a:schemeClr val="accent5">
                <a:lumMod val="80000"/>
                <a:lumOff val="2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#'!$O$113:$AD$113</c:f>
              <c:numCache>
                <c:formatCode>0</c:formatCode>
                <c:ptCount val="16"/>
                <c:pt idx="0">
                  <c:v>25</c:v>
                </c:pt>
                <c:pt idx="1">
                  <c:v>62</c:v>
                </c:pt>
                <c:pt idx="2">
                  <c:v>77</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2791-488F-9C73-7AF51CD29F60}"/>
            </c:ext>
          </c:extLst>
        </c:ser>
        <c:ser>
          <c:idx val="17"/>
          <c:order val="17"/>
          <c:tx>
            <c:strRef>
              <c:f>'Vestas turbines hist #'!$B$114</c:f>
              <c:strCache>
                <c:ptCount val="1"/>
                <c:pt idx="0">
                  <c:v>V236</c:v>
                </c:pt>
              </c:strCache>
            </c:strRef>
          </c:tx>
          <c:spPr>
            <a:solidFill>
              <a:schemeClr val="accent6">
                <a:lumMod val="80000"/>
                <a:lumOff val="20000"/>
              </a:schemeClr>
            </a:solidFill>
            <a:ln>
              <a:noFill/>
            </a:ln>
            <a:effectLst/>
          </c:spPr>
          <c:invertIfNegative val="0"/>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#'!$O$114:$AD$114</c:f>
              <c:numCache>
                <c:formatCode>0</c:formatCode>
                <c:ptCount val="16"/>
                <c:pt idx="0">
                  <c:v>192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2791-488F-9C73-7AF51CD29F60}"/>
            </c:ext>
          </c:extLst>
        </c:ser>
        <c:dLbls>
          <c:showLegendKey val="0"/>
          <c:showVal val="0"/>
          <c:showCatName val="0"/>
          <c:showSerName val="0"/>
          <c:showPercent val="0"/>
          <c:showBubbleSize val="0"/>
        </c:dLbls>
        <c:gapWidth val="150"/>
        <c:axId val="187169256"/>
        <c:axId val="187169648"/>
      </c:barChart>
      <c:catAx>
        <c:axId val="187169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69648"/>
        <c:crosses val="autoZero"/>
        <c:auto val="1"/>
        <c:lblAlgn val="ctr"/>
        <c:lblOffset val="100"/>
        <c:noMultiLvlLbl val="0"/>
      </c:catAx>
      <c:valAx>
        <c:axId val="187169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69256"/>
        <c:crosses val="autoZero"/>
        <c:crossBetween val="between"/>
      </c:valAx>
      <c:spPr>
        <a:noFill/>
        <a:ln>
          <a:noFill/>
        </a:ln>
        <a:effectLst/>
      </c:spPr>
    </c:plotArea>
    <c:legend>
      <c:legendPos val="b"/>
      <c:layout>
        <c:manualLayout>
          <c:xMode val="edge"/>
          <c:yMode val="edge"/>
          <c:x val="2.0774985462146567E-2"/>
          <c:y val="0.86237677228145526"/>
          <c:w val="0.86551341790003622"/>
          <c:h val="3.68855040660901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6.604617536580383E-2"/>
          <c:y val="8.4506721348826613E-2"/>
          <c:w val="0.91199773680984486"/>
          <c:h val="0.7239385148626758"/>
        </c:manualLayout>
      </c:layout>
      <c:areaChart>
        <c:grouping val="percentStacked"/>
        <c:varyColors val="0"/>
        <c:ser>
          <c:idx val="0"/>
          <c:order val="0"/>
          <c:tx>
            <c:strRef>
              <c:f>'Vestas turbines hist #'!$B$97</c:f>
              <c:strCache>
                <c:ptCount val="1"/>
                <c:pt idx="0">
                  <c:v>V52</c:v>
                </c:pt>
              </c:strCache>
            </c:strRef>
          </c:tx>
          <c:spPr>
            <a:solidFill>
              <a:schemeClr val="accent1"/>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#'!$O$97:$AD$97</c:f>
              <c:numCache>
                <c:formatCode>0</c:formatCode>
                <c:ptCount val="16"/>
                <c:pt idx="0">
                  <c:v>0</c:v>
                </c:pt>
                <c:pt idx="1">
                  <c:v>0</c:v>
                </c:pt>
                <c:pt idx="2">
                  <c:v>0</c:v>
                </c:pt>
                <c:pt idx="3">
                  <c:v>0</c:v>
                </c:pt>
                <c:pt idx="4">
                  <c:v>0</c:v>
                </c:pt>
                <c:pt idx="5">
                  <c:v>0</c:v>
                </c:pt>
                <c:pt idx="6">
                  <c:v>0</c:v>
                </c:pt>
                <c:pt idx="7">
                  <c:v>0</c:v>
                </c:pt>
                <c:pt idx="8">
                  <c:v>0</c:v>
                </c:pt>
                <c:pt idx="9">
                  <c:v>364.70588235294116</c:v>
                </c:pt>
                <c:pt idx="10">
                  <c:v>0</c:v>
                </c:pt>
                <c:pt idx="11">
                  <c:v>0</c:v>
                </c:pt>
                <c:pt idx="12">
                  <c:v>0</c:v>
                </c:pt>
                <c:pt idx="13">
                  <c:v>115</c:v>
                </c:pt>
                <c:pt idx="14">
                  <c:v>0</c:v>
                </c:pt>
                <c:pt idx="15">
                  <c:v>237</c:v>
                </c:pt>
              </c:numCache>
            </c:numRef>
          </c:val>
          <c:extLst>
            <c:ext xmlns:c16="http://schemas.microsoft.com/office/drawing/2014/chart" uri="{C3380CC4-5D6E-409C-BE32-E72D297353CC}">
              <c16:uniqueId val="{00000000-9540-4A1B-B22F-F83CB8761A20}"/>
            </c:ext>
          </c:extLst>
        </c:ser>
        <c:ser>
          <c:idx val="1"/>
          <c:order val="1"/>
          <c:tx>
            <c:strRef>
              <c:f>'Vestas turbines hist #'!$B$98</c:f>
              <c:strCache>
                <c:ptCount val="1"/>
                <c:pt idx="0">
                  <c:v>V80</c:v>
                </c:pt>
              </c:strCache>
            </c:strRef>
          </c:tx>
          <c:spPr>
            <a:solidFill>
              <a:schemeClr val="accent2"/>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#'!$O$98:$AD$98</c:f>
              <c:numCache>
                <c:formatCode>0</c:formatCode>
                <c:ptCount val="16"/>
                <c:pt idx="0">
                  <c:v>0</c:v>
                </c:pt>
                <c:pt idx="1">
                  <c:v>0</c:v>
                </c:pt>
                <c:pt idx="2">
                  <c:v>0</c:v>
                </c:pt>
                <c:pt idx="3">
                  <c:v>0</c:v>
                </c:pt>
                <c:pt idx="4">
                  <c:v>0</c:v>
                </c:pt>
                <c:pt idx="5">
                  <c:v>0</c:v>
                </c:pt>
                <c:pt idx="6">
                  <c:v>0</c:v>
                </c:pt>
                <c:pt idx="7">
                  <c:v>0</c:v>
                </c:pt>
                <c:pt idx="8">
                  <c:v>0</c:v>
                </c:pt>
                <c:pt idx="9">
                  <c:v>34</c:v>
                </c:pt>
                <c:pt idx="10">
                  <c:v>0</c:v>
                </c:pt>
                <c:pt idx="11">
                  <c:v>47</c:v>
                </c:pt>
                <c:pt idx="12">
                  <c:v>73</c:v>
                </c:pt>
                <c:pt idx="13">
                  <c:v>57</c:v>
                </c:pt>
                <c:pt idx="14">
                  <c:v>88</c:v>
                </c:pt>
                <c:pt idx="15">
                  <c:v>0</c:v>
                </c:pt>
              </c:numCache>
            </c:numRef>
          </c:val>
          <c:extLst>
            <c:ext xmlns:c16="http://schemas.microsoft.com/office/drawing/2014/chart" uri="{C3380CC4-5D6E-409C-BE32-E72D297353CC}">
              <c16:uniqueId val="{00000001-9540-4A1B-B22F-F83CB8761A20}"/>
            </c:ext>
          </c:extLst>
        </c:ser>
        <c:ser>
          <c:idx val="2"/>
          <c:order val="2"/>
          <c:tx>
            <c:strRef>
              <c:f>'Vestas turbines hist #'!$B$99</c:f>
              <c:strCache>
                <c:ptCount val="1"/>
                <c:pt idx="0">
                  <c:v>V90</c:v>
                </c:pt>
              </c:strCache>
            </c:strRef>
          </c:tx>
          <c:spPr>
            <a:solidFill>
              <a:schemeClr val="accent3"/>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#'!$O$99:$AD$99</c:f>
              <c:numCache>
                <c:formatCode>0</c:formatCode>
                <c:ptCount val="16"/>
                <c:pt idx="0">
                  <c:v>0</c:v>
                </c:pt>
                <c:pt idx="1">
                  <c:v>0</c:v>
                </c:pt>
                <c:pt idx="2">
                  <c:v>2</c:v>
                </c:pt>
                <c:pt idx="3">
                  <c:v>1</c:v>
                </c:pt>
                <c:pt idx="4">
                  <c:v>0</c:v>
                </c:pt>
                <c:pt idx="5">
                  <c:v>0</c:v>
                </c:pt>
                <c:pt idx="6">
                  <c:v>0</c:v>
                </c:pt>
                <c:pt idx="7">
                  <c:v>40</c:v>
                </c:pt>
                <c:pt idx="8">
                  <c:v>78</c:v>
                </c:pt>
                <c:pt idx="9">
                  <c:v>82</c:v>
                </c:pt>
                <c:pt idx="10">
                  <c:v>245.5</c:v>
                </c:pt>
                <c:pt idx="11">
                  <c:v>359</c:v>
                </c:pt>
                <c:pt idx="12">
                  <c:v>908.77777777777783</c:v>
                </c:pt>
                <c:pt idx="13">
                  <c:v>1184</c:v>
                </c:pt>
                <c:pt idx="14">
                  <c:v>416</c:v>
                </c:pt>
                <c:pt idx="15">
                  <c:v>346</c:v>
                </c:pt>
              </c:numCache>
            </c:numRef>
          </c:val>
          <c:extLst>
            <c:ext xmlns:c16="http://schemas.microsoft.com/office/drawing/2014/chart" uri="{C3380CC4-5D6E-409C-BE32-E72D297353CC}">
              <c16:uniqueId val="{00000002-9540-4A1B-B22F-F83CB8761A20}"/>
            </c:ext>
          </c:extLst>
        </c:ser>
        <c:ser>
          <c:idx val="3"/>
          <c:order val="3"/>
          <c:tx>
            <c:strRef>
              <c:f>'Vestas turbines hist #'!$B$100</c:f>
              <c:strCache>
                <c:ptCount val="1"/>
                <c:pt idx="0">
                  <c:v>V100</c:v>
                </c:pt>
              </c:strCache>
            </c:strRef>
          </c:tx>
          <c:spPr>
            <a:solidFill>
              <a:schemeClr val="accent4"/>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#'!$O$100:$AD$100</c:f>
              <c:numCache>
                <c:formatCode>0</c:formatCode>
                <c:ptCount val="16"/>
                <c:pt idx="0">
                  <c:v>40</c:v>
                </c:pt>
                <c:pt idx="1">
                  <c:v>2</c:v>
                </c:pt>
                <c:pt idx="2">
                  <c:v>86</c:v>
                </c:pt>
                <c:pt idx="3">
                  <c:v>124</c:v>
                </c:pt>
                <c:pt idx="4">
                  <c:v>0</c:v>
                </c:pt>
                <c:pt idx="5">
                  <c:v>141</c:v>
                </c:pt>
                <c:pt idx="6">
                  <c:v>72</c:v>
                </c:pt>
                <c:pt idx="7">
                  <c:v>119</c:v>
                </c:pt>
                <c:pt idx="8">
                  <c:v>556</c:v>
                </c:pt>
                <c:pt idx="9">
                  <c:v>659</c:v>
                </c:pt>
                <c:pt idx="10">
                  <c:v>681.11111111111109</c:v>
                </c:pt>
                <c:pt idx="11">
                  <c:v>202</c:v>
                </c:pt>
                <c:pt idx="12">
                  <c:v>406</c:v>
                </c:pt>
                <c:pt idx="13">
                  <c:v>252</c:v>
                </c:pt>
                <c:pt idx="14">
                  <c:v>50</c:v>
                </c:pt>
                <c:pt idx="15">
                  <c:v>0</c:v>
                </c:pt>
              </c:numCache>
            </c:numRef>
          </c:val>
          <c:extLst>
            <c:ext xmlns:c16="http://schemas.microsoft.com/office/drawing/2014/chart" uri="{C3380CC4-5D6E-409C-BE32-E72D297353CC}">
              <c16:uniqueId val="{00000003-9540-4A1B-B22F-F83CB8761A20}"/>
            </c:ext>
          </c:extLst>
        </c:ser>
        <c:ser>
          <c:idx val="4"/>
          <c:order val="4"/>
          <c:tx>
            <c:strRef>
              <c:f>'Vestas turbines hist #'!$B$101</c:f>
              <c:strCache>
                <c:ptCount val="1"/>
                <c:pt idx="0">
                  <c:v>V105</c:v>
                </c:pt>
              </c:strCache>
            </c:strRef>
          </c:tx>
          <c:spPr>
            <a:solidFill>
              <a:schemeClr val="accent5"/>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#'!$O$101:$AD$101</c:f>
              <c:numCache>
                <c:formatCode>0</c:formatCode>
                <c:ptCount val="16"/>
                <c:pt idx="0">
                  <c:v>0</c:v>
                </c:pt>
                <c:pt idx="1">
                  <c:v>8</c:v>
                </c:pt>
                <c:pt idx="2">
                  <c:v>25</c:v>
                </c:pt>
                <c:pt idx="3">
                  <c:v>138</c:v>
                </c:pt>
                <c:pt idx="4">
                  <c:v>17</c:v>
                </c:pt>
                <c:pt idx="5">
                  <c:v>0</c:v>
                </c:pt>
                <c:pt idx="6">
                  <c:v>31.714975845410628</c:v>
                </c:pt>
                <c:pt idx="7">
                  <c:v>8.9855072463768106</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9540-4A1B-B22F-F83CB8761A20}"/>
            </c:ext>
          </c:extLst>
        </c:ser>
        <c:ser>
          <c:idx val="5"/>
          <c:order val="5"/>
          <c:tx>
            <c:strRef>
              <c:f>'Vestas turbines hist #'!$B$102</c:f>
              <c:strCache>
                <c:ptCount val="1"/>
                <c:pt idx="0">
                  <c:v>V110</c:v>
                </c:pt>
              </c:strCache>
            </c:strRef>
          </c:tx>
          <c:spPr>
            <a:solidFill>
              <a:schemeClr val="accent6"/>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#'!$O$102:$AD$102</c:f>
              <c:numCache>
                <c:formatCode>0</c:formatCode>
                <c:ptCount val="16"/>
                <c:pt idx="0">
                  <c:v>259</c:v>
                </c:pt>
                <c:pt idx="1">
                  <c:v>66</c:v>
                </c:pt>
                <c:pt idx="2">
                  <c:v>119.09090909090909</c:v>
                </c:pt>
                <c:pt idx="3">
                  <c:v>278</c:v>
                </c:pt>
                <c:pt idx="4">
                  <c:v>321</c:v>
                </c:pt>
                <c:pt idx="5">
                  <c:v>543.27272727272725</c:v>
                </c:pt>
                <c:pt idx="6">
                  <c:v>1449.8636363636363</c:v>
                </c:pt>
                <c:pt idx="7">
                  <c:v>1354.3636363636363</c:v>
                </c:pt>
                <c:pt idx="8">
                  <c:v>860</c:v>
                </c:pt>
                <c:pt idx="9">
                  <c:v>336</c:v>
                </c:pt>
                <c:pt idx="10">
                  <c:v>295</c:v>
                </c:pt>
                <c:pt idx="11">
                  <c:v>0</c:v>
                </c:pt>
                <c:pt idx="12">
                  <c:v>0</c:v>
                </c:pt>
                <c:pt idx="13">
                  <c:v>0</c:v>
                </c:pt>
                <c:pt idx="14">
                  <c:v>0</c:v>
                </c:pt>
                <c:pt idx="15">
                  <c:v>0</c:v>
                </c:pt>
              </c:numCache>
            </c:numRef>
          </c:val>
          <c:extLst>
            <c:ext xmlns:c16="http://schemas.microsoft.com/office/drawing/2014/chart" uri="{C3380CC4-5D6E-409C-BE32-E72D297353CC}">
              <c16:uniqueId val="{00000005-9540-4A1B-B22F-F83CB8761A20}"/>
            </c:ext>
          </c:extLst>
        </c:ser>
        <c:ser>
          <c:idx val="6"/>
          <c:order val="6"/>
          <c:tx>
            <c:strRef>
              <c:f>'Vestas turbines hist #'!$B$103</c:f>
              <c:strCache>
                <c:ptCount val="1"/>
                <c:pt idx="0">
                  <c:v>V112</c:v>
                </c:pt>
              </c:strCache>
            </c:strRef>
          </c:tx>
          <c:spPr>
            <a:solidFill>
              <a:schemeClr val="accent1">
                <a:lumMod val="60000"/>
              </a:schemeClr>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#'!$O$103:$AD$103</c:f>
              <c:numCache>
                <c:formatCode>0</c:formatCode>
                <c:ptCount val="16"/>
                <c:pt idx="0">
                  <c:v>0</c:v>
                </c:pt>
                <c:pt idx="1">
                  <c:v>2</c:v>
                </c:pt>
                <c:pt idx="2">
                  <c:v>10</c:v>
                </c:pt>
                <c:pt idx="3">
                  <c:v>34</c:v>
                </c:pt>
                <c:pt idx="4">
                  <c:v>81</c:v>
                </c:pt>
                <c:pt idx="5">
                  <c:v>41.95125164690382</c:v>
                </c:pt>
                <c:pt idx="6">
                  <c:v>66.186209925340364</c:v>
                </c:pt>
                <c:pt idx="7">
                  <c:v>199.00790513833991</c:v>
                </c:pt>
                <c:pt idx="8">
                  <c:v>377.82586220598421</c:v>
                </c:pt>
                <c:pt idx="9">
                  <c:v>297.39393939393938</c:v>
                </c:pt>
                <c:pt idx="10">
                  <c:v>467.09090909090912</c:v>
                </c:pt>
                <c:pt idx="11">
                  <c:v>112</c:v>
                </c:pt>
                <c:pt idx="12">
                  <c:v>250</c:v>
                </c:pt>
                <c:pt idx="13">
                  <c:v>200</c:v>
                </c:pt>
                <c:pt idx="14">
                  <c:v>0</c:v>
                </c:pt>
                <c:pt idx="15">
                  <c:v>0</c:v>
                </c:pt>
              </c:numCache>
            </c:numRef>
          </c:val>
          <c:extLst>
            <c:ext xmlns:c16="http://schemas.microsoft.com/office/drawing/2014/chart" uri="{C3380CC4-5D6E-409C-BE32-E72D297353CC}">
              <c16:uniqueId val="{00000006-9540-4A1B-B22F-F83CB8761A20}"/>
            </c:ext>
          </c:extLst>
        </c:ser>
        <c:ser>
          <c:idx val="7"/>
          <c:order val="7"/>
          <c:tx>
            <c:strRef>
              <c:f>'Vestas turbines hist #'!$B$104</c:f>
              <c:strCache>
                <c:ptCount val="1"/>
                <c:pt idx="0">
                  <c:v>V116</c:v>
                </c:pt>
              </c:strCache>
            </c:strRef>
          </c:tx>
          <c:spPr>
            <a:solidFill>
              <a:schemeClr val="accent2">
                <a:lumMod val="60000"/>
              </a:schemeClr>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#'!$O$104:$AD$104</c:f>
              <c:numCache>
                <c:formatCode>0</c:formatCode>
                <c:ptCount val="16"/>
                <c:pt idx="0">
                  <c:v>0</c:v>
                </c:pt>
                <c:pt idx="1">
                  <c:v>0</c:v>
                </c:pt>
                <c:pt idx="2">
                  <c:v>0</c:v>
                </c:pt>
                <c:pt idx="3">
                  <c:v>0</c:v>
                </c:pt>
                <c:pt idx="4">
                  <c:v>0</c:v>
                </c:pt>
                <c:pt idx="5">
                  <c:v>216</c:v>
                </c:pt>
                <c:pt idx="6">
                  <c:v>33</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7-9540-4A1B-B22F-F83CB8761A20}"/>
            </c:ext>
          </c:extLst>
        </c:ser>
        <c:ser>
          <c:idx val="8"/>
          <c:order val="8"/>
          <c:tx>
            <c:strRef>
              <c:f>'Vestas turbines hist #'!$B$105</c:f>
              <c:strCache>
                <c:ptCount val="1"/>
                <c:pt idx="0">
                  <c:v>V117</c:v>
                </c:pt>
              </c:strCache>
            </c:strRef>
          </c:tx>
          <c:spPr>
            <a:solidFill>
              <a:schemeClr val="accent3">
                <a:lumMod val="60000"/>
              </a:schemeClr>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#'!$O$105:$AD$105</c:f>
              <c:numCache>
                <c:formatCode>0</c:formatCode>
                <c:ptCount val="16"/>
                <c:pt idx="0">
                  <c:v>44</c:v>
                </c:pt>
                <c:pt idx="1">
                  <c:v>49</c:v>
                </c:pt>
                <c:pt idx="2">
                  <c:v>120</c:v>
                </c:pt>
                <c:pt idx="3">
                  <c:v>199</c:v>
                </c:pt>
                <c:pt idx="4">
                  <c:v>153</c:v>
                </c:pt>
                <c:pt idx="5">
                  <c:v>219.15217391304347</c:v>
                </c:pt>
                <c:pt idx="6">
                  <c:v>66.932367149758448</c:v>
                </c:pt>
                <c:pt idx="7">
                  <c:v>452.91040843214756</c:v>
                </c:pt>
                <c:pt idx="8">
                  <c:v>395.45454545454544</c:v>
                </c:pt>
                <c:pt idx="9">
                  <c:v>19</c:v>
                </c:pt>
                <c:pt idx="10">
                  <c:v>0</c:v>
                </c:pt>
                <c:pt idx="11">
                  <c:v>0</c:v>
                </c:pt>
                <c:pt idx="12">
                  <c:v>0</c:v>
                </c:pt>
                <c:pt idx="13">
                  <c:v>0</c:v>
                </c:pt>
                <c:pt idx="14">
                  <c:v>0</c:v>
                </c:pt>
                <c:pt idx="15">
                  <c:v>0</c:v>
                </c:pt>
              </c:numCache>
            </c:numRef>
          </c:val>
          <c:extLst>
            <c:ext xmlns:c16="http://schemas.microsoft.com/office/drawing/2014/chart" uri="{C3380CC4-5D6E-409C-BE32-E72D297353CC}">
              <c16:uniqueId val="{00000008-9540-4A1B-B22F-F83CB8761A20}"/>
            </c:ext>
          </c:extLst>
        </c:ser>
        <c:ser>
          <c:idx val="9"/>
          <c:order val="9"/>
          <c:tx>
            <c:strRef>
              <c:f>'Vestas turbines hist #'!$B$106</c:f>
              <c:strCache>
                <c:ptCount val="1"/>
                <c:pt idx="0">
                  <c:v>V120</c:v>
                </c:pt>
              </c:strCache>
            </c:strRef>
          </c:tx>
          <c:spPr>
            <a:solidFill>
              <a:schemeClr val="accent4">
                <a:lumMod val="60000"/>
              </a:schemeClr>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#'!$O$106:$AD$106</c:f>
              <c:numCache>
                <c:formatCode>0</c:formatCode>
                <c:ptCount val="16"/>
                <c:pt idx="0">
                  <c:v>72</c:v>
                </c:pt>
                <c:pt idx="1">
                  <c:v>23</c:v>
                </c:pt>
                <c:pt idx="2">
                  <c:v>255</c:v>
                </c:pt>
                <c:pt idx="3">
                  <c:v>320</c:v>
                </c:pt>
                <c:pt idx="4">
                  <c:v>1269.8181818181815</c:v>
                </c:pt>
                <c:pt idx="5">
                  <c:v>459.72727272727275</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9-9540-4A1B-B22F-F83CB8761A20}"/>
            </c:ext>
          </c:extLst>
        </c:ser>
        <c:ser>
          <c:idx val="10"/>
          <c:order val="10"/>
          <c:tx>
            <c:strRef>
              <c:f>'Vestas turbines hist #'!$B$107</c:f>
              <c:strCache>
                <c:ptCount val="1"/>
                <c:pt idx="0">
                  <c:v>V126</c:v>
                </c:pt>
              </c:strCache>
            </c:strRef>
          </c:tx>
          <c:spPr>
            <a:solidFill>
              <a:schemeClr val="accent5">
                <a:lumMod val="60000"/>
              </a:schemeClr>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#'!$O$107:$AD$107</c:f>
              <c:numCache>
                <c:formatCode>0</c:formatCode>
                <c:ptCount val="16"/>
                <c:pt idx="0">
                  <c:v>7</c:v>
                </c:pt>
                <c:pt idx="1">
                  <c:v>25</c:v>
                </c:pt>
                <c:pt idx="2">
                  <c:v>167</c:v>
                </c:pt>
                <c:pt idx="3">
                  <c:v>213</c:v>
                </c:pt>
                <c:pt idx="4">
                  <c:v>192.44927536231884</c:v>
                </c:pt>
                <c:pt idx="5">
                  <c:v>261.11212814645307</c:v>
                </c:pt>
                <c:pt idx="6">
                  <c:v>357.37241985068073</c:v>
                </c:pt>
                <c:pt idx="7">
                  <c:v>409.70575318401404</c:v>
                </c:pt>
                <c:pt idx="8">
                  <c:v>245.74440052700922</c:v>
                </c:pt>
                <c:pt idx="9">
                  <c:v>98.090909090909093</c:v>
                </c:pt>
                <c:pt idx="10">
                  <c:v>0</c:v>
                </c:pt>
                <c:pt idx="11">
                  <c:v>3</c:v>
                </c:pt>
                <c:pt idx="12">
                  <c:v>0</c:v>
                </c:pt>
                <c:pt idx="13">
                  <c:v>0</c:v>
                </c:pt>
                <c:pt idx="14">
                  <c:v>0</c:v>
                </c:pt>
                <c:pt idx="15">
                  <c:v>0</c:v>
                </c:pt>
              </c:numCache>
            </c:numRef>
          </c:val>
          <c:extLst>
            <c:ext xmlns:c16="http://schemas.microsoft.com/office/drawing/2014/chart" uri="{C3380CC4-5D6E-409C-BE32-E72D297353CC}">
              <c16:uniqueId val="{0000000A-9540-4A1B-B22F-F83CB8761A20}"/>
            </c:ext>
          </c:extLst>
        </c:ser>
        <c:ser>
          <c:idx val="11"/>
          <c:order val="11"/>
          <c:tx>
            <c:strRef>
              <c:f>'Vestas turbines hist #'!$B$108</c:f>
              <c:strCache>
                <c:ptCount val="1"/>
                <c:pt idx="0">
                  <c:v>V136</c:v>
                </c:pt>
              </c:strCache>
            </c:strRef>
          </c:tx>
          <c:spPr>
            <a:solidFill>
              <a:schemeClr val="accent6">
                <a:lumMod val="60000"/>
              </a:schemeClr>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#'!$O$108:$AD$108</c:f>
              <c:numCache>
                <c:formatCode>0</c:formatCode>
                <c:ptCount val="16"/>
                <c:pt idx="0">
                  <c:v>166</c:v>
                </c:pt>
                <c:pt idx="1">
                  <c:v>190</c:v>
                </c:pt>
                <c:pt idx="2">
                  <c:v>158</c:v>
                </c:pt>
                <c:pt idx="3">
                  <c:v>496</c:v>
                </c:pt>
                <c:pt idx="4">
                  <c:v>364.79918789221119</c:v>
                </c:pt>
                <c:pt idx="5">
                  <c:v>1227.5274236315427</c:v>
                </c:pt>
                <c:pt idx="6">
                  <c:v>824.00076277650646</c:v>
                </c:pt>
                <c:pt idx="7">
                  <c:v>0</c:v>
                </c:pt>
                <c:pt idx="8">
                  <c:v>33.913043478260867</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B-9540-4A1B-B22F-F83CB8761A20}"/>
            </c:ext>
          </c:extLst>
        </c:ser>
        <c:ser>
          <c:idx val="12"/>
          <c:order val="12"/>
          <c:tx>
            <c:strRef>
              <c:f>'Vestas turbines hist #'!$B$109</c:f>
              <c:strCache>
                <c:ptCount val="1"/>
                <c:pt idx="0">
                  <c:v>V150</c:v>
                </c:pt>
              </c:strCache>
            </c:strRef>
          </c:tx>
          <c:spPr>
            <a:solidFill>
              <a:schemeClr val="accent1">
                <a:lumMod val="80000"/>
                <a:lumOff val="20000"/>
              </a:schemeClr>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#'!$O$109:$AD$109</c:f>
              <c:numCache>
                <c:formatCode>0</c:formatCode>
                <c:ptCount val="16"/>
                <c:pt idx="0">
                  <c:v>892</c:v>
                </c:pt>
                <c:pt idx="1">
                  <c:v>881</c:v>
                </c:pt>
                <c:pt idx="2">
                  <c:v>784</c:v>
                </c:pt>
                <c:pt idx="3">
                  <c:v>1167.9047619047619</c:v>
                </c:pt>
                <c:pt idx="4">
                  <c:v>1107.8214285714287</c:v>
                </c:pt>
                <c:pt idx="5">
                  <c:v>267</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C-9540-4A1B-B22F-F83CB8761A20}"/>
            </c:ext>
          </c:extLst>
        </c:ser>
        <c:ser>
          <c:idx val="13"/>
          <c:order val="13"/>
          <c:tx>
            <c:strRef>
              <c:f>'Vestas turbines hist #'!$B$110</c:f>
              <c:strCache>
                <c:ptCount val="1"/>
                <c:pt idx="0">
                  <c:v>V155</c:v>
                </c:pt>
              </c:strCache>
            </c:strRef>
          </c:tx>
          <c:spPr>
            <a:solidFill>
              <a:schemeClr val="accent2">
                <a:lumMod val="80000"/>
                <a:lumOff val="20000"/>
              </a:schemeClr>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#'!$O$110:$AD$110</c:f>
              <c:numCache>
                <c:formatCode>0</c:formatCode>
                <c:ptCount val="16"/>
                <c:pt idx="0">
                  <c:v>36</c:v>
                </c:pt>
                <c:pt idx="1">
                  <c:v>15</c:v>
                </c:pt>
                <c:pt idx="2">
                  <c:v>0</c:v>
                </c:pt>
                <c:pt idx="3">
                  <c:v>141</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D-9540-4A1B-B22F-F83CB8761A20}"/>
            </c:ext>
          </c:extLst>
        </c:ser>
        <c:ser>
          <c:idx val="14"/>
          <c:order val="14"/>
          <c:tx>
            <c:strRef>
              <c:f>'Vestas turbines hist #'!$B$111</c:f>
              <c:strCache>
                <c:ptCount val="1"/>
                <c:pt idx="0">
                  <c:v>V162</c:v>
                </c:pt>
              </c:strCache>
            </c:strRef>
          </c:tx>
          <c:spPr>
            <a:solidFill>
              <a:schemeClr val="accent3">
                <a:lumMod val="80000"/>
                <a:lumOff val="20000"/>
              </a:schemeClr>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#'!$O$111:$AD$111</c:f>
              <c:numCache>
                <c:formatCode>0</c:formatCode>
                <c:ptCount val="16"/>
                <c:pt idx="0">
                  <c:v>297</c:v>
                </c:pt>
                <c:pt idx="1">
                  <c:v>392</c:v>
                </c:pt>
                <c:pt idx="2">
                  <c:v>519</c:v>
                </c:pt>
                <c:pt idx="3">
                  <c:v>217</c:v>
                </c:pt>
                <c:pt idx="4">
                  <c:v>45</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E-9540-4A1B-B22F-F83CB8761A20}"/>
            </c:ext>
          </c:extLst>
        </c:ser>
        <c:ser>
          <c:idx val="15"/>
          <c:order val="15"/>
          <c:tx>
            <c:strRef>
              <c:f>'Vestas turbines hist #'!$B$112</c:f>
              <c:strCache>
                <c:ptCount val="1"/>
                <c:pt idx="0">
                  <c:v>V164</c:v>
                </c:pt>
              </c:strCache>
            </c:strRef>
          </c:tx>
          <c:spPr>
            <a:solidFill>
              <a:schemeClr val="accent4">
                <a:lumMod val="80000"/>
                <a:lumOff val="20000"/>
              </a:schemeClr>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#'!$O$112:$AD$112</c:f>
              <c:numCache>
                <c:formatCode>0</c:formatCode>
                <c:ptCount val="16"/>
                <c:pt idx="0">
                  <c:v>0</c:v>
                </c:pt>
                <c:pt idx="1">
                  <c:v>6</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F-9540-4A1B-B22F-F83CB8761A20}"/>
            </c:ext>
          </c:extLst>
        </c:ser>
        <c:ser>
          <c:idx val="16"/>
          <c:order val="16"/>
          <c:tx>
            <c:strRef>
              <c:f>'Vestas turbines hist #'!$B$113</c:f>
              <c:strCache>
                <c:ptCount val="1"/>
                <c:pt idx="0">
                  <c:v>V174</c:v>
                </c:pt>
              </c:strCache>
            </c:strRef>
          </c:tx>
          <c:spPr>
            <a:solidFill>
              <a:schemeClr val="accent5">
                <a:lumMod val="80000"/>
                <a:lumOff val="20000"/>
              </a:schemeClr>
            </a:solidFill>
            <a:ln>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#'!$O$113:$AD$113</c:f>
              <c:numCache>
                <c:formatCode>0</c:formatCode>
                <c:ptCount val="16"/>
                <c:pt idx="0">
                  <c:v>25</c:v>
                </c:pt>
                <c:pt idx="1">
                  <c:v>62</c:v>
                </c:pt>
                <c:pt idx="2">
                  <c:v>77</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10-9540-4A1B-B22F-F83CB8761A20}"/>
            </c:ext>
          </c:extLst>
        </c:ser>
        <c:ser>
          <c:idx val="17"/>
          <c:order val="17"/>
          <c:tx>
            <c:strRef>
              <c:f>'Vestas turbines hist #'!$B$114</c:f>
              <c:strCache>
                <c:ptCount val="1"/>
                <c:pt idx="0">
                  <c:v>V236</c:v>
                </c:pt>
              </c:strCache>
            </c:strRef>
          </c:tx>
          <c:spPr>
            <a:solidFill>
              <a:schemeClr val="accent6">
                <a:lumMod val="80000"/>
                <a:lumOff val="20000"/>
              </a:schemeClr>
            </a:solidFill>
            <a:ln w="25400">
              <a:noFill/>
            </a:ln>
            <a:effectLst/>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#'!$O$114:$AD$114</c:f>
              <c:numCache>
                <c:formatCode>0</c:formatCode>
                <c:ptCount val="16"/>
                <c:pt idx="0">
                  <c:v>192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BD2F-4FBC-BD08-BA7BDD8C0431}"/>
            </c:ext>
          </c:extLst>
        </c:ser>
        <c:dLbls>
          <c:showLegendKey val="0"/>
          <c:showVal val="0"/>
          <c:showCatName val="0"/>
          <c:showSerName val="0"/>
          <c:showPercent val="0"/>
          <c:showBubbleSize val="0"/>
        </c:dLbls>
        <c:axId val="187175880"/>
        <c:axId val="187176272"/>
      </c:areaChart>
      <c:catAx>
        <c:axId val="187175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6272"/>
        <c:crosses val="autoZero"/>
        <c:auto val="1"/>
        <c:lblAlgn val="ctr"/>
        <c:lblOffset val="100"/>
        <c:noMultiLvlLbl val="0"/>
      </c:catAx>
      <c:valAx>
        <c:axId val="187176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5880"/>
        <c:crosses val="autoZero"/>
        <c:crossBetween val="midCat"/>
      </c:valAx>
      <c:spPr>
        <a:noFill/>
        <a:ln>
          <a:noFill/>
        </a:ln>
        <a:effectLst/>
      </c:spPr>
    </c:plotArea>
    <c:legend>
      <c:legendPos val="b"/>
      <c:layout>
        <c:manualLayout>
          <c:xMode val="edge"/>
          <c:yMode val="edge"/>
          <c:x val="2.0774985462146567E-2"/>
          <c:y val="0.86237677228145526"/>
          <c:w val="0.89999990157979193"/>
          <c:h val="3.59616693447383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view3D>
      <c:rotX val="20"/>
      <c:rotY val="130"/>
      <c:rAngAx val="0"/>
      <c:perspective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04617536580383E-2"/>
          <c:y val="8.4506721348826613E-2"/>
          <c:w val="0.91199773680984486"/>
          <c:h val="0.7239385148626758"/>
        </c:manualLayout>
      </c:layout>
      <c:area3DChart>
        <c:grouping val="standard"/>
        <c:varyColors val="0"/>
        <c:ser>
          <c:idx val="0"/>
          <c:order val="0"/>
          <c:tx>
            <c:strRef>
              <c:f>'Vestas turbines hist #'!$B$97</c:f>
              <c:strCache>
                <c:ptCount val="1"/>
                <c:pt idx="0">
                  <c:v>V52</c:v>
                </c:pt>
              </c:strCache>
            </c:strRef>
          </c:tx>
          <c:spPr>
            <a:solidFill>
              <a:schemeClr val="accent1"/>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#'!$O$97:$AD$97</c:f>
              <c:numCache>
                <c:formatCode>0</c:formatCode>
                <c:ptCount val="16"/>
                <c:pt idx="0">
                  <c:v>0</c:v>
                </c:pt>
                <c:pt idx="1">
                  <c:v>0</c:v>
                </c:pt>
                <c:pt idx="2">
                  <c:v>0</c:v>
                </c:pt>
                <c:pt idx="3">
                  <c:v>0</c:v>
                </c:pt>
                <c:pt idx="4">
                  <c:v>0</c:v>
                </c:pt>
                <c:pt idx="5">
                  <c:v>0</c:v>
                </c:pt>
                <c:pt idx="6">
                  <c:v>0</c:v>
                </c:pt>
                <c:pt idx="7">
                  <c:v>0</c:v>
                </c:pt>
                <c:pt idx="8">
                  <c:v>0</c:v>
                </c:pt>
                <c:pt idx="9">
                  <c:v>364.70588235294116</c:v>
                </c:pt>
                <c:pt idx="10">
                  <c:v>0</c:v>
                </c:pt>
                <c:pt idx="11">
                  <c:v>0</c:v>
                </c:pt>
                <c:pt idx="12">
                  <c:v>0</c:v>
                </c:pt>
                <c:pt idx="13">
                  <c:v>115</c:v>
                </c:pt>
                <c:pt idx="14">
                  <c:v>0</c:v>
                </c:pt>
                <c:pt idx="15">
                  <c:v>237</c:v>
                </c:pt>
              </c:numCache>
            </c:numRef>
          </c:val>
          <c:extLst>
            <c:ext xmlns:c16="http://schemas.microsoft.com/office/drawing/2014/chart" uri="{C3380CC4-5D6E-409C-BE32-E72D297353CC}">
              <c16:uniqueId val="{00000000-C2AF-4E7A-99F0-04842A3089C2}"/>
            </c:ext>
          </c:extLst>
        </c:ser>
        <c:ser>
          <c:idx val="1"/>
          <c:order val="1"/>
          <c:tx>
            <c:strRef>
              <c:f>'Vestas turbines hist #'!$B$98</c:f>
              <c:strCache>
                <c:ptCount val="1"/>
                <c:pt idx="0">
                  <c:v>V80</c:v>
                </c:pt>
              </c:strCache>
            </c:strRef>
          </c:tx>
          <c:spPr>
            <a:solidFill>
              <a:schemeClr val="accent2"/>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#'!$O$98:$AD$98</c:f>
              <c:numCache>
                <c:formatCode>0</c:formatCode>
                <c:ptCount val="16"/>
                <c:pt idx="0">
                  <c:v>0</c:v>
                </c:pt>
                <c:pt idx="1">
                  <c:v>0</c:v>
                </c:pt>
                <c:pt idx="2">
                  <c:v>0</c:v>
                </c:pt>
                <c:pt idx="3">
                  <c:v>0</c:v>
                </c:pt>
                <c:pt idx="4">
                  <c:v>0</c:v>
                </c:pt>
                <c:pt idx="5">
                  <c:v>0</c:v>
                </c:pt>
                <c:pt idx="6">
                  <c:v>0</c:v>
                </c:pt>
                <c:pt idx="7">
                  <c:v>0</c:v>
                </c:pt>
                <c:pt idx="8">
                  <c:v>0</c:v>
                </c:pt>
                <c:pt idx="9">
                  <c:v>34</c:v>
                </c:pt>
                <c:pt idx="10">
                  <c:v>0</c:v>
                </c:pt>
                <c:pt idx="11">
                  <c:v>47</c:v>
                </c:pt>
                <c:pt idx="12">
                  <c:v>73</c:v>
                </c:pt>
                <c:pt idx="13">
                  <c:v>57</c:v>
                </c:pt>
                <c:pt idx="14">
                  <c:v>88</c:v>
                </c:pt>
                <c:pt idx="15">
                  <c:v>0</c:v>
                </c:pt>
              </c:numCache>
            </c:numRef>
          </c:val>
          <c:extLst>
            <c:ext xmlns:c16="http://schemas.microsoft.com/office/drawing/2014/chart" uri="{C3380CC4-5D6E-409C-BE32-E72D297353CC}">
              <c16:uniqueId val="{00000001-C2AF-4E7A-99F0-04842A3089C2}"/>
            </c:ext>
          </c:extLst>
        </c:ser>
        <c:ser>
          <c:idx val="2"/>
          <c:order val="2"/>
          <c:tx>
            <c:strRef>
              <c:f>'Vestas turbines hist #'!$B$99</c:f>
              <c:strCache>
                <c:ptCount val="1"/>
                <c:pt idx="0">
                  <c:v>V90</c:v>
                </c:pt>
              </c:strCache>
            </c:strRef>
          </c:tx>
          <c:spPr>
            <a:solidFill>
              <a:schemeClr val="accent3"/>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#'!$O$99:$AD$99</c:f>
              <c:numCache>
                <c:formatCode>0</c:formatCode>
                <c:ptCount val="16"/>
                <c:pt idx="0">
                  <c:v>0</c:v>
                </c:pt>
                <c:pt idx="1">
                  <c:v>0</c:v>
                </c:pt>
                <c:pt idx="2">
                  <c:v>2</c:v>
                </c:pt>
                <c:pt idx="3">
                  <c:v>1</c:v>
                </c:pt>
                <c:pt idx="4">
                  <c:v>0</c:v>
                </c:pt>
                <c:pt idx="5">
                  <c:v>0</c:v>
                </c:pt>
                <c:pt idx="6">
                  <c:v>0</c:v>
                </c:pt>
                <c:pt idx="7">
                  <c:v>40</c:v>
                </c:pt>
                <c:pt idx="8">
                  <c:v>78</c:v>
                </c:pt>
                <c:pt idx="9">
                  <c:v>82</c:v>
                </c:pt>
                <c:pt idx="10">
                  <c:v>245.5</c:v>
                </c:pt>
                <c:pt idx="11">
                  <c:v>359</c:v>
                </c:pt>
                <c:pt idx="12">
                  <c:v>908.77777777777783</c:v>
                </c:pt>
                <c:pt idx="13">
                  <c:v>1184</c:v>
                </c:pt>
                <c:pt idx="14">
                  <c:v>416</c:v>
                </c:pt>
                <c:pt idx="15">
                  <c:v>346</c:v>
                </c:pt>
              </c:numCache>
            </c:numRef>
          </c:val>
          <c:extLst>
            <c:ext xmlns:c16="http://schemas.microsoft.com/office/drawing/2014/chart" uri="{C3380CC4-5D6E-409C-BE32-E72D297353CC}">
              <c16:uniqueId val="{00000002-C2AF-4E7A-99F0-04842A3089C2}"/>
            </c:ext>
          </c:extLst>
        </c:ser>
        <c:ser>
          <c:idx val="3"/>
          <c:order val="3"/>
          <c:tx>
            <c:strRef>
              <c:f>'Vestas turbines hist #'!$B$100</c:f>
              <c:strCache>
                <c:ptCount val="1"/>
                <c:pt idx="0">
                  <c:v>V100</c:v>
                </c:pt>
              </c:strCache>
            </c:strRef>
          </c:tx>
          <c:spPr>
            <a:solidFill>
              <a:schemeClr val="accent4"/>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#'!$O$100:$AD$100</c:f>
              <c:numCache>
                <c:formatCode>0</c:formatCode>
                <c:ptCount val="16"/>
                <c:pt idx="0">
                  <c:v>40</c:v>
                </c:pt>
                <c:pt idx="1">
                  <c:v>2</c:v>
                </c:pt>
                <c:pt idx="2">
                  <c:v>86</c:v>
                </c:pt>
                <c:pt idx="3">
                  <c:v>124</c:v>
                </c:pt>
                <c:pt idx="4">
                  <c:v>0</c:v>
                </c:pt>
                <c:pt idx="5">
                  <c:v>141</c:v>
                </c:pt>
                <c:pt idx="6">
                  <c:v>72</c:v>
                </c:pt>
                <c:pt idx="7">
                  <c:v>119</c:v>
                </c:pt>
                <c:pt idx="8">
                  <c:v>556</c:v>
                </c:pt>
                <c:pt idx="9">
                  <c:v>659</c:v>
                </c:pt>
                <c:pt idx="10">
                  <c:v>681.11111111111109</c:v>
                </c:pt>
                <c:pt idx="11">
                  <c:v>202</c:v>
                </c:pt>
                <c:pt idx="12">
                  <c:v>406</c:v>
                </c:pt>
                <c:pt idx="13">
                  <c:v>252</c:v>
                </c:pt>
                <c:pt idx="14">
                  <c:v>50</c:v>
                </c:pt>
                <c:pt idx="15">
                  <c:v>0</c:v>
                </c:pt>
              </c:numCache>
            </c:numRef>
          </c:val>
          <c:extLst>
            <c:ext xmlns:c16="http://schemas.microsoft.com/office/drawing/2014/chart" uri="{C3380CC4-5D6E-409C-BE32-E72D297353CC}">
              <c16:uniqueId val="{00000003-C2AF-4E7A-99F0-04842A3089C2}"/>
            </c:ext>
          </c:extLst>
        </c:ser>
        <c:ser>
          <c:idx val="4"/>
          <c:order val="4"/>
          <c:tx>
            <c:strRef>
              <c:f>'Vestas turbines hist #'!$B$101</c:f>
              <c:strCache>
                <c:ptCount val="1"/>
                <c:pt idx="0">
                  <c:v>V105</c:v>
                </c:pt>
              </c:strCache>
            </c:strRef>
          </c:tx>
          <c:spPr>
            <a:solidFill>
              <a:schemeClr val="accent5"/>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#'!$O$101:$AD$101</c:f>
              <c:numCache>
                <c:formatCode>0</c:formatCode>
                <c:ptCount val="16"/>
                <c:pt idx="0">
                  <c:v>0</c:v>
                </c:pt>
                <c:pt idx="1">
                  <c:v>8</c:v>
                </c:pt>
                <c:pt idx="2">
                  <c:v>25</c:v>
                </c:pt>
                <c:pt idx="3">
                  <c:v>138</c:v>
                </c:pt>
                <c:pt idx="4">
                  <c:v>17</c:v>
                </c:pt>
                <c:pt idx="5">
                  <c:v>0</c:v>
                </c:pt>
                <c:pt idx="6">
                  <c:v>31.714975845410628</c:v>
                </c:pt>
                <c:pt idx="7">
                  <c:v>8.9855072463768106</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C2AF-4E7A-99F0-04842A3089C2}"/>
            </c:ext>
          </c:extLst>
        </c:ser>
        <c:ser>
          <c:idx val="5"/>
          <c:order val="5"/>
          <c:tx>
            <c:strRef>
              <c:f>'Vestas turbines hist #'!$B$102</c:f>
              <c:strCache>
                <c:ptCount val="1"/>
                <c:pt idx="0">
                  <c:v>V110</c:v>
                </c:pt>
              </c:strCache>
            </c:strRef>
          </c:tx>
          <c:spPr>
            <a:solidFill>
              <a:schemeClr val="accent6"/>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#'!$O$102:$AD$102</c:f>
              <c:numCache>
                <c:formatCode>0</c:formatCode>
                <c:ptCount val="16"/>
                <c:pt idx="0">
                  <c:v>259</c:v>
                </c:pt>
                <c:pt idx="1">
                  <c:v>66</c:v>
                </c:pt>
                <c:pt idx="2">
                  <c:v>119.09090909090909</c:v>
                </c:pt>
                <c:pt idx="3">
                  <c:v>278</c:v>
                </c:pt>
                <c:pt idx="4">
                  <c:v>321</c:v>
                </c:pt>
                <c:pt idx="5">
                  <c:v>543.27272727272725</c:v>
                </c:pt>
                <c:pt idx="6">
                  <c:v>1449.8636363636363</c:v>
                </c:pt>
                <c:pt idx="7">
                  <c:v>1354.3636363636363</c:v>
                </c:pt>
                <c:pt idx="8">
                  <c:v>860</c:v>
                </c:pt>
                <c:pt idx="9">
                  <c:v>336</c:v>
                </c:pt>
                <c:pt idx="10">
                  <c:v>295</c:v>
                </c:pt>
                <c:pt idx="11">
                  <c:v>0</c:v>
                </c:pt>
                <c:pt idx="12">
                  <c:v>0</c:v>
                </c:pt>
                <c:pt idx="13">
                  <c:v>0</c:v>
                </c:pt>
                <c:pt idx="14">
                  <c:v>0</c:v>
                </c:pt>
                <c:pt idx="15">
                  <c:v>0</c:v>
                </c:pt>
              </c:numCache>
            </c:numRef>
          </c:val>
          <c:extLst>
            <c:ext xmlns:c16="http://schemas.microsoft.com/office/drawing/2014/chart" uri="{C3380CC4-5D6E-409C-BE32-E72D297353CC}">
              <c16:uniqueId val="{00000005-C2AF-4E7A-99F0-04842A3089C2}"/>
            </c:ext>
          </c:extLst>
        </c:ser>
        <c:ser>
          <c:idx val="6"/>
          <c:order val="6"/>
          <c:tx>
            <c:strRef>
              <c:f>'Vestas turbines hist #'!$B$103</c:f>
              <c:strCache>
                <c:ptCount val="1"/>
                <c:pt idx="0">
                  <c:v>V112</c:v>
                </c:pt>
              </c:strCache>
            </c:strRef>
          </c:tx>
          <c:spPr>
            <a:solidFill>
              <a:schemeClr val="accent1">
                <a:lumMod val="60000"/>
              </a:schemeClr>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#'!$O$103:$AD$103</c:f>
              <c:numCache>
                <c:formatCode>0</c:formatCode>
                <c:ptCount val="16"/>
                <c:pt idx="0">
                  <c:v>0</c:v>
                </c:pt>
                <c:pt idx="1">
                  <c:v>2</c:v>
                </c:pt>
                <c:pt idx="2">
                  <c:v>10</c:v>
                </c:pt>
                <c:pt idx="3">
                  <c:v>34</c:v>
                </c:pt>
                <c:pt idx="4">
                  <c:v>81</c:v>
                </c:pt>
                <c:pt idx="5">
                  <c:v>41.95125164690382</c:v>
                </c:pt>
                <c:pt idx="6">
                  <c:v>66.186209925340364</c:v>
                </c:pt>
                <c:pt idx="7">
                  <c:v>199.00790513833991</c:v>
                </c:pt>
                <c:pt idx="8">
                  <c:v>377.82586220598421</c:v>
                </c:pt>
                <c:pt idx="9">
                  <c:v>297.39393939393938</c:v>
                </c:pt>
                <c:pt idx="10">
                  <c:v>467.09090909090912</c:v>
                </c:pt>
                <c:pt idx="11">
                  <c:v>112</c:v>
                </c:pt>
                <c:pt idx="12">
                  <c:v>250</c:v>
                </c:pt>
                <c:pt idx="13">
                  <c:v>200</c:v>
                </c:pt>
                <c:pt idx="14">
                  <c:v>0</c:v>
                </c:pt>
                <c:pt idx="15">
                  <c:v>0</c:v>
                </c:pt>
              </c:numCache>
            </c:numRef>
          </c:val>
          <c:extLst>
            <c:ext xmlns:c16="http://schemas.microsoft.com/office/drawing/2014/chart" uri="{C3380CC4-5D6E-409C-BE32-E72D297353CC}">
              <c16:uniqueId val="{00000006-C2AF-4E7A-99F0-04842A3089C2}"/>
            </c:ext>
          </c:extLst>
        </c:ser>
        <c:ser>
          <c:idx val="7"/>
          <c:order val="7"/>
          <c:tx>
            <c:strRef>
              <c:f>'Vestas turbines hist #'!$B$104</c:f>
              <c:strCache>
                <c:ptCount val="1"/>
                <c:pt idx="0">
                  <c:v>V116</c:v>
                </c:pt>
              </c:strCache>
            </c:strRef>
          </c:tx>
          <c:spPr>
            <a:solidFill>
              <a:schemeClr val="accent2">
                <a:lumMod val="60000"/>
              </a:schemeClr>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#'!$O$104:$AD$104</c:f>
              <c:numCache>
                <c:formatCode>0</c:formatCode>
                <c:ptCount val="16"/>
                <c:pt idx="0">
                  <c:v>0</c:v>
                </c:pt>
                <c:pt idx="1">
                  <c:v>0</c:v>
                </c:pt>
                <c:pt idx="2">
                  <c:v>0</c:v>
                </c:pt>
                <c:pt idx="3">
                  <c:v>0</c:v>
                </c:pt>
                <c:pt idx="4">
                  <c:v>0</c:v>
                </c:pt>
                <c:pt idx="5">
                  <c:v>216</c:v>
                </c:pt>
                <c:pt idx="6">
                  <c:v>33</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7-C2AF-4E7A-99F0-04842A3089C2}"/>
            </c:ext>
          </c:extLst>
        </c:ser>
        <c:ser>
          <c:idx val="8"/>
          <c:order val="8"/>
          <c:tx>
            <c:strRef>
              <c:f>'Vestas turbines hist #'!$B$105</c:f>
              <c:strCache>
                <c:ptCount val="1"/>
                <c:pt idx="0">
                  <c:v>V117</c:v>
                </c:pt>
              </c:strCache>
            </c:strRef>
          </c:tx>
          <c:spPr>
            <a:solidFill>
              <a:schemeClr val="accent3">
                <a:lumMod val="60000"/>
              </a:schemeClr>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#'!$O$105:$AD$105</c:f>
              <c:numCache>
                <c:formatCode>0</c:formatCode>
                <c:ptCount val="16"/>
                <c:pt idx="0">
                  <c:v>44</c:v>
                </c:pt>
                <c:pt idx="1">
                  <c:v>49</c:v>
                </c:pt>
                <c:pt idx="2">
                  <c:v>120</c:v>
                </c:pt>
                <c:pt idx="3">
                  <c:v>199</c:v>
                </c:pt>
                <c:pt idx="4">
                  <c:v>153</c:v>
                </c:pt>
                <c:pt idx="5">
                  <c:v>219.15217391304347</c:v>
                </c:pt>
                <c:pt idx="6">
                  <c:v>66.932367149758448</c:v>
                </c:pt>
                <c:pt idx="7">
                  <c:v>452.91040843214756</c:v>
                </c:pt>
                <c:pt idx="8">
                  <c:v>395.45454545454544</c:v>
                </c:pt>
                <c:pt idx="9">
                  <c:v>19</c:v>
                </c:pt>
                <c:pt idx="10">
                  <c:v>0</c:v>
                </c:pt>
                <c:pt idx="11">
                  <c:v>0</c:v>
                </c:pt>
                <c:pt idx="12">
                  <c:v>0</c:v>
                </c:pt>
                <c:pt idx="13">
                  <c:v>0</c:v>
                </c:pt>
                <c:pt idx="14">
                  <c:v>0</c:v>
                </c:pt>
                <c:pt idx="15">
                  <c:v>0</c:v>
                </c:pt>
              </c:numCache>
            </c:numRef>
          </c:val>
          <c:extLst>
            <c:ext xmlns:c16="http://schemas.microsoft.com/office/drawing/2014/chart" uri="{C3380CC4-5D6E-409C-BE32-E72D297353CC}">
              <c16:uniqueId val="{00000008-C2AF-4E7A-99F0-04842A3089C2}"/>
            </c:ext>
          </c:extLst>
        </c:ser>
        <c:ser>
          <c:idx val="9"/>
          <c:order val="9"/>
          <c:tx>
            <c:strRef>
              <c:f>'Vestas turbines hist #'!$B$106</c:f>
              <c:strCache>
                <c:ptCount val="1"/>
                <c:pt idx="0">
                  <c:v>V120</c:v>
                </c:pt>
              </c:strCache>
            </c:strRef>
          </c:tx>
          <c:spPr>
            <a:solidFill>
              <a:schemeClr val="accent4">
                <a:lumMod val="60000"/>
              </a:schemeClr>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#'!$O$106:$AD$106</c:f>
              <c:numCache>
                <c:formatCode>0</c:formatCode>
                <c:ptCount val="16"/>
                <c:pt idx="0">
                  <c:v>72</c:v>
                </c:pt>
                <c:pt idx="1">
                  <c:v>23</c:v>
                </c:pt>
                <c:pt idx="2">
                  <c:v>255</c:v>
                </c:pt>
                <c:pt idx="3">
                  <c:v>320</c:v>
                </c:pt>
                <c:pt idx="4">
                  <c:v>1269.8181818181815</c:v>
                </c:pt>
                <c:pt idx="5">
                  <c:v>459.72727272727275</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9-C2AF-4E7A-99F0-04842A3089C2}"/>
            </c:ext>
          </c:extLst>
        </c:ser>
        <c:ser>
          <c:idx val="10"/>
          <c:order val="10"/>
          <c:tx>
            <c:strRef>
              <c:f>'Vestas turbines hist #'!$B$107</c:f>
              <c:strCache>
                <c:ptCount val="1"/>
                <c:pt idx="0">
                  <c:v>V126</c:v>
                </c:pt>
              </c:strCache>
            </c:strRef>
          </c:tx>
          <c:spPr>
            <a:solidFill>
              <a:schemeClr val="accent5">
                <a:lumMod val="60000"/>
              </a:schemeClr>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#'!$O$107:$AD$107</c:f>
              <c:numCache>
                <c:formatCode>0</c:formatCode>
                <c:ptCount val="16"/>
                <c:pt idx="0">
                  <c:v>7</c:v>
                </c:pt>
                <c:pt idx="1">
                  <c:v>25</c:v>
                </c:pt>
                <c:pt idx="2">
                  <c:v>167</c:v>
                </c:pt>
                <c:pt idx="3">
                  <c:v>213</c:v>
                </c:pt>
                <c:pt idx="4">
                  <c:v>192.44927536231884</c:v>
                </c:pt>
                <c:pt idx="5">
                  <c:v>261.11212814645307</c:v>
                </c:pt>
                <c:pt idx="6">
                  <c:v>357.37241985068073</c:v>
                </c:pt>
                <c:pt idx="7">
                  <c:v>409.70575318401404</c:v>
                </c:pt>
                <c:pt idx="8">
                  <c:v>245.74440052700922</c:v>
                </c:pt>
                <c:pt idx="9">
                  <c:v>98.090909090909093</c:v>
                </c:pt>
                <c:pt idx="10">
                  <c:v>0</c:v>
                </c:pt>
                <c:pt idx="11">
                  <c:v>3</c:v>
                </c:pt>
                <c:pt idx="12">
                  <c:v>0</c:v>
                </c:pt>
                <c:pt idx="13">
                  <c:v>0</c:v>
                </c:pt>
                <c:pt idx="14">
                  <c:v>0</c:v>
                </c:pt>
                <c:pt idx="15">
                  <c:v>0</c:v>
                </c:pt>
              </c:numCache>
            </c:numRef>
          </c:val>
          <c:extLst>
            <c:ext xmlns:c16="http://schemas.microsoft.com/office/drawing/2014/chart" uri="{C3380CC4-5D6E-409C-BE32-E72D297353CC}">
              <c16:uniqueId val="{0000000A-C2AF-4E7A-99F0-04842A3089C2}"/>
            </c:ext>
          </c:extLst>
        </c:ser>
        <c:ser>
          <c:idx val="11"/>
          <c:order val="11"/>
          <c:tx>
            <c:strRef>
              <c:f>'Vestas turbines hist #'!$B$108</c:f>
              <c:strCache>
                <c:ptCount val="1"/>
                <c:pt idx="0">
                  <c:v>V136</c:v>
                </c:pt>
              </c:strCache>
            </c:strRef>
          </c:tx>
          <c:spPr>
            <a:solidFill>
              <a:schemeClr val="accent6">
                <a:lumMod val="60000"/>
              </a:schemeClr>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#'!$O$108:$AD$108</c:f>
              <c:numCache>
                <c:formatCode>0</c:formatCode>
                <c:ptCount val="16"/>
                <c:pt idx="0">
                  <c:v>166</c:v>
                </c:pt>
                <c:pt idx="1">
                  <c:v>190</c:v>
                </c:pt>
                <c:pt idx="2">
                  <c:v>158</c:v>
                </c:pt>
                <c:pt idx="3">
                  <c:v>496</c:v>
                </c:pt>
                <c:pt idx="4">
                  <c:v>364.79918789221119</c:v>
                </c:pt>
                <c:pt idx="5">
                  <c:v>1227.5274236315427</c:v>
                </c:pt>
                <c:pt idx="6">
                  <c:v>824.00076277650646</c:v>
                </c:pt>
                <c:pt idx="7">
                  <c:v>0</c:v>
                </c:pt>
                <c:pt idx="8">
                  <c:v>33.913043478260867</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B-C2AF-4E7A-99F0-04842A3089C2}"/>
            </c:ext>
          </c:extLst>
        </c:ser>
        <c:ser>
          <c:idx val="12"/>
          <c:order val="12"/>
          <c:tx>
            <c:strRef>
              <c:f>'Vestas turbines hist #'!$B$109</c:f>
              <c:strCache>
                <c:ptCount val="1"/>
                <c:pt idx="0">
                  <c:v>V150</c:v>
                </c:pt>
              </c:strCache>
            </c:strRef>
          </c:tx>
          <c:spPr>
            <a:solidFill>
              <a:schemeClr val="accent1">
                <a:lumMod val="80000"/>
                <a:lumOff val="20000"/>
              </a:schemeClr>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#'!$O$109:$AD$109</c:f>
              <c:numCache>
                <c:formatCode>0</c:formatCode>
                <c:ptCount val="16"/>
                <c:pt idx="0">
                  <c:v>892</c:v>
                </c:pt>
                <c:pt idx="1">
                  <c:v>881</c:v>
                </c:pt>
                <c:pt idx="2">
                  <c:v>784</c:v>
                </c:pt>
                <c:pt idx="3">
                  <c:v>1167.9047619047619</c:v>
                </c:pt>
                <c:pt idx="4">
                  <c:v>1107.8214285714287</c:v>
                </c:pt>
                <c:pt idx="5">
                  <c:v>267</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C-C2AF-4E7A-99F0-04842A3089C2}"/>
            </c:ext>
          </c:extLst>
        </c:ser>
        <c:ser>
          <c:idx val="13"/>
          <c:order val="13"/>
          <c:tx>
            <c:strRef>
              <c:f>'Vestas turbines hist #'!$B$110</c:f>
              <c:strCache>
                <c:ptCount val="1"/>
                <c:pt idx="0">
                  <c:v>V155</c:v>
                </c:pt>
              </c:strCache>
            </c:strRef>
          </c:tx>
          <c:spPr>
            <a:solidFill>
              <a:schemeClr val="accent2">
                <a:lumMod val="80000"/>
                <a:lumOff val="20000"/>
              </a:schemeClr>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#'!$O$110:$AD$110</c:f>
              <c:numCache>
                <c:formatCode>0</c:formatCode>
                <c:ptCount val="16"/>
                <c:pt idx="0">
                  <c:v>36</c:v>
                </c:pt>
                <c:pt idx="1">
                  <c:v>15</c:v>
                </c:pt>
                <c:pt idx="2">
                  <c:v>0</c:v>
                </c:pt>
                <c:pt idx="3">
                  <c:v>141</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D-C2AF-4E7A-99F0-04842A3089C2}"/>
            </c:ext>
          </c:extLst>
        </c:ser>
        <c:ser>
          <c:idx val="14"/>
          <c:order val="14"/>
          <c:tx>
            <c:strRef>
              <c:f>'Vestas turbines hist #'!$B$111</c:f>
              <c:strCache>
                <c:ptCount val="1"/>
                <c:pt idx="0">
                  <c:v>V162</c:v>
                </c:pt>
              </c:strCache>
            </c:strRef>
          </c:tx>
          <c:spPr>
            <a:solidFill>
              <a:schemeClr val="accent3">
                <a:lumMod val="80000"/>
                <a:lumOff val="20000"/>
              </a:schemeClr>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#'!$O$111:$AD$111</c:f>
              <c:numCache>
                <c:formatCode>0</c:formatCode>
                <c:ptCount val="16"/>
                <c:pt idx="0">
                  <c:v>297</c:v>
                </c:pt>
                <c:pt idx="1">
                  <c:v>392</c:v>
                </c:pt>
                <c:pt idx="2">
                  <c:v>519</c:v>
                </c:pt>
                <c:pt idx="3">
                  <c:v>217</c:v>
                </c:pt>
                <c:pt idx="4">
                  <c:v>45</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E-C2AF-4E7A-99F0-04842A3089C2}"/>
            </c:ext>
          </c:extLst>
        </c:ser>
        <c:ser>
          <c:idx val="15"/>
          <c:order val="15"/>
          <c:tx>
            <c:strRef>
              <c:f>'Vestas turbines hist #'!$B$112</c:f>
              <c:strCache>
                <c:ptCount val="1"/>
                <c:pt idx="0">
                  <c:v>V164</c:v>
                </c:pt>
              </c:strCache>
            </c:strRef>
          </c:tx>
          <c:spPr>
            <a:solidFill>
              <a:schemeClr val="accent4">
                <a:lumMod val="80000"/>
                <a:lumOff val="20000"/>
              </a:schemeClr>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#'!$O$112:$AD$112</c:f>
              <c:numCache>
                <c:formatCode>0</c:formatCode>
                <c:ptCount val="16"/>
                <c:pt idx="0">
                  <c:v>0</c:v>
                </c:pt>
                <c:pt idx="1">
                  <c:v>6</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F-C2AF-4E7A-99F0-04842A3089C2}"/>
            </c:ext>
          </c:extLst>
        </c:ser>
        <c:ser>
          <c:idx val="16"/>
          <c:order val="16"/>
          <c:tx>
            <c:strRef>
              <c:f>'Vestas turbines hist #'!$B$113</c:f>
              <c:strCache>
                <c:ptCount val="1"/>
                <c:pt idx="0">
                  <c:v>V174</c:v>
                </c:pt>
              </c:strCache>
            </c:strRef>
          </c:tx>
          <c:spPr>
            <a:solidFill>
              <a:schemeClr val="accent5">
                <a:lumMod val="80000"/>
                <a:lumOff val="20000"/>
              </a:schemeClr>
            </a:solidFill>
            <a:ln>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#'!$O$113:$AD$113</c:f>
              <c:numCache>
                <c:formatCode>0</c:formatCode>
                <c:ptCount val="16"/>
                <c:pt idx="0">
                  <c:v>25</c:v>
                </c:pt>
                <c:pt idx="1">
                  <c:v>62</c:v>
                </c:pt>
                <c:pt idx="2">
                  <c:v>77</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10-C2AF-4E7A-99F0-04842A3089C2}"/>
            </c:ext>
          </c:extLst>
        </c:ser>
        <c:ser>
          <c:idx val="17"/>
          <c:order val="17"/>
          <c:tx>
            <c:strRef>
              <c:f>'Vestas turbines hist #'!$B$114</c:f>
              <c:strCache>
                <c:ptCount val="1"/>
                <c:pt idx="0">
                  <c:v>V236</c:v>
                </c:pt>
              </c:strCache>
            </c:strRef>
          </c:tx>
          <c:spPr>
            <a:solidFill>
              <a:schemeClr val="accent6">
                <a:lumMod val="80000"/>
                <a:lumOff val="20000"/>
              </a:schemeClr>
            </a:solidFill>
            <a:ln w="25400">
              <a:noFill/>
            </a:ln>
            <a:effectLst/>
            <a:sp3d/>
          </c:spPr>
          <c:cat>
            <c:numRef>
              <c:f>'Vestas turbines hist #'!$O$4:$AD$4</c:f>
              <c:numCache>
                <c:formatCode>General</c:formatCode>
                <c:ptCount val="16"/>
                <c:pt idx="0">
                  <c:v>2023</c:v>
                </c:pt>
                <c:pt idx="1">
                  <c:v>2022</c:v>
                </c:pt>
                <c:pt idx="2">
                  <c:v>2021</c:v>
                </c:pt>
                <c:pt idx="3">
                  <c:v>2020</c:v>
                </c:pt>
                <c:pt idx="4">
                  <c:v>2019</c:v>
                </c:pt>
                <c:pt idx="5">
                  <c:v>2018</c:v>
                </c:pt>
                <c:pt idx="6">
                  <c:v>2017</c:v>
                </c:pt>
                <c:pt idx="7">
                  <c:v>2016</c:v>
                </c:pt>
                <c:pt idx="8">
                  <c:v>2015</c:v>
                </c:pt>
                <c:pt idx="9">
                  <c:v>2014</c:v>
                </c:pt>
                <c:pt idx="10">
                  <c:v>2013</c:v>
                </c:pt>
                <c:pt idx="11">
                  <c:v>2012</c:v>
                </c:pt>
                <c:pt idx="12">
                  <c:v>2011</c:v>
                </c:pt>
                <c:pt idx="13">
                  <c:v>2010</c:v>
                </c:pt>
                <c:pt idx="14">
                  <c:v>2009</c:v>
                </c:pt>
                <c:pt idx="15">
                  <c:v>2008</c:v>
                </c:pt>
              </c:numCache>
            </c:numRef>
          </c:cat>
          <c:val>
            <c:numRef>
              <c:f>'Vestas turbines hist #'!$O$114:$AD$114</c:f>
              <c:numCache>
                <c:formatCode>0</c:formatCode>
                <c:ptCount val="16"/>
                <c:pt idx="0">
                  <c:v>192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DF48-4DB2-A078-52AD5518DFFF}"/>
            </c:ext>
          </c:extLst>
        </c:ser>
        <c:dLbls>
          <c:showLegendKey val="0"/>
          <c:showVal val="0"/>
          <c:showCatName val="0"/>
          <c:showSerName val="0"/>
          <c:showPercent val="0"/>
          <c:showBubbleSize val="0"/>
        </c:dLbls>
        <c:axId val="187175880"/>
        <c:axId val="187176272"/>
        <c:axId val="1415213744"/>
      </c:area3DChart>
      <c:catAx>
        <c:axId val="187175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6272"/>
        <c:crosses val="autoZero"/>
        <c:auto val="1"/>
        <c:lblAlgn val="ctr"/>
        <c:lblOffset val="100"/>
        <c:noMultiLvlLbl val="0"/>
      </c:catAx>
      <c:valAx>
        <c:axId val="187176272"/>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5880"/>
        <c:crosses val="autoZero"/>
        <c:crossBetween val="midCat"/>
      </c:valAx>
      <c:serAx>
        <c:axId val="141521374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6272"/>
        <c:crosses val="autoZero"/>
      </c:serAx>
      <c:spPr>
        <a:noFill/>
        <a:ln>
          <a:noFill/>
        </a:ln>
        <a:effectLst/>
      </c:spPr>
    </c:plotArea>
    <c:legend>
      <c:legendPos val="b"/>
      <c:layout>
        <c:manualLayout>
          <c:xMode val="edge"/>
          <c:yMode val="edge"/>
          <c:x val="2.0774985462146567E-2"/>
          <c:y val="0.86237677228145526"/>
          <c:w val="0.89999988927725239"/>
          <c:h val="3.65807198233043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'Vestas turbines hist MW'!$B$35</c:f>
              <c:strCache>
                <c:ptCount val="1"/>
                <c:pt idx="0">
                  <c:v>V100-1.8MW</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MW'!$U$35:$AC$35</c:f>
              <c:numCache>
                <c:formatCode>0</c:formatCode>
                <c:ptCount val="9"/>
                <c:pt idx="0">
                  <c:v>0</c:v>
                </c:pt>
                <c:pt idx="1">
                  <c:v>0</c:v>
                </c:pt>
                <c:pt idx="2">
                  <c:v>27</c:v>
                </c:pt>
                <c:pt idx="3">
                  <c:v>126</c:v>
                </c:pt>
                <c:pt idx="4">
                  <c:v>0</c:v>
                </c:pt>
                <c:pt idx="5">
                  <c:v>381.8</c:v>
                </c:pt>
                <c:pt idx="6">
                  <c:v>293.40000000000003</c:v>
                </c:pt>
                <c:pt idx="7">
                  <c:v>676.80000000000007</c:v>
                </c:pt>
                <c:pt idx="8">
                  <c:v>453.6</c:v>
                </c:pt>
              </c:numCache>
            </c:numRef>
          </c:yVal>
          <c:smooth val="0"/>
          <c:extLst>
            <c:ext xmlns:c16="http://schemas.microsoft.com/office/drawing/2014/chart" uri="{C3380CC4-5D6E-409C-BE32-E72D297353CC}">
              <c16:uniqueId val="{00000000-B746-4806-96C7-F5F42A200087}"/>
            </c:ext>
          </c:extLst>
        </c:ser>
        <c:ser>
          <c:idx val="1"/>
          <c:order val="1"/>
          <c:tx>
            <c:strRef>
              <c:f>'Vestas turbines hist MW'!$B$36</c:f>
              <c:strCache>
                <c:ptCount val="1"/>
                <c:pt idx="0">
                  <c:v>V100-2.0MW</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MW'!$U$36:$AC$36</c:f>
              <c:numCache>
                <c:formatCode>0</c:formatCode>
                <c:ptCount val="9"/>
                <c:pt idx="0">
                  <c:v>282</c:v>
                </c:pt>
                <c:pt idx="1">
                  <c:v>144</c:v>
                </c:pt>
                <c:pt idx="2">
                  <c:v>208</c:v>
                </c:pt>
                <c:pt idx="3">
                  <c:v>972</c:v>
                </c:pt>
                <c:pt idx="4">
                  <c:v>1318</c:v>
                </c:pt>
                <c:pt idx="5">
                  <c:v>890</c:v>
                </c:pt>
                <c:pt idx="6">
                  <c:v>36</c:v>
                </c:pt>
                <c:pt idx="7">
                  <c:v>0</c:v>
                </c:pt>
                <c:pt idx="8">
                  <c:v>0</c:v>
                </c:pt>
              </c:numCache>
            </c:numRef>
          </c:yVal>
          <c:smooth val="0"/>
          <c:extLst>
            <c:ext xmlns:c16="http://schemas.microsoft.com/office/drawing/2014/chart" uri="{C3380CC4-5D6E-409C-BE32-E72D297353CC}">
              <c16:uniqueId val="{00000001-B746-4806-96C7-F5F42A200087}"/>
            </c:ext>
          </c:extLst>
        </c:ser>
        <c:ser>
          <c:idx val="2"/>
          <c:order val="2"/>
          <c:tx>
            <c:strRef>
              <c:f>'Vestas turbines hist MW'!$B$37</c:f>
              <c:strCache>
                <c:ptCount val="1"/>
                <c:pt idx="0">
                  <c:v>V100-2.6MW</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MW'!$U$37:$AC$37</c:f>
              <c:numCache>
                <c:formatCode>0</c:formatCode>
                <c:ptCount val="9"/>
                <c:pt idx="0">
                  <c:v>0</c:v>
                </c:pt>
                <c:pt idx="1">
                  <c:v>0</c:v>
                </c:pt>
                <c:pt idx="2">
                  <c:v>0</c:v>
                </c:pt>
                <c:pt idx="3">
                  <c:v>0</c:v>
                </c:pt>
                <c:pt idx="4">
                  <c:v>0</c:v>
                </c:pt>
                <c:pt idx="5">
                  <c:v>62.400000000000006</c:v>
                </c:pt>
                <c:pt idx="6">
                  <c:v>54.6</c:v>
                </c:pt>
                <c:pt idx="7">
                  <c:v>78</c:v>
                </c:pt>
                <c:pt idx="8">
                  <c:v>0</c:v>
                </c:pt>
              </c:numCache>
            </c:numRef>
          </c:yVal>
          <c:smooth val="0"/>
          <c:extLst>
            <c:ext xmlns:c16="http://schemas.microsoft.com/office/drawing/2014/chart" uri="{C3380CC4-5D6E-409C-BE32-E72D297353CC}">
              <c16:uniqueId val="{00000002-B746-4806-96C7-F5F42A200087}"/>
            </c:ext>
          </c:extLst>
        </c:ser>
        <c:ser>
          <c:idx val="3"/>
          <c:order val="3"/>
          <c:tx>
            <c:strRef>
              <c:f>'Vestas turbines hist #'!$B$42</c:f>
              <c:strCache>
                <c:ptCount val="1"/>
                <c:pt idx="0">
                  <c:v>V100-2.75MW</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#'!$T$42:$AB$42</c:f>
              <c:numCache>
                <c:formatCode>0</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3-B746-4806-96C7-F5F42A200087}"/>
            </c:ext>
          </c:extLst>
        </c:ser>
        <c:ser>
          <c:idx val="4"/>
          <c:order val="4"/>
          <c:tx>
            <c:strRef>
              <c:f>'Vestas turbines hist #'!$B$43</c:f>
              <c:strCache>
                <c:ptCount val="1"/>
                <c:pt idx="0">
                  <c:v>V105-3.3MW</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#'!$T$43:$AB$43</c:f>
              <c:numCache>
                <c:formatCode>0</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4-B746-4806-96C7-F5F42A200087}"/>
            </c:ext>
          </c:extLst>
        </c:ser>
        <c:ser>
          <c:idx val="5"/>
          <c:order val="5"/>
          <c:tx>
            <c:strRef>
              <c:f>'Vestas turbines hist MW'!$B$40</c:f>
              <c:strCache>
                <c:ptCount val="1"/>
                <c:pt idx="0">
                  <c:v>V105-3.45MW</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MW'!$U$40:$AC$40</c:f>
              <c:numCache>
                <c:formatCode>0</c:formatCode>
                <c:ptCount val="9"/>
                <c:pt idx="0">
                  <c:v>0</c:v>
                </c:pt>
                <c:pt idx="1">
                  <c:v>109.41666666666667</c:v>
                </c:pt>
                <c:pt idx="2">
                  <c:v>31</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5-B746-4806-96C7-F5F42A200087}"/>
            </c:ext>
          </c:extLst>
        </c:ser>
        <c:ser>
          <c:idx val="6"/>
          <c:order val="6"/>
          <c:tx>
            <c:strRef>
              <c:f>'Vestas turbines hist #'!$B$45</c:f>
              <c:strCache>
                <c:ptCount val="1"/>
                <c:pt idx="0">
                  <c:v>V105-3.6MW</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#'!$T$45:$AB$45</c:f>
              <c:numCache>
                <c:formatCode>0</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6-B746-4806-96C7-F5F42A200087}"/>
            </c:ext>
          </c:extLst>
        </c:ser>
        <c:ser>
          <c:idx val="7"/>
          <c:order val="7"/>
          <c:tx>
            <c:strRef>
              <c:f>'Vestas turbines hist MW'!$B$42</c:f>
              <c:strCache>
                <c:ptCount val="1"/>
                <c:pt idx="0">
                  <c:v>V110-2.0MW</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MW'!$U$42:$AC$42</c:f>
              <c:numCache>
                <c:formatCode>0</c:formatCode>
                <c:ptCount val="9"/>
                <c:pt idx="0">
                  <c:v>720.18181818181824</c:v>
                </c:pt>
                <c:pt idx="1">
                  <c:v>2819</c:v>
                </c:pt>
                <c:pt idx="2">
                  <c:v>2708.7272727272725</c:v>
                </c:pt>
                <c:pt idx="3">
                  <c:v>1720</c:v>
                </c:pt>
                <c:pt idx="4">
                  <c:v>672</c:v>
                </c:pt>
                <c:pt idx="5">
                  <c:v>590</c:v>
                </c:pt>
                <c:pt idx="6">
                  <c:v>0</c:v>
                </c:pt>
                <c:pt idx="7">
                  <c:v>0</c:v>
                </c:pt>
                <c:pt idx="8">
                  <c:v>0</c:v>
                </c:pt>
              </c:numCache>
            </c:numRef>
          </c:yVal>
          <c:smooth val="0"/>
          <c:extLst>
            <c:ext xmlns:c16="http://schemas.microsoft.com/office/drawing/2014/chart" uri="{C3380CC4-5D6E-409C-BE32-E72D297353CC}">
              <c16:uniqueId val="{00000007-B746-4806-96C7-F5F42A200087}"/>
            </c:ext>
          </c:extLst>
        </c:ser>
        <c:ser>
          <c:idx val="8"/>
          <c:order val="8"/>
          <c:tx>
            <c:strRef>
              <c:f>'Vestas turbines hist MW'!$B$43</c:f>
              <c:strCache>
                <c:ptCount val="1"/>
                <c:pt idx="0">
                  <c:v>V112-3.0MW</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MW'!$U$43:$AC$43</c:f>
              <c:numCache>
                <c:formatCode>0</c:formatCode>
                <c:ptCount val="9"/>
                <c:pt idx="0">
                  <c:v>57</c:v>
                </c:pt>
                <c:pt idx="1">
                  <c:v>0</c:v>
                </c:pt>
                <c:pt idx="2">
                  <c:v>0</c:v>
                </c:pt>
                <c:pt idx="3">
                  <c:v>36</c:v>
                </c:pt>
                <c:pt idx="4">
                  <c:v>292</c:v>
                </c:pt>
                <c:pt idx="5">
                  <c:v>1134</c:v>
                </c:pt>
                <c:pt idx="6">
                  <c:v>336</c:v>
                </c:pt>
                <c:pt idx="7">
                  <c:v>750</c:v>
                </c:pt>
                <c:pt idx="8">
                  <c:v>600</c:v>
                </c:pt>
              </c:numCache>
            </c:numRef>
          </c:yVal>
          <c:smooth val="0"/>
          <c:extLst>
            <c:ext xmlns:c16="http://schemas.microsoft.com/office/drawing/2014/chart" uri="{C3380CC4-5D6E-409C-BE32-E72D297353CC}">
              <c16:uniqueId val="{00000008-B746-4806-96C7-F5F42A200087}"/>
            </c:ext>
          </c:extLst>
        </c:ser>
        <c:ser>
          <c:idx val="10"/>
          <c:order val="9"/>
          <c:tx>
            <c:strRef>
              <c:f>'Vestas turbines hist MW'!$B$44</c:f>
              <c:strCache>
                <c:ptCount val="1"/>
                <c:pt idx="0">
                  <c:v>V112-3.075MW</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MW'!$U$44:$AC$44</c:f>
              <c:numCache>
                <c:formatCode>0</c:formatCode>
                <c:ptCount val="9"/>
                <c:pt idx="0">
                  <c:v>0</c:v>
                </c:pt>
                <c:pt idx="1">
                  <c:v>0</c:v>
                </c:pt>
                <c:pt idx="2">
                  <c:v>0</c:v>
                </c:pt>
                <c:pt idx="3">
                  <c:v>40</c:v>
                </c:pt>
                <c:pt idx="4">
                  <c:v>0</c:v>
                </c:pt>
                <c:pt idx="5">
                  <c:v>0</c:v>
                </c:pt>
                <c:pt idx="6">
                  <c:v>0</c:v>
                </c:pt>
                <c:pt idx="7">
                  <c:v>0</c:v>
                </c:pt>
                <c:pt idx="8">
                  <c:v>0</c:v>
                </c:pt>
              </c:numCache>
            </c:numRef>
          </c:yVal>
          <c:smooth val="0"/>
          <c:extLst>
            <c:ext xmlns:c16="http://schemas.microsoft.com/office/drawing/2014/chart" uri="{C3380CC4-5D6E-409C-BE32-E72D297353CC}">
              <c16:uniqueId val="{00000009-B746-4806-96C7-F5F42A200087}"/>
            </c:ext>
          </c:extLst>
        </c:ser>
        <c:ser>
          <c:idx val="11"/>
          <c:order val="10"/>
          <c:tx>
            <c:strRef>
              <c:f>'Vestas turbines hist MW'!$B$45</c:f>
              <c:strCache>
                <c:ptCount val="1"/>
                <c:pt idx="0">
                  <c:v>V112-3.3MW</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MW'!$U$45:$AC$45</c:f>
              <c:numCache>
                <c:formatCode>0</c:formatCode>
                <c:ptCount val="9"/>
                <c:pt idx="0">
                  <c:v>0</c:v>
                </c:pt>
                <c:pt idx="1">
                  <c:v>86</c:v>
                </c:pt>
                <c:pt idx="2">
                  <c:v>115</c:v>
                </c:pt>
                <c:pt idx="3">
                  <c:v>700</c:v>
                </c:pt>
                <c:pt idx="4">
                  <c:v>660.19999999999993</c:v>
                </c:pt>
                <c:pt idx="5">
                  <c:v>294</c:v>
                </c:pt>
                <c:pt idx="6">
                  <c:v>0</c:v>
                </c:pt>
                <c:pt idx="7">
                  <c:v>0</c:v>
                </c:pt>
                <c:pt idx="8">
                  <c:v>0</c:v>
                </c:pt>
              </c:numCache>
            </c:numRef>
          </c:yVal>
          <c:smooth val="0"/>
          <c:extLst>
            <c:ext xmlns:c16="http://schemas.microsoft.com/office/drawing/2014/chart" uri="{C3380CC4-5D6E-409C-BE32-E72D297353CC}">
              <c16:uniqueId val="{0000000A-B746-4806-96C7-F5F42A200087}"/>
            </c:ext>
          </c:extLst>
        </c:ser>
        <c:ser>
          <c:idx val="12"/>
          <c:order val="11"/>
          <c:tx>
            <c:strRef>
              <c:f>'Vestas turbines hist MW'!$B$46</c:f>
              <c:strCache>
                <c:ptCount val="1"/>
                <c:pt idx="0">
                  <c:v>V112-3.45MW</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MW'!$U$46:$AC$46</c:f>
              <c:numCache>
                <c:formatCode>0</c:formatCode>
                <c:ptCount val="9"/>
                <c:pt idx="0">
                  <c:v>79.181818181818187</c:v>
                </c:pt>
                <c:pt idx="1">
                  <c:v>138.43333333333334</c:v>
                </c:pt>
                <c:pt idx="2">
                  <c:v>566.35</c:v>
                </c:pt>
                <c:pt idx="3">
                  <c:v>485.40299401197603</c:v>
                </c:pt>
                <c:pt idx="4">
                  <c:v>0</c:v>
                </c:pt>
                <c:pt idx="5">
                  <c:v>0</c:v>
                </c:pt>
                <c:pt idx="6">
                  <c:v>0</c:v>
                </c:pt>
                <c:pt idx="7">
                  <c:v>0</c:v>
                </c:pt>
                <c:pt idx="8">
                  <c:v>0</c:v>
                </c:pt>
              </c:numCache>
            </c:numRef>
          </c:yVal>
          <c:smooth val="0"/>
          <c:extLst>
            <c:ext xmlns:c16="http://schemas.microsoft.com/office/drawing/2014/chart" uri="{C3380CC4-5D6E-409C-BE32-E72D297353CC}">
              <c16:uniqueId val="{0000000B-B746-4806-96C7-F5F42A200087}"/>
            </c:ext>
          </c:extLst>
        </c:ser>
        <c:ser>
          <c:idx val="13"/>
          <c:order val="12"/>
          <c:tx>
            <c:strRef>
              <c:f>'Vestas turbines hist #'!$B$52</c:f>
              <c:strCache>
                <c:ptCount val="1"/>
                <c:pt idx="0">
                  <c:v>V112-3.6MW</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#'!$T$52:$AB$52</c:f>
            </c:numRef>
          </c:yVal>
          <c:smooth val="0"/>
          <c:extLst>
            <c:ext xmlns:c16="http://schemas.microsoft.com/office/drawing/2014/chart" uri="{C3380CC4-5D6E-409C-BE32-E72D297353CC}">
              <c16:uniqueId val="{0000000C-B746-4806-96C7-F5F42A200087}"/>
            </c:ext>
          </c:extLst>
        </c:ser>
        <c:ser>
          <c:idx val="14"/>
          <c:order val="13"/>
          <c:tx>
            <c:strRef>
              <c:f>'Vestas turbines hist MW'!$B$48</c:f>
              <c:strCache>
                <c:ptCount val="1"/>
                <c:pt idx="0">
                  <c:v>V116-2.0MW</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MW'!$U$48:$AC$48</c:f>
              <c:numCache>
                <c:formatCode>0</c:formatCode>
                <c:ptCount val="9"/>
                <c:pt idx="0">
                  <c:v>432</c:v>
                </c:pt>
                <c:pt idx="1">
                  <c:v>66</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D-B746-4806-96C7-F5F42A200087}"/>
            </c:ext>
          </c:extLst>
        </c:ser>
        <c:ser>
          <c:idx val="15"/>
          <c:order val="14"/>
          <c:tx>
            <c:strRef>
              <c:f>'Vestas turbines hist MW'!$B$49</c:f>
              <c:strCache>
                <c:ptCount val="1"/>
                <c:pt idx="0">
                  <c:v>V117-3.3MW</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MW'!$U$49:$AC$49</c:f>
              <c:numCache>
                <c:formatCode>0</c:formatCode>
                <c:ptCount val="9"/>
                <c:pt idx="0">
                  <c:v>33</c:v>
                </c:pt>
                <c:pt idx="1">
                  <c:v>0</c:v>
                </c:pt>
                <c:pt idx="2">
                  <c:v>178</c:v>
                </c:pt>
                <c:pt idx="3">
                  <c:v>1205.9999999999998</c:v>
                </c:pt>
                <c:pt idx="4">
                  <c:v>62.699999999999996</c:v>
                </c:pt>
                <c:pt idx="5">
                  <c:v>0</c:v>
                </c:pt>
                <c:pt idx="6">
                  <c:v>0</c:v>
                </c:pt>
                <c:pt idx="7">
                  <c:v>0</c:v>
                </c:pt>
                <c:pt idx="8">
                  <c:v>0</c:v>
                </c:pt>
              </c:numCache>
            </c:numRef>
          </c:yVal>
          <c:smooth val="0"/>
          <c:extLst>
            <c:ext xmlns:c16="http://schemas.microsoft.com/office/drawing/2014/chart" uri="{C3380CC4-5D6E-409C-BE32-E72D297353CC}">
              <c16:uniqueId val="{0000000E-B746-4806-96C7-F5F42A200087}"/>
            </c:ext>
          </c:extLst>
        </c:ser>
        <c:ser>
          <c:idx val="16"/>
          <c:order val="15"/>
          <c:tx>
            <c:strRef>
              <c:f>'Vestas turbines hist MW'!$B$50</c:f>
              <c:strCache>
                <c:ptCount val="1"/>
                <c:pt idx="0">
                  <c:v>V117-3.45MW</c:v>
                </c:pt>
              </c:strCache>
            </c:strRef>
          </c:tx>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MW'!$U$50:$AC$50</c:f>
              <c:numCache>
                <c:formatCode>0</c:formatCode>
                <c:ptCount val="9"/>
                <c:pt idx="0">
                  <c:v>614.625</c:v>
                </c:pt>
                <c:pt idx="1">
                  <c:v>230.91666666666666</c:v>
                </c:pt>
                <c:pt idx="2">
                  <c:v>1376.45</c:v>
                </c:pt>
                <c:pt idx="3">
                  <c:v>103.5</c:v>
                </c:pt>
                <c:pt idx="4">
                  <c:v>0</c:v>
                </c:pt>
                <c:pt idx="5">
                  <c:v>0</c:v>
                </c:pt>
                <c:pt idx="6">
                  <c:v>0</c:v>
                </c:pt>
                <c:pt idx="7">
                  <c:v>0</c:v>
                </c:pt>
                <c:pt idx="8">
                  <c:v>0</c:v>
                </c:pt>
              </c:numCache>
            </c:numRef>
          </c:yVal>
          <c:smooth val="0"/>
          <c:extLst>
            <c:ext xmlns:c16="http://schemas.microsoft.com/office/drawing/2014/chart" uri="{C3380CC4-5D6E-409C-BE32-E72D297353CC}">
              <c16:uniqueId val="{0000000F-B746-4806-96C7-F5F42A200087}"/>
            </c:ext>
          </c:extLst>
        </c:ser>
        <c:ser>
          <c:idx val="17"/>
          <c:order val="16"/>
          <c:tx>
            <c:strRef>
              <c:f>'Vestas turbines hist #'!$B$56</c:f>
              <c:strCache>
                <c:ptCount val="1"/>
                <c:pt idx="0">
                  <c:v>V117-4.2MW</c:v>
                </c:pt>
              </c:strCache>
            </c:strRef>
          </c:tx>
          <c:spPr>
            <a:ln w="19050"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#'!$T$56:$AB$56</c:f>
              <c:numCache>
                <c:formatCode>0</c:formatCode>
                <c:ptCount val="9"/>
                <c:pt idx="0">
                  <c:v>31</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10-B746-4806-96C7-F5F42A200087}"/>
            </c:ext>
          </c:extLst>
        </c:ser>
        <c:ser>
          <c:idx val="18"/>
          <c:order val="17"/>
          <c:tx>
            <c:strRef>
              <c:f>'Vestas turbines hist MW'!$B$53</c:f>
              <c:strCache>
                <c:ptCount val="1"/>
                <c:pt idx="0">
                  <c:v>V120-2.0MW</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MW'!$U$53:$AC$53</c:f>
              <c:numCache>
                <c:formatCode>0</c:formatCode>
                <c:ptCount val="9"/>
                <c:pt idx="0">
                  <c:v>390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11-B746-4806-96C7-F5F42A200087}"/>
            </c:ext>
          </c:extLst>
        </c:ser>
        <c:ser>
          <c:idx val="19"/>
          <c:order val="18"/>
          <c:tx>
            <c:strRef>
              <c:f>'Vestas turbines hist MW'!$B$55</c:f>
              <c:strCache>
                <c:ptCount val="1"/>
                <c:pt idx="0">
                  <c:v>V126-3.0MW</c:v>
                </c:pt>
              </c:strCache>
            </c:strRef>
          </c:tx>
          <c:spPr>
            <a:ln w="19050"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MW'!$U$55:$AC$55</c:f>
              <c:numCache>
                <c:formatCode>0</c:formatCode>
                <c:ptCount val="9"/>
                <c:pt idx="0">
                  <c:v>0</c:v>
                </c:pt>
                <c:pt idx="1">
                  <c:v>0</c:v>
                </c:pt>
                <c:pt idx="2">
                  <c:v>0</c:v>
                </c:pt>
                <c:pt idx="3">
                  <c:v>0</c:v>
                </c:pt>
                <c:pt idx="4">
                  <c:v>0</c:v>
                </c:pt>
                <c:pt idx="5">
                  <c:v>0</c:v>
                </c:pt>
                <c:pt idx="6">
                  <c:v>9</c:v>
                </c:pt>
                <c:pt idx="7">
                  <c:v>0</c:v>
                </c:pt>
                <c:pt idx="8">
                  <c:v>0</c:v>
                </c:pt>
              </c:numCache>
            </c:numRef>
          </c:yVal>
          <c:smooth val="0"/>
          <c:extLst>
            <c:ext xmlns:c16="http://schemas.microsoft.com/office/drawing/2014/chart" uri="{C3380CC4-5D6E-409C-BE32-E72D297353CC}">
              <c16:uniqueId val="{00000012-B746-4806-96C7-F5F42A200087}"/>
            </c:ext>
          </c:extLst>
        </c:ser>
        <c:ser>
          <c:idx val="20"/>
          <c:order val="19"/>
          <c:tx>
            <c:strRef>
              <c:f>'Vestas turbines hist MW'!$B$56</c:f>
              <c:strCache>
                <c:ptCount val="1"/>
                <c:pt idx="0">
                  <c:v>V126-3.3MW</c:v>
                </c:pt>
              </c:strCache>
            </c:strRef>
          </c:tx>
          <c:spPr>
            <a:ln w="19050"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MW'!$U$56:$AC$56</c:f>
              <c:numCache>
                <c:formatCode>0</c:formatCode>
                <c:ptCount val="9"/>
                <c:pt idx="0">
                  <c:v>0</c:v>
                </c:pt>
                <c:pt idx="1">
                  <c:v>73</c:v>
                </c:pt>
                <c:pt idx="2">
                  <c:v>194.00000000000003</c:v>
                </c:pt>
                <c:pt idx="3">
                  <c:v>721.99999999999989</c:v>
                </c:pt>
                <c:pt idx="4">
                  <c:v>323.7</c:v>
                </c:pt>
                <c:pt idx="5">
                  <c:v>0</c:v>
                </c:pt>
                <c:pt idx="6">
                  <c:v>0</c:v>
                </c:pt>
                <c:pt idx="7">
                  <c:v>0</c:v>
                </c:pt>
                <c:pt idx="8">
                  <c:v>0</c:v>
                </c:pt>
              </c:numCache>
            </c:numRef>
          </c:yVal>
          <c:smooth val="0"/>
          <c:extLst>
            <c:ext xmlns:c16="http://schemas.microsoft.com/office/drawing/2014/chart" uri="{C3380CC4-5D6E-409C-BE32-E72D297353CC}">
              <c16:uniqueId val="{00000013-B746-4806-96C7-F5F42A200087}"/>
            </c:ext>
          </c:extLst>
        </c:ser>
        <c:ser>
          <c:idx val="21"/>
          <c:order val="20"/>
          <c:tx>
            <c:strRef>
              <c:f>'Vestas turbines hist MW'!$B$57</c:f>
              <c:strCache>
                <c:ptCount val="1"/>
                <c:pt idx="0">
                  <c:v>V126-3.45MW</c:v>
                </c:pt>
              </c:strCache>
            </c:strRef>
          </c:tx>
          <c:spPr>
            <a:ln w="19050"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MW'!$U$57:$AC$57</c:f>
              <c:numCache>
                <c:formatCode>0</c:formatCode>
                <c:ptCount val="9"/>
                <c:pt idx="0">
                  <c:v>793.8868421052631</c:v>
                </c:pt>
                <c:pt idx="1">
                  <c:v>1072.2833333333333</c:v>
                </c:pt>
                <c:pt idx="2">
                  <c:v>1210.6666666666665</c:v>
                </c:pt>
                <c:pt idx="3">
                  <c:v>93</c:v>
                </c:pt>
                <c:pt idx="4">
                  <c:v>0</c:v>
                </c:pt>
                <c:pt idx="5">
                  <c:v>0</c:v>
                </c:pt>
                <c:pt idx="6">
                  <c:v>0</c:v>
                </c:pt>
                <c:pt idx="7">
                  <c:v>0</c:v>
                </c:pt>
                <c:pt idx="8">
                  <c:v>0</c:v>
                </c:pt>
              </c:numCache>
            </c:numRef>
          </c:yVal>
          <c:smooth val="0"/>
          <c:extLst>
            <c:ext xmlns:c16="http://schemas.microsoft.com/office/drawing/2014/chart" uri="{C3380CC4-5D6E-409C-BE32-E72D297353CC}">
              <c16:uniqueId val="{00000014-B746-4806-96C7-F5F42A200087}"/>
            </c:ext>
          </c:extLst>
        </c:ser>
        <c:ser>
          <c:idx val="22"/>
          <c:order val="21"/>
          <c:tx>
            <c:strRef>
              <c:f>'Vestas turbines hist MW'!$B$59</c:f>
              <c:strCache>
                <c:ptCount val="1"/>
                <c:pt idx="0">
                  <c:v>V136-3.45MW</c:v>
                </c:pt>
              </c:strCache>
            </c:strRef>
          </c:tx>
          <c:spPr>
            <a:ln w="19050"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MW'!$U$59:$AC$59</c:f>
              <c:numCache>
                <c:formatCode>0</c:formatCode>
                <c:ptCount val="9"/>
                <c:pt idx="0">
                  <c:v>2476.1267543859649</c:v>
                </c:pt>
                <c:pt idx="1">
                  <c:v>2190.1776315789475</c:v>
                </c:pt>
                <c:pt idx="2">
                  <c:v>0</c:v>
                </c:pt>
                <c:pt idx="3">
                  <c:v>117</c:v>
                </c:pt>
                <c:pt idx="4">
                  <c:v>0</c:v>
                </c:pt>
                <c:pt idx="5">
                  <c:v>0</c:v>
                </c:pt>
                <c:pt idx="6">
                  <c:v>0</c:v>
                </c:pt>
                <c:pt idx="7">
                  <c:v>0</c:v>
                </c:pt>
                <c:pt idx="8">
                  <c:v>0</c:v>
                </c:pt>
              </c:numCache>
            </c:numRef>
          </c:yVal>
          <c:smooth val="0"/>
          <c:extLst>
            <c:ext xmlns:c16="http://schemas.microsoft.com/office/drawing/2014/chart" uri="{C3380CC4-5D6E-409C-BE32-E72D297353CC}">
              <c16:uniqueId val="{00000015-B746-4806-96C7-F5F42A200087}"/>
            </c:ext>
          </c:extLst>
        </c:ser>
        <c:ser>
          <c:idx val="23"/>
          <c:order val="22"/>
          <c:tx>
            <c:strRef>
              <c:f>'Vestas turbines hist MW'!$B$60</c:f>
              <c:strCache>
                <c:ptCount val="1"/>
                <c:pt idx="0">
                  <c:v>V136-3.6MW</c:v>
                </c:pt>
              </c:strCache>
            </c:strRef>
          </c:tx>
          <c:spPr>
            <a:ln w="19050"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MW'!$U$60:$AC$60</c:f>
              <c:numCache>
                <c:formatCode>0</c:formatCode>
                <c:ptCount val="9"/>
                <c:pt idx="0">
                  <c:v>370.8</c:v>
                </c:pt>
                <c:pt idx="1">
                  <c:v>159.00000000000003</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16-B746-4806-96C7-F5F42A200087}"/>
            </c:ext>
          </c:extLst>
        </c:ser>
        <c:ser>
          <c:idx val="24"/>
          <c:order val="23"/>
          <c:tx>
            <c:strRef>
              <c:f>'Vestas turbines hist MW'!$B$61</c:f>
              <c:strCache>
                <c:ptCount val="1"/>
                <c:pt idx="0">
                  <c:v>V136-4.2MW</c:v>
                </c:pt>
              </c:strCache>
            </c:strRef>
          </c:tx>
          <c:spPr>
            <a:ln w="19050"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MW'!$U$61:$AC$61</c:f>
              <c:numCache>
                <c:formatCode>0</c:formatCode>
                <c:ptCount val="9"/>
                <c:pt idx="0">
                  <c:v>1627.2380952380952</c:v>
                </c:pt>
                <c:pt idx="1">
                  <c:v>340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17-B746-4806-96C7-F5F42A200087}"/>
            </c:ext>
          </c:extLst>
        </c:ser>
        <c:ser>
          <c:idx val="25"/>
          <c:order val="24"/>
          <c:tx>
            <c:strRef>
              <c:f>'Vestas turbines hist MW'!$B$63</c:f>
              <c:strCache>
                <c:ptCount val="1"/>
                <c:pt idx="0">
                  <c:v>V150-4.2MW</c:v>
                </c:pt>
              </c:strCache>
            </c:strRef>
          </c:tx>
          <c:spPr>
            <a:ln w="19050"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MW'!$U$63:$AC$63</c:f>
              <c:numCache>
                <c:formatCode>0</c:formatCode>
                <c:ptCount val="9"/>
                <c:pt idx="0">
                  <c:v>1068</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18-B746-4806-96C7-F5F42A200087}"/>
            </c:ext>
          </c:extLst>
        </c:ser>
        <c:ser>
          <c:idx val="26"/>
          <c:order val="25"/>
          <c:tx>
            <c:strRef>
              <c:f>'Vestas turbines hist #'!$B$78</c:f>
              <c:strCache>
                <c:ptCount val="1"/>
                <c:pt idx="0">
                  <c:v>V164-7.0MW</c:v>
                </c:pt>
              </c:strCache>
            </c:strRef>
          </c:tx>
          <c:spPr>
            <a:ln w="19050"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#'!$T$78:$AB$78</c:f>
              <c:numCache>
                <c:formatCode>0</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19-B746-4806-96C7-F5F42A200087}"/>
            </c:ext>
          </c:extLst>
        </c:ser>
        <c:ser>
          <c:idx val="27"/>
          <c:order val="26"/>
          <c:tx>
            <c:strRef>
              <c:f>'Vestas turbines hist #'!$B$79</c:f>
              <c:strCache>
                <c:ptCount val="1"/>
                <c:pt idx="0">
                  <c:v>V164-8.0MW</c:v>
                </c:pt>
              </c:strCache>
            </c:strRef>
          </c:tx>
          <c:spPr>
            <a:ln w="19050"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#'!$T$79:$AB$79</c:f>
              <c:numCache>
                <c:formatCode>0</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1A-B746-4806-96C7-F5F42A200087}"/>
            </c:ext>
          </c:extLst>
        </c:ser>
        <c:ser>
          <c:idx val="28"/>
          <c:order val="27"/>
          <c:tx>
            <c:strRef>
              <c:f>'Vestas turbines hist #'!$B$10</c:f>
              <c:strCache>
                <c:ptCount val="1"/>
                <c:pt idx="0">
                  <c:v>V20-0.1MW</c:v>
                </c:pt>
              </c:strCache>
            </c:strRef>
          </c:tx>
          <c:spPr>
            <a:ln w="19050"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#'!$T$10:$AB$10</c:f>
            </c:numRef>
          </c:yVal>
          <c:smooth val="0"/>
          <c:extLst>
            <c:ext xmlns:c16="http://schemas.microsoft.com/office/drawing/2014/chart" uri="{C3380CC4-5D6E-409C-BE32-E72D297353CC}">
              <c16:uniqueId val="{0000001B-B746-4806-96C7-F5F42A200087}"/>
            </c:ext>
          </c:extLst>
        </c:ser>
        <c:ser>
          <c:idx val="29"/>
          <c:order val="28"/>
          <c:tx>
            <c:strRef>
              <c:f>'Vestas turbines hist #'!$B$11</c:f>
              <c:strCache>
                <c:ptCount val="1"/>
                <c:pt idx="0">
                  <c:v>V23-0.15MW</c:v>
                </c:pt>
              </c:strCache>
            </c:strRef>
          </c:tx>
          <c:spPr>
            <a:ln w="19050"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#'!$T$11:$AB$11</c:f>
            </c:numRef>
          </c:yVal>
          <c:smooth val="0"/>
          <c:extLst>
            <c:ext xmlns:c16="http://schemas.microsoft.com/office/drawing/2014/chart" uri="{C3380CC4-5D6E-409C-BE32-E72D297353CC}">
              <c16:uniqueId val="{0000001C-B746-4806-96C7-F5F42A200087}"/>
            </c:ext>
          </c:extLst>
        </c:ser>
        <c:ser>
          <c:idx val="30"/>
          <c:order val="29"/>
          <c:tx>
            <c:strRef>
              <c:f>'Vestas turbines hist #'!$B$12</c:f>
              <c:strCache>
                <c:ptCount val="1"/>
                <c:pt idx="0">
                  <c:v>V23-0.2MW</c:v>
                </c:pt>
              </c:strCache>
            </c:strRef>
          </c:tx>
          <c:spPr>
            <a:ln w="19050"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#'!$T$12:$AB$12</c:f>
            </c:numRef>
          </c:yVal>
          <c:smooth val="0"/>
          <c:extLst>
            <c:ext xmlns:c16="http://schemas.microsoft.com/office/drawing/2014/chart" uri="{C3380CC4-5D6E-409C-BE32-E72D297353CC}">
              <c16:uniqueId val="{0000001D-B746-4806-96C7-F5F42A200087}"/>
            </c:ext>
          </c:extLst>
        </c:ser>
        <c:ser>
          <c:idx val="31"/>
          <c:order val="30"/>
          <c:tx>
            <c:strRef>
              <c:f>'Vestas turbines hist #'!$B$13</c:f>
              <c:strCache>
                <c:ptCount val="1"/>
                <c:pt idx="0">
                  <c:v>V25-0.2MW</c:v>
                </c:pt>
              </c:strCache>
            </c:strRef>
          </c:tx>
          <c:spPr>
            <a:ln w="19050"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#'!$T$13:$AB$13</c:f>
            </c:numRef>
          </c:yVal>
          <c:smooth val="0"/>
          <c:extLst>
            <c:ext xmlns:c16="http://schemas.microsoft.com/office/drawing/2014/chart" uri="{C3380CC4-5D6E-409C-BE32-E72D297353CC}">
              <c16:uniqueId val="{0000001E-B746-4806-96C7-F5F42A200087}"/>
            </c:ext>
          </c:extLst>
        </c:ser>
        <c:ser>
          <c:idx val="32"/>
          <c:order val="31"/>
          <c:tx>
            <c:strRef>
              <c:f>'Vestas turbines hist #'!$B$14</c:f>
              <c:strCache>
                <c:ptCount val="1"/>
                <c:pt idx="0">
                  <c:v>V27-0.225MW</c:v>
                </c:pt>
              </c:strCache>
            </c:strRef>
          </c:tx>
          <c:spPr>
            <a:ln w="19050"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#'!$T$14:$AB$14</c:f>
            </c:numRef>
          </c:yVal>
          <c:smooth val="0"/>
          <c:extLst>
            <c:ext xmlns:c16="http://schemas.microsoft.com/office/drawing/2014/chart" uri="{C3380CC4-5D6E-409C-BE32-E72D297353CC}">
              <c16:uniqueId val="{0000001F-B746-4806-96C7-F5F42A200087}"/>
            </c:ext>
          </c:extLst>
        </c:ser>
        <c:ser>
          <c:idx val="33"/>
          <c:order val="32"/>
          <c:tx>
            <c:strRef>
              <c:f>'Vestas turbines hist #'!$B$15</c:f>
              <c:strCache>
                <c:ptCount val="1"/>
                <c:pt idx="0">
                  <c:v>V27-0.27MW</c:v>
                </c:pt>
              </c:strCache>
            </c:strRef>
          </c:tx>
          <c:spPr>
            <a:ln w="19050"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#'!$T$15:$AB$15</c:f>
            </c:numRef>
          </c:yVal>
          <c:smooth val="0"/>
          <c:extLst>
            <c:ext xmlns:c16="http://schemas.microsoft.com/office/drawing/2014/chart" uri="{C3380CC4-5D6E-409C-BE32-E72D297353CC}">
              <c16:uniqueId val="{00000020-B746-4806-96C7-F5F42A200087}"/>
            </c:ext>
          </c:extLst>
        </c:ser>
        <c:ser>
          <c:idx val="34"/>
          <c:order val="33"/>
          <c:tx>
            <c:strRef>
              <c:f>'Vestas turbines hist #'!$B$16</c:f>
              <c:strCache>
                <c:ptCount val="1"/>
                <c:pt idx="0">
                  <c:v>V29-0.225MW</c:v>
                </c:pt>
              </c:strCache>
            </c:strRef>
          </c:tx>
          <c:spPr>
            <a:ln w="19050"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#'!$T$16:$AB$16</c:f>
            </c:numRef>
          </c:yVal>
          <c:smooth val="0"/>
          <c:extLst>
            <c:ext xmlns:c16="http://schemas.microsoft.com/office/drawing/2014/chart" uri="{C3380CC4-5D6E-409C-BE32-E72D297353CC}">
              <c16:uniqueId val="{00000021-B746-4806-96C7-F5F42A200087}"/>
            </c:ext>
          </c:extLst>
        </c:ser>
        <c:ser>
          <c:idx val="35"/>
          <c:order val="34"/>
          <c:tx>
            <c:strRef>
              <c:f>'Vestas turbines hist #'!$B$17</c:f>
              <c:strCache>
                <c:ptCount val="1"/>
                <c:pt idx="0">
                  <c:v>V34-0.4MW</c:v>
                </c:pt>
              </c:strCache>
            </c:strRef>
          </c:tx>
          <c:spPr>
            <a:ln w="19050"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#'!$T$17:$AB$17</c:f>
            </c:numRef>
          </c:yVal>
          <c:smooth val="0"/>
          <c:extLst>
            <c:ext xmlns:c16="http://schemas.microsoft.com/office/drawing/2014/chart" uri="{C3380CC4-5D6E-409C-BE32-E72D297353CC}">
              <c16:uniqueId val="{00000022-B746-4806-96C7-F5F42A200087}"/>
            </c:ext>
          </c:extLst>
        </c:ser>
        <c:ser>
          <c:idx val="36"/>
          <c:order val="35"/>
          <c:tx>
            <c:strRef>
              <c:f>'Vestas turbines hist #'!$B$18</c:f>
              <c:strCache>
                <c:ptCount val="1"/>
                <c:pt idx="0">
                  <c:v>V39-0.5MW</c:v>
                </c:pt>
              </c:strCache>
            </c:strRef>
          </c:tx>
          <c:spPr>
            <a:ln w="19050"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#'!$T$18:$AB$18</c:f>
            </c:numRef>
          </c:yVal>
          <c:smooth val="0"/>
          <c:extLst>
            <c:ext xmlns:c16="http://schemas.microsoft.com/office/drawing/2014/chart" uri="{C3380CC4-5D6E-409C-BE32-E72D297353CC}">
              <c16:uniqueId val="{00000023-B746-4806-96C7-F5F42A200087}"/>
            </c:ext>
          </c:extLst>
        </c:ser>
        <c:ser>
          <c:idx val="37"/>
          <c:order val="36"/>
          <c:tx>
            <c:strRef>
              <c:f>'Vestas turbines hist #'!$B$19</c:f>
              <c:strCache>
                <c:ptCount val="1"/>
                <c:pt idx="0">
                  <c:v>V39-0.6MW</c:v>
                </c:pt>
              </c:strCache>
            </c:strRef>
          </c:tx>
          <c:spPr>
            <a:ln w="19050"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#'!$T$19:$AB$19</c:f>
            </c:numRef>
          </c:yVal>
          <c:smooth val="0"/>
          <c:extLst>
            <c:ext xmlns:c16="http://schemas.microsoft.com/office/drawing/2014/chart" uri="{C3380CC4-5D6E-409C-BE32-E72D297353CC}">
              <c16:uniqueId val="{00000024-B746-4806-96C7-F5F42A200087}"/>
            </c:ext>
          </c:extLst>
        </c:ser>
        <c:ser>
          <c:idx val="38"/>
          <c:order val="37"/>
          <c:tx>
            <c:strRef>
              <c:f>'Vestas turbines hist #'!$B$20</c:f>
              <c:strCache>
                <c:ptCount val="1"/>
                <c:pt idx="0">
                  <c:v>V42-0.5MW</c:v>
                </c:pt>
              </c:strCache>
            </c:strRef>
          </c:tx>
          <c:spPr>
            <a:ln w="19050" cap="rnd">
              <a:solidFill>
                <a:schemeClr val="accent3">
                  <a:lumMod val="70000"/>
                  <a:lumOff val="30000"/>
                </a:schemeClr>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#'!$T$20:$AB$20</c:f>
            </c:numRef>
          </c:yVal>
          <c:smooth val="0"/>
          <c:extLst>
            <c:ext xmlns:c16="http://schemas.microsoft.com/office/drawing/2014/chart" uri="{C3380CC4-5D6E-409C-BE32-E72D297353CC}">
              <c16:uniqueId val="{00000025-B746-4806-96C7-F5F42A200087}"/>
            </c:ext>
          </c:extLst>
        </c:ser>
        <c:ser>
          <c:idx val="39"/>
          <c:order val="38"/>
          <c:tx>
            <c:strRef>
              <c:f>'Vestas turbines hist #'!$B$21</c:f>
              <c:strCache>
                <c:ptCount val="1"/>
                <c:pt idx="0">
                  <c:v>V42-0.6MW</c:v>
                </c:pt>
              </c:strCache>
            </c:strRef>
          </c:tx>
          <c:spPr>
            <a:ln w="19050"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#'!$T$21:$AB$21</c:f>
            </c:numRef>
          </c:yVal>
          <c:smooth val="0"/>
          <c:extLst>
            <c:ext xmlns:c16="http://schemas.microsoft.com/office/drawing/2014/chart" uri="{C3380CC4-5D6E-409C-BE32-E72D297353CC}">
              <c16:uniqueId val="{00000026-B746-4806-96C7-F5F42A200087}"/>
            </c:ext>
          </c:extLst>
        </c:ser>
        <c:ser>
          <c:idx val="40"/>
          <c:order val="39"/>
          <c:tx>
            <c:strRef>
              <c:f>'Vestas turbines hist #'!$B$22</c:f>
              <c:strCache>
                <c:ptCount val="1"/>
                <c:pt idx="0">
                  <c:v>V44-0.6MW</c:v>
                </c:pt>
              </c:strCache>
            </c:strRef>
          </c:tx>
          <c:spPr>
            <a:ln w="19050" cap="rnd">
              <a:solidFill>
                <a:schemeClr val="accent5">
                  <a:lumMod val="70000"/>
                  <a:lumOff val="30000"/>
                </a:schemeClr>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#'!$T$22:$AB$22</c:f>
            </c:numRef>
          </c:yVal>
          <c:smooth val="0"/>
          <c:extLst>
            <c:ext xmlns:c16="http://schemas.microsoft.com/office/drawing/2014/chart" uri="{C3380CC4-5D6E-409C-BE32-E72D297353CC}">
              <c16:uniqueId val="{00000027-B746-4806-96C7-F5F42A200087}"/>
            </c:ext>
          </c:extLst>
        </c:ser>
        <c:ser>
          <c:idx val="41"/>
          <c:order val="40"/>
          <c:tx>
            <c:strRef>
              <c:f>'Vestas turbines hist #'!$B$23</c:f>
              <c:strCache>
                <c:ptCount val="1"/>
                <c:pt idx="0">
                  <c:v>V47-0.66MW</c:v>
                </c:pt>
              </c:strCache>
            </c:strRef>
          </c:tx>
          <c:spPr>
            <a:ln w="19050" cap="rnd">
              <a:solidFill>
                <a:schemeClr val="accent6">
                  <a:lumMod val="70000"/>
                  <a:lumOff val="30000"/>
                </a:schemeClr>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#'!$T$23:$AB$23</c:f>
            </c:numRef>
          </c:yVal>
          <c:smooth val="0"/>
          <c:extLst>
            <c:ext xmlns:c16="http://schemas.microsoft.com/office/drawing/2014/chart" uri="{C3380CC4-5D6E-409C-BE32-E72D297353CC}">
              <c16:uniqueId val="{00000028-B746-4806-96C7-F5F42A200087}"/>
            </c:ext>
          </c:extLst>
        </c:ser>
        <c:ser>
          <c:idx val="42"/>
          <c:order val="41"/>
          <c:tx>
            <c:strRef>
              <c:f>'Vestas turbines hist MW'!$B$20</c:f>
              <c:strCache>
                <c:ptCount val="1"/>
                <c:pt idx="0">
                  <c:v>V52-850kW</c:v>
                </c:pt>
              </c:strCache>
            </c:strRef>
          </c:tx>
          <c:spPr>
            <a:ln w="19050" cap="rnd">
              <a:solidFill>
                <a:schemeClr val="accent1">
                  <a:lumMod val="70000"/>
                </a:schemeClr>
              </a:solidFill>
              <a:round/>
            </a:ln>
            <a:effectLst/>
          </c:spPr>
          <c:marker>
            <c:symbol val="circle"/>
            <c:size val="5"/>
            <c:spPr>
              <a:solidFill>
                <a:schemeClr val="accent1">
                  <a:lumMod val="70000"/>
                </a:schemeClr>
              </a:solidFill>
              <a:ln w="9525">
                <a:solidFill>
                  <a:schemeClr val="accent1">
                    <a:lumMod val="7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MW'!$U$20:$AC$20</c:f>
              <c:numCache>
                <c:formatCode>0</c:formatCode>
                <c:ptCount val="9"/>
                <c:pt idx="0">
                  <c:v>0</c:v>
                </c:pt>
                <c:pt idx="1">
                  <c:v>0</c:v>
                </c:pt>
                <c:pt idx="2">
                  <c:v>0</c:v>
                </c:pt>
                <c:pt idx="3">
                  <c:v>0</c:v>
                </c:pt>
                <c:pt idx="4">
                  <c:v>310</c:v>
                </c:pt>
                <c:pt idx="5">
                  <c:v>0</c:v>
                </c:pt>
                <c:pt idx="6">
                  <c:v>0</c:v>
                </c:pt>
                <c:pt idx="7">
                  <c:v>0</c:v>
                </c:pt>
                <c:pt idx="8">
                  <c:v>97.75</c:v>
                </c:pt>
              </c:numCache>
            </c:numRef>
          </c:yVal>
          <c:smooth val="0"/>
          <c:extLst>
            <c:ext xmlns:c16="http://schemas.microsoft.com/office/drawing/2014/chart" uri="{C3380CC4-5D6E-409C-BE32-E72D297353CC}">
              <c16:uniqueId val="{00000029-B746-4806-96C7-F5F42A200087}"/>
            </c:ext>
          </c:extLst>
        </c:ser>
        <c:ser>
          <c:idx val="43"/>
          <c:order val="42"/>
          <c:tx>
            <c:strRef>
              <c:f>'Vestas turbines hist #'!$B$25</c:f>
              <c:strCache>
                <c:ptCount val="1"/>
                <c:pt idx="0">
                  <c:v>V60-850kW</c:v>
                </c:pt>
              </c:strCache>
            </c:strRef>
          </c:tx>
          <c:spPr>
            <a:ln w="19050" cap="rnd">
              <a:solidFill>
                <a:schemeClr val="accent2">
                  <a:lumMod val="70000"/>
                </a:schemeClr>
              </a:solidFill>
              <a:round/>
            </a:ln>
            <a:effectLst/>
          </c:spPr>
          <c:marker>
            <c:symbol val="circle"/>
            <c:size val="5"/>
            <c:spPr>
              <a:solidFill>
                <a:schemeClr val="accent2">
                  <a:lumMod val="70000"/>
                </a:schemeClr>
              </a:solidFill>
              <a:ln w="9525">
                <a:solidFill>
                  <a:schemeClr val="accent2">
                    <a:lumMod val="7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#'!$T$25:$AB$25</c:f>
            </c:numRef>
          </c:yVal>
          <c:smooth val="0"/>
          <c:extLst>
            <c:ext xmlns:c16="http://schemas.microsoft.com/office/drawing/2014/chart" uri="{C3380CC4-5D6E-409C-BE32-E72D297353CC}">
              <c16:uniqueId val="{0000002A-B746-4806-96C7-F5F42A200087}"/>
            </c:ext>
          </c:extLst>
        </c:ser>
        <c:ser>
          <c:idx val="44"/>
          <c:order val="43"/>
          <c:tx>
            <c:strRef>
              <c:f>'Vestas turbines hist #'!$B$26</c:f>
              <c:strCache>
                <c:ptCount val="1"/>
                <c:pt idx="0">
                  <c:v>V63-1.5MW</c:v>
                </c:pt>
              </c:strCache>
            </c:strRef>
          </c:tx>
          <c:spPr>
            <a:ln w="19050" cap="rnd">
              <a:solidFill>
                <a:schemeClr val="accent3">
                  <a:lumMod val="70000"/>
                </a:schemeClr>
              </a:solidFill>
              <a:round/>
            </a:ln>
            <a:effectLst/>
          </c:spPr>
          <c:marker>
            <c:symbol val="circle"/>
            <c:size val="5"/>
            <c:spPr>
              <a:solidFill>
                <a:schemeClr val="accent3">
                  <a:lumMod val="70000"/>
                </a:schemeClr>
              </a:solidFill>
              <a:ln w="9525">
                <a:solidFill>
                  <a:schemeClr val="accent3">
                    <a:lumMod val="7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#'!$T$26:$AB$26</c:f>
            </c:numRef>
          </c:yVal>
          <c:smooth val="0"/>
          <c:extLst>
            <c:ext xmlns:c16="http://schemas.microsoft.com/office/drawing/2014/chart" uri="{C3380CC4-5D6E-409C-BE32-E72D297353CC}">
              <c16:uniqueId val="{0000002B-B746-4806-96C7-F5F42A200087}"/>
            </c:ext>
          </c:extLst>
        </c:ser>
        <c:ser>
          <c:idx val="45"/>
          <c:order val="44"/>
          <c:tx>
            <c:strRef>
              <c:f>'Vestas turbines hist #'!$B$27</c:f>
              <c:strCache>
                <c:ptCount val="1"/>
                <c:pt idx="0">
                  <c:v>V66-1.65MW</c:v>
                </c:pt>
              </c:strCache>
            </c:strRef>
          </c:tx>
          <c:spPr>
            <a:ln w="19050" cap="rnd">
              <a:solidFill>
                <a:schemeClr val="accent4">
                  <a:lumMod val="70000"/>
                </a:schemeClr>
              </a:solidFill>
              <a:round/>
            </a:ln>
            <a:effectLst/>
          </c:spPr>
          <c:marker>
            <c:symbol val="circle"/>
            <c:size val="5"/>
            <c:spPr>
              <a:solidFill>
                <a:schemeClr val="accent4">
                  <a:lumMod val="70000"/>
                </a:schemeClr>
              </a:solidFill>
              <a:ln w="9525">
                <a:solidFill>
                  <a:schemeClr val="accent4">
                    <a:lumMod val="7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#'!$T$27:$AB$27</c:f>
            </c:numRef>
          </c:yVal>
          <c:smooth val="0"/>
          <c:extLst>
            <c:ext xmlns:c16="http://schemas.microsoft.com/office/drawing/2014/chart" uri="{C3380CC4-5D6E-409C-BE32-E72D297353CC}">
              <c16:uniqueId val="{0000002C-B746-4806-96C7-F5F42A200087}"/>
            </c:ext>
          </c:extLst>
        </c:ser>
        <c:ser>
          <c:idx val="46"/>
          <c:order val="45"/>
          <c:tx>
            <c:strRef>
              <c:f>'Vestas turbines hist #'!$B$28</c:f>
              <c:strCache>
                <c:ptCount val="1"/>
                <c:pt idx="0">
                  <c:v>V66-1.75MW</c:v>
                </c:pt>
              </c:strCache>
            </c:strRef>
          </c:tx>
          <c:spPr>
            <a:ln w="19050" cap="rnd">
              <a:solidFill>
                <a:schemeClr val="accent5">
                  <a:lumMod val="70000"/>
                </a:schemeClr>
              </a:solidFill>
              <a:round/>
            </a:ln>
            <a:effectLst/>
          </c:spPr>
          <c:marker>
            <c:symbol val="circle"/>
            <c:size val="5"/>
            <c:spPr>
              <a:solidFill>
                <a:schemeClr val="accent5">
                  <a:lumMod val="70000"/>
                </a:schemeClr>
              </a:solidFill>
              <a:ln w="9525">
                <a:solidFill>
                  <a:schemeClr val="accent5">
                    <a:lumMod val="7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#'!$T$28:$AB$28</c:f>
            </c:numRef>
          </c:yVal>
          <c:smooth val="0"/>
          <c:extLst>
            <c:ext xmlns:c16="http://schemas.microsoft.com/office/drawing/2014/chart" uri="{C3380CC4-5D6E-409C-BE32-E72D297353CC}">
              <c16:uniqueId val="{0000002D-B746-4806-96C7-F5F42A200087}"/>
            </c:ext>
          </c:extLst>
        </c:ser>
        <c:ser>
          <c:idx val="47"/>
          <c:order val="46"/>
          <c:tx>
            <c:strRef>
              <c:f>'Vestas turbines hist #'!$B$29</c:f>
              <c:strCache>
                <c:ptCount val="1"/>
                <c:pt idx="0">
                  <c:v>V66-2MW</c:v>
                </c:pt>
              </c:strCache>
            </c:strRef>
          </c:tx>
          <c:spPr>
            <a:ln w="19050" cap="rnd">
              <a:solidFill>
                <a:schemeClr val="accent6">
                  <a:lumMod val="70000"/>
                </a:schemeClr>
              </a:solidFill>
              <a:round/>
            </a:ln>
            <a:effectLst/>
          </c:spPr>
          <c:marker>
            <c:symbol val="circle"/>
            <c:size val="5"/>
            <c:spPr>
              <a:solidFill>
                <a:schemeClr val="accent6">
                  <a:lumMod val="70000"/>
                </a:schemeClr>
              </a:solidFill>
              <a:ln w="9525">
                <a:solidFill>
                  <a:schemeClr val="accent6">
                    <a:lumMod val="7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#'!$T$29:$AB$29</c:f>
            </c:numRef>
          </c:yVal>
          <c:smooth val="0"/>
          <c:extLst>
            <c:ext xmlns:c16="http://schemas.microsoft.com/office/drawing/2014/chart" uri="{C3380CC4-5D6E-409C-BE32-E72D297353CC}">
              <c16:uniqueId val="{0000002E-B746-4806-96C7-F5F42A200087}"/>
            </c:ext>
          </c:extLst>
        </c:ser>
        <c:ser>
          <c:idx val="48"/>
          <c:order val="47"/>
          <c:tx>
            <c:strRef>
              <c:f>'Vestas turbines hist #'!$B$30</c:f>
              <c:strCache>
                <c:ptCount val="1"/>
                <c:pt idx="0">
                  <c:v>V70-1.65MW</c:v>
                </c:pt>
              </c:strCache>
            </c:strRef>
          </c:tx>
          <c:spPr>
            <a:ln w="19050" cap="rnd">
              <a:solidFill>
                <a:schemeClr val="accent1">
                  <a:lumMod val="50000"/>
                  <a:lumOff val="50000"/>
                </a:schemeClr>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#'!$T$30:$AB$30</c:f>
            </c:numRef>
          </c:yVal>
          <c:smooth val="0"/>
          <c:extLst>
            <c:ext xmlns:c16="http://schemas.microsoft.com/office/drawing/2014/chart" uri="{C3380CC4-5D6E-409C-BE32-E72D297353CC}">
              <c16:uniqueId val="{0000002F-B746-4806-96C7-F5F42A200087}"/>
            </c:ext>
          </c:extLst>
        </c:ser>
        <c:ser>
          <c:idx val="49"/>
          <c:order val="48"/>
          <c:tx>
            <c:strRef>
              <c:f>'Vestas turbines hist #'!$B$31</c:f>
              <c:strCache>
                <c:ptCount val="1"/>
                <c:pt idx="0">
                  <c:v>V80-1.8MW</c:v>
                </c:pt>
              </c:strCache>
            </c:strRef>
          </c:tx>
          <c:spPr>
            <a:ln w="19050" cap="rnd">
              <a:solidFill>
                <a:schemeClr val="accent2">
                  <a:lumMod val="50000"/>
                  <a:lumOff val="50000"/>
                </a:schemeClr>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#'!$T$31:$AB$31</c:f>
            </c:numRef>
          </c:yVal>
          <c:smooth val="0"/>
          <c:extLst>
            <c:ext xmlns:c16="http://schemas.microsoft.com/office/drawing/2014/chart" uri="{C3380CC4-5D6E-409C-BE32-E72D297353CC}">
              <c16:uniqueId val="{00000030-B746-4806-96C7-F5F42A200087}"/>
            </c:ext>
          </c:extLst>
        </c:ser>
        <c:ser>
          <c:idx val="50"/>
          <c:order val="49"/>
          <c:tx>
            <c:strRef>
              <c:f>'Vestas turbines hist MW'!$B$28</c:f>
              <c:strCache>
                <c:ptCount val="1"/>
                <c:pt idx="0">
                  <c:v>V80-2.0MW</c:v>
                </c:pt>
              </c:strCache>
            </c:strRef>
          </c:tx>
          <c:spPr>
            <a:ln w="19050" cap="rnd">
              <a:solidFill>
                <a:schemeClr val="accent3">
                  <a:lumMod val="50000"/>
                  <a:lumOff val="50000"/>
                </a:schemeClr>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MW'!$U$28:$AC$28</c:f>
              <c:numCache>
                <c:formatCode>0</c:formatCode>
                <c:ptCount val="9"/>
                <c:pt idx="0">
                  <c:v>0</c:v>
                </c:pt>
                <c:pt idx="1">
                  <c:v>0</c:v>
                </c:pt>
                <c:pt idx="2">
                  <c:v>0</c:v>
                </c:pt>
                <c:pt idx="3">
                  <c:v>0</c:v>
                </c:pt>
                <c:pt idx="4">
                  <c:v>68</c:v>
                </c:pt>
                <c:pt idx="5">
                  <c:v>0</c:v>
                </c:pt>
                <c:pt idx="6">
                  <c:v>94</c:v>
                </c:pt>
                <c:pt idx="7">
                  <c:v>146</c:v>
                </c:pt>
                <c:pt idx="8">
                  <c:v>114</c:v>
                </c:pt>
              </c:numCache>
            </c:numRef>
          </c:yVal>
          <c:smooth val="0"/>
          <c:extLst>
            <c:ext xmlns:c16="http://schemas.microsoft.com/office/drawing/2014/chart" uri="{C3380CC4-5D6E-409C-BE32-E72D297353CC}">
              <c16:uniqueId val="{00000031-B746-4806-96C7-F5F42A200087}"/>
            </c:ext>
          </c:extLst>
        </c:ser>
        <c:ser>
          <c:idx val="51"/>
          <c:order val="50"/>
          <c:tx>
            <c:strRef>
              <c:f>'Vestas turbines hist #'!$B$33</c:f>
              <c:strCache>
                <c:ptCount val="1"/>
                <c:pt idx="0">
                  <c:v>V82-1.5MW</c:v>
                </c:pt>
              </c:strCache>
            </c:strRef>
          </c:tx>
          <c:spPr>
            <a:ln w="19050" cap="rnd">
              <a:solidFill>
                <a:schemeClr val="accent4">
                  <a:lumMod val="50000"/>
                  <a:lumOff val="50000"/>
                </a:schemeClr>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#'!$T$33:$AB$33</c:f>
              <c:numCache>
                <c:formatCode>0</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32-B746-4806-96C7-F5F42A200087}"/>
            </c:ext>
          </c:extLst>
        </c:ser>
        <c:ser>
          <c:idx val="52"/>
          <c:order val="51"/>
          <c:tx>
            <c:strRef>
              <c:f>'Vestas turbines hist MW'!$B$30</c:f>
              <c:strCache>
                <c:ptCount val="1"/>
                <c:pt idx="0">
                  <c:v>V82-1.65MW</c:v>
                </c:pt>
              </c:strCache>
            </c:strRef>
          </c:tx>
          <c:spPr>
            <a:ln w="19050" cap="rnd">
              <a:solidFill>
                <a:schemeClr val="accent5">
                  <a:lumMod val="50000"/>
                  <a:lumOff val="50000"/>
                </a:schemeClr>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MW'!$U$30:$AC$30</c:f>
              <c:numCache>
                <c:formatCode>0</c:formatCode>
                <c:ptCount val="9"/>
                <c:pt idx="0">
                  <c:v>0</c:v>
                </c:pt>
                <c:pt idx="1">
                  <c:v>0</c:v>
                </c:pt>
                <c:pt idx="2">
                  <c:v>0</c:v>
                </c:pt>
                <c:pt idx="3">
                  <c:v>0</c:v>
                </c:pt>
                <c:pt idx="4">
                  <c:v>0</c:v>
                </c:pt>
                <c:pt idx="5">
                  <c:v>0</c:v>
                </c:pt>
                <c:pt idx="6">
                  <c:v>0</c:v>
                </c:pt>
                <c:pt idx="7">
                  <c:v>0</c:v>
                </c:pt>
                <c:pt idx="8">
                  <c:v>155.1</c:v>
                </c:pt>
              </c:numCache>
            </c:numRef>
          </c:yVal>
          <c:smooth val="0"/>
          <c:extLst>
            <c:ext xmlns:c16="http://schemas.microsoft.com/office/drawing/2014/chart" uri="{C3380CC4-5D6E-409C-BE32-E72D297353CC}">
              <c16:uniqueId val="{00000033-B746-4806-96C7-F5F42A200087}"/>
            </c:ext>
          </c:extLst>
        </c:ser>
        <c:ser>
          <c:idx val="53"/>
          <c:order val="52"/>
          <c:tx>
            <c:strRef>
              <c:f>'Vestas turbines hist MW'!$B$31</c:f>
              <c:strCache>
                <c:ptCount val="1"/>
                <c:pt idx="0">
                  <c:v>V90-1.8MW</c:v>
                </c:pt>
              </c:strCache>
            </c:strRef>
          </c:tx>
          <c:spPr>
            <a:ln w="19050" cap="rnd">
              <a:solidFill>
                <a:schemeClr val="accent6">
                  <a:lumMod val="50000"/>
                  <a:lumOff val="50000"/>
                </a:schemeClr>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MW'!$U$31:$AC$31</c:f>
              <c:numCache>
                <c:formatCode>0</c:formatCode>
                <c:ptCount val="9"/>
                <c:pt idx="0">
                  <c:v>0</c:v>
                </c:pt>
                <c:pt idx="1">
                  <c:v>0</c:v>
                </c:pt>
                <c:pt idx="2">
                  <c:v>0</c:v>
                </c:pt>
                <c:pt idx="3">
                  <c:v>0</c:v>
                </c:pt>
                <c:pt idx="4">
                  <c:v>0</c:v>
                </c:pt>
                <c:pt idx="5">
                  <c:v>0</c:v>
                </c:pt>
                <c:pt idx="6">
                  <c:v>0</c:v>
                </c:pt>
                <c:pt idx="7">
                  <c:v>617</c:v>
                </c:pt>
                <c:pt idx="8">
                  <c:v>768.6</c:v>
                </c:pt>
              </c:numCache>
            </c:numRef>
          </c:yVal>
          <c:smooth val="0"/>
          <c:extLst>
            <c:ext xmlns:c16="http://schemas.microsoft.com/office/drawing/2014/chart" uri="{C3380CC4-5D6E-409C-BE32-E72D297353CC}">
              <c16:uniqueId val="{00000034-B746-4806-96C7-F5F42A200087}"/>
            </c:ext>
          </c:extLst>
        </c:ser>
        <c:ser>
          <c:idx val="54"/>
          <c:order val="53"/>
          <c:tx>
            <c:strRef>
              <c:f>'Vestas turbines hist MW'!$B$32</c:f>
              <c:strCache>
                <c:ptCount val="1"/>
                <c:pt idx="0">
                  <c:v>V90-2.0MW</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MW'!$U$32:$AC$32</c:f>
              <c:numCache>
                <c:formatCode>0</c:formatCode>
                <c:ptCount val="9"/>
                <c:pt idx="0">
                  <c:v>0</c:v>
                </c:pt>
                <c:pt idx="1">
                  <c:v>0</c:v>
                </c:pt>
                <c:pt idx="2">
                  <c:v>0</c:v>
                </c:pt>
                <c:pt idx="3">
                  <c:v>98</c:v>
                </c:pt>
                <c:pt idx="4">
                  <c:v>42</c:v>
                </c:pt>
                <c:pt idx="5">
                  <c:v>405</c:v>
                </c:pt>
                <c:pt idx="6">
                  <c:v>302</c:v>
                </c:pt>
                <c:pt idx="7">
                  <c:v>746</c:v>
                </c:pt>
                <c:pt idx="8">
                  <c:v>830</c:v>
                </c:pt>
              </c:numCache>
            </c:numRef>
          </c:yVal>
          <c:smooth val="0"/>
          <c:extLst>
            <c:ext xmlns:c16="http://schemas.microsoft.com/office/drawing/2014/chart" uri="{C3380CC4-5D6E-409C-BE32-E72D297353CC}">
              <c16:uniqueId val="{00000035-B746-4806-96C7-F5F42A200087}"/>
            </c:ext>
          </c:extLst>
        </c:ser>
        <c:ser>
          <c:idx val="55"/>
          <c:order val="54"/>
          <c:tx>
            <c:strRef>
              <c:f>'Vestas turbines hist MW'!$B$33</c:f>
              <c:strCache>
                <c:ptCount val="1"/>
                <c:pt idx="0">
                  <c:v>V90-3.0MW</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MW'!$U$33:$AC$33</c:f>
              <c:numCache>
                <c:formatCode>0</c:formatCode>
                <c:ptCount val="9"/>
                <c:pt idx="0">
                  <c:v>0</c:v>
                </c:pt>
                <c:pt idx="1">
                  <c:v>0</c:v>
                </c:pt>
                <c:pt idx="2">
                  <c:v>120</c:v>
                </c:pt>
                <c:pt idx="3">
                  <c:v>87</c:v>
                </c:pt>
                <c:pt idx="4">
                  <c:v>183</c:v>
                </c:pt>
                <c:pt idx="5">
                  <c:v>129</c:v>
                </c:pt>
                <c:pt idx="6">
                  <c:v>624</c:v>
                </c:pt>
                <c:pt idx="7">
                  <c:v>579</c:v>
                </c:pt>
                <c:pt idx="8">
                  <c:v>1026</c:v>
                </c:pt>
              </c:numCache>
            </c:numRef>
          </c:yVal>
          <c:smooth val="0"/>
          <c:extLst>
            <c:ext xmlns:c16="http://schemas.microsoft.com/office/drawing/2014/chart" uri="{C3380CC4-5D6E-409C-BE32-E72D297353CC}">
              <c16:uniqueId val="{00000036-B746-4806-96C7-F5F42A200087}"/>
            </c:ext>
          </c:extLst>
        </c:ser>
        <c:ser>
          <c:idx val="9"/>
          <c:order val="55"/>
          <c:tx>
            <c:strRef>
              <c:f>'Vestas turbines hist #'!$B$38</c:f>
              <c:strCache>
                <c:ptCount val="1"/>
                <c:pt idx="0">
                  <c:v>V90-3MW</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xVal>
          <c:yVal>
            <c:numRef>
              <c:f>'Vestas turbines hist #'!$T$38:$AB$38</c:f>
              <c:numCache>
                <c:formatCode>0</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37-B746-4806-96C7-F5F42A200087}"/>
            </c:ext>
          </c:extLst>
        </c:ser>
        <c:dLbls>
          <c:showLegendKey val="0"/>
          <c:showVal val="0"/>
          <c:showCatName val="0"/>
          <c:showSerName val="0"/>
          <c:showPercent val="0"/>
          <c:showBubbleSize val="0"/>
        </c:dLbls>
        <c:axId val="187170432"/>
        <c:axId val="187170824"/>
      </c:scatterChart>
      <c:valAx>
        <c:axId val="18717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0824"/>
        <c:crosses val="autoZero"/>
        <c:crossBetween val="midCat"/>
      </c:valAx>
      <c:valAx>
        <c:axId val="187170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04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stacked"/>
        <c:varyColors val="0"/>
        <c:ser>
          <c:idx val="0"/>
          <c:order val="0"/>
          <c:tx>
            <c:strRef>
              <c:f>'Vestas turbines hist MW'!$B$35</c:f>
              <c:strCache>
                <c:ptCount val="1"/>
                <c:pt idx="0">
                  <c:v>V100-1.8MW</c:v>
                </c:pt>
              </c:strCache>
            </c:strRef>
          </c:tx>
          <c:spPr>
            <a:solidFill>
              <a:schemeClr val="accent1"/>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MW'!$U$35:$AC$35</c:f>
              <c:numCache>
                <c:formatCode>0</c:formatCode>
                <c:ptCount val="9"/>
                <c:pt idx="0">
                  <c:v>0</c:v>
                </c:pt>
                <c:pt idx="1">
                  <c:v>0</c:v>
                </c:pt>
                <c:pt idx="2">
                  <c:v>27</c:v>
                </c:pt>
                <c:pt idx="3">
                  <c:v>126</c:v>
                </c:pt>
                <c:pt idx="4">
                  <c:v>0</c:v>
                </c:pt>
                <c:pt idx="5">
                  <c:v>381.8</c:v>
                </c:pt>
                <c:pt idx="6">
                  <c:v>293.40000000000003</c:v>
                </c:pt>
                <c:pt idx="7">
                  <c:v>676.80000000000007</c:v>
                </c:pt>
                <c:pt idx="8">
                  <c:v>453.6</c:v>
                </c:pt>
              </c:numCache>
            </c:numRef>
          </c:val>
          <c:extLst>
            <c:ext xmlns:c16="http://schemas.microsoft.com/office/drawing/2014/chart" uri="{C3380CC4-5D6E-409C-BE32-E72D297353CC}">
              <c16:uniqueId val="{00000000-4667-4EB3-A7C9-87883E8016E2}"/>
            </c:ext>
          </c:extLst>
        </c:ser>
        <c:ser>
          <c:idx val="1"/>
          <c:order val="1"/>
          <c:tx>
            <c:strRef>
              <c:f>'Vestas turbines hist MW'!$B$36</c:f>
              <c:strCache>
                <c:ptCount val="1"/>
                <c:pt idx="0">
                  <c:v>V100-2.0MW</c:v>
                </c:pt>
              </c:strCache>
            </c:strRef>
          </c:tx>
          <c:spPr>
            <a:solidFill>
              <a:schemeClr val="accent2"/>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MW'!$U$36:$AC$36</c:f>
              <c:numCache>
                <c:formatCode>0</c:formatCode>
                <c:ptCount val="9"/>
                <c:pt idx="0">
                  <c:v>282</c:v>
                </c:pt>
                <c:pt idx="1">
                  <c:v>144</c:v>
                </c:pt>
                <c:pt idx="2">
                  <c:v>208</c:v>
                </c:pt>
                <c:pt idx="3">
                  <c:v>972</c:v>
                </c:pt>
                <c:pt idx="4">
                  <c:v>1318</c:v>
                </c:pt>
                <c:pt idx="5">
                  <c:v>890</c:v>
                </c:pt>
                <c:pt idx="6">
                  <c:v>36</c:v>
                </c:pt>
                <c:pt idx="7">
                  <c:v>0</c:v>
                </c:pt>
                <c:pt idx="8">
                  <c:v>0</c:v>
                </c:pt>
              </c:numCache>
            </c:numRef>
          </c:val>
          <c:extLst>
            <c:ext xmlns:c16="http://schemas.microsoft.com/office/drawing/2014/chart" uri="{C3380CC4-5D6E-409C-BE32-E72D297353CC}">
              <c16:uniqueId val="{00000001-4667-4EB3-A7C9-87883E8016E2}"/>
            </c:ext>
          </c:extLst>
        </c:ser>
        <c:ser>
          <c:idx val="2"/>
          <c:order val="2"/>
          <c:tx>
            <c:strRef>
              <c:f>'Vestas turbines hist MW'!$B$37</c:f>
              <c:strCache>
                <c:ptCount val="1"/>
                <c:pt idx="0">
                  <c:v>V100-2.6MW</c:v>
                </c:pt>
              </c:strCache>
            </c:strRef>
          </c:tx>
          <c:spPr>
            <a:solidFill>
              <a:schemeClr val="accent3"/>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MW'!$U$37:$AC$37</c:f>
              <c:numCache>
                <c:formatCode>0</c:formatCode>
                <c:ptCount val="9"/>
                <c:pt idx="0">
                  <c:v>0</c:v>
                </c:pt>
                <c:pt idx="1">
                  <c:v>0</c:v>
                </c:pt>
                <c:pt idx="2">
                  <c:v>0</c:v>
                </c:pt>
                <c:pt idx="3">
                  <c:v>0</c:v>
                </c:pt>
                <c:pt idx="4">
                  <c:v>0</c:v>
                </c:pt>
                <c:pt idx="5">
                  <c:v>62.400000000000006</c:v>
                </c:pt>
                <c:pt idx="6">
                  <c:v>54.6</c:v>
                </c:pt>
                <c:pt idx="7">
                  <c:v>78</c:v>
                </c:pt>
                <c:pt idx="8">
                  <c:v>0</c:v>
                </c:pt>
              </c:numCache>
            </c:numRef>
          </c:val>
          <c:extLst>
            <c:ext xmlns:c16="http://schemas.microsoft.com/office/drawing/2014/chart" uri="{C3380CC4-5D6E-409C-BE32-E72D297353CC}">
              <c16:uniqueId val="{00000002-4667-4EB3-A7C9-87883E8016E2}"/>
            </c:ext>
          </c:extLst>
        </c:ser>
        <c:ser>
          <c:idx val="3"/>
          <c:order val="3"/>
          <c:tx>
            <c:strRef>
              <c:f>'Vestas turbines hist #'!$B$42</c:f>
              <c:strCache>
                <c:ptCount val="1"/>
                <c:pt idx="0">
                  <c:v>V100-2.75MW</c:v>
                </c:pt>
              </c:strCache>
            </c:strRef>
          </c:tx>
          <c:spPr>
            <a:solidFill>
              <a:schemeClr val="accent4"/>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#'!$T$42:$AB$42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4667-4EB3-A7C9-87883E8016E2}"/>
            </c:ext>
          </c:extLst>
        </c:ser>
        <c:ser>
          <c:idx val="4"/>
          <c:order val="4"/>
          <c:tx>
            <c:strRef>
              <c:f>'Vestas turbines hist #'!$B$43</c:f>
              <c:strCache>
                <c:ptCount val="1"/>
                <c:pt idx="0">
                  <c:v>V105-3.3MW</c:v>
                </c:pt>
              </c:strCache>
            </c:strRef>
          </c:tx>
          <c:spPr>
            <a:solidFill>
              <a:schemeClr val="accent5"/>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#'!$T$43:$AB$43</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4-4667-4EB3-A7C9-87883E8016E2}"/>
            </c:ext>
          </c:extLst>
        </c:ser>
        <c:ser>
          <c:idx val="5"/>
          <c:order val="5"/>
          <c:tx>
            <c:strRef>
              <c:f>'Vestas turbines hist MW'!$B$40</c:f>
              <c:strCache>
                <c:ptCount val="1"/>
                <c:pt idx="0">
                  <c:v>V105-3.45MW</c:v>
                </c:pt>
              </c:strCache>
            </c:strRef>
          </c:tx>
          <c:spPr>
            <a:solidFill>
              <a:schemeClr val="accent6"/>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MW'!$U$40:$AC$40</c:f>
              <c:numCache>
                <c:formatCode>0</c:formatCode>
                <c:ptCount val="9"/>
                <c:pt idx="0">
                  <c:v>0</c:v>
                </c:pt>
                <c:pt idx="1">
                  <c:v>109.41666666666667</c:v>
                </c:pt>
                <c:pt idx="2">
                  <c:v>31</c:v>
                </c:pt>
                <c:pt idx="3">
                  <c:v>0</c:v>
                </c:pt>
                <c:pt idx="4">
                  <c:v>0</c:v>
                </c:pt>
                <c:pt idx="5">
                  <c:v>0</c:v>
                </c:pt>
                <c:pt idx="6">
                  <c:v>0</c:v>
                </c:pt>
                <c:pt idx="7">
                  <c:v>0</c:v>
                </c:pt>
                <c:pt idx="8">
                  <c:v>0</c:v>
                </c:pt>
              </c:numCache>
            </c:numRef>
          </c:val>
          <c:extLst>
            <c:ext xmlns:c16="http://schemas.microsoft.com/office/drawing/2014/chart" uri="{C3380CC4-5D6E-409C-BE32-E72D297353CC}">
              <c16:uniqueId val="{00000005-4667-4EB3-A7C9-87883E8016E2}"/>
            </c:ext>
          </c:extLst>
        </c:ser>
        <c:ser>
          <c:idx val="6"/>
          <c:order val="6"/>
          <c:tx>
            <c:strRef>
              <c:f>'Vestas turbines hist #'!$B$45</c:f>
              <c:strCache>
                <c:ptCount val="1"/>
                <c:pt idx="0">
                  <c:v>V105-3.6MW</c:v>
                </c:pt>
              </c:strCache>
            </c:strRef>
          </c:tx>
          <c:spPr>
            <a:solidFill>
              <a:schemeClr val="accent1">
                <a:lumMod val="6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#'!$T$45:$AB$45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6-4667-4EB3-A7C9-87883E8016E2}"/>
            </c:ext>
          </c:extLst>
        </c:ser>
        <c:ser>
          <c:idx val="7"/>
          <c:order val="7"/>
          <c:tx>
            <c:strRef>
              <c:f>'Vestas turbines hist MW'!$B$42</c:f>
              <c:strCache>
                <c:ptCount val="1"/>
                <c:pt idx="0">
                  <c:v>V110-2.0MW</c:v>
                </c:pt>
              </c:strCache>
            </c:strRef>
          </c:tx>
          <c:spPr>
            <a:solidFill>
              <a:schemeClr val="accent2">
                <a:lumMod val="6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MW'!$U$42:$AC$42</c:f>
              <c:numCache>
                <c:formatCode>0</c:formatCode>
                <c:ptCount val="9"/>
                <c:pt idx="0">
                  <c:v>720.18181818181824</c:v>
                </c:pt>
                <c:pt idx="1">
                  <c:v>2819</c:v>
                </c:pt>
                <c:pt idx="2">
                  <c:v>2708.7272727272725</c:v>
                </c:pt>
                <c:pt idx="3">
                  <c:v>1720</c:v>
                </c:pt>
                <c:pt idx="4">
                  <c:v>672</c:v>
                </c:pt>
                <c:pt idx="5">
                  <c:v>590</c:v>
                </c:pt>
                <c:pt idx="6">
                  <c:v>0</c:v>
                </c:pt>
                <c:pt idx="7">
                  <c:v>0</c:v>
                </c:pt>
                <c:pt idx="8">
                  <c:v>0</c:v>
                </c:pt>
              </c:numCache>
            </c:numRef>
          </c:val>
          <c:extLst>
            <c:ext xmlns:c16="http://schemas.microsoft.com/office/drawing/2014/chart" uri="{C3380CC4-5D6E-409C-BE32-E72D297353CC}">
              <c16:uniqueId val="{00000007-4667-4EB3-A7C9-87883E8016E2}"/>
            </c:ext>
          </c:extLst>
        </c:ser>
        <c:ser>
          <c:idx val="8"/>
          <c:order val="8"/>
          <c:tx>
            <c:strRef>
              <c:f>'Vestas turbines hist MW'!$B$43</c:f>
              <c:strCache>
                <c:ptCount val="1"/>
                <c:pt idx="0">
                  <c:v>V112-3.0MW</c:v>
                </c:pt>
              </c:strCache>
            </c:strRef>
          </c:tx>
          <c:spPr>
            <a:solidFill>
              <a:schemeClr val="accent3">
                <a:lumMod val="6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MW'!$U$43:$AC$43</c:f>
              <c:numCache>
                <c:formatCode>0</c:formatCode>
                <c:ptCount val="9"/>
                <c:pt idx="0">
                  <c:v>57</c:v>
                </c:pt>
                <c:pt idx="1">
                  <c:v>0</c:v>
                </c:pt>
                <c:pt idx="2">
                  <c:v>0</c:v>
                </c:pt>
                <c:pt idx="3">
                  <c:v>36</c:v>
                </c:pt>
                <c:pt idx="4">
                  <c:v>292</c:v>
                </c:pt>
                <c:pt idx="5">
                  <c:v>1134</c:v>
                </c:pt>
                <c:pt idx="6">
                  <c:v>336</c:v>
                </c:pt>
                <c:pt idx="7">
                  <c:v>750</c:v>
                </c:pt>
                <c:pt idx="8">
                  <c:v>600</c:v>
                </c:pt>
              </c:numCache>
            </c:numRef>
          </c:val>
          <c:extLst>
            <c:ext xmlns:c16="http://schemas.microsoft.com/office/drawing/2014/chart" uri="{C3380CC4-5D6E-409C-BE32-E72D297353CC}">
              <c16:uniqueId val="{00000008-4667-4EB3-A7C9-87883E8016E2}"/>
            </c:ext>
          </c:extLst>
        </c:ser>
        <c:ser>
          <c:idx val="9"/>
          <c:order val="9"/>
          <c:tx>
            <c:strRef>
              <c:f>'Vestas turbines hist MW'!$B$44</c:f>
              <c:strCache>
                <c:ptCount val="1"/>
                <c:pt idx="0">
                  <c:v>V112-3.075MW</c:v>
                </c:pt>
              </c:strCache>
            </c:strRef>
          </c:tx>
          <c:spPr>
            <a:solidFill>
              <a:schemeClr val="accent4">
                <a:lumMod val="6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MW'!$U$44:$AC$44</c:f>
              <c:numCache>
                <c:formatCode>0</c:formatCode>
                <c:ptCount val="9"/>
                <c:pt idx="0">
                  <c:v>0</c:v>
                </c:pt>
                <c:pt idx="1">
                  <c:v>0</c:v>
                </c:pt>
                <c:pt idx="2">
                  <c:v>0</c:v>
                </c:pt>
                <c:pt idx="3">
                  <c:v>40</c:v>
                </c:pt>
                <c:pt idx="4">
                  <c:v>0</c:v>
                </c:pt>
                <c:pt idx="5">
                  <c:v>0</c:v>
                </c:pt>
                <c:pt idx="6">
                  <c:v>0</c:v>
                </c:pt>
                <c:pt idx="7">
                  <c:v>0</c:v>
                </c:pt>
                <c:pt idx="8">
                  <c:v>0</c:v>
                </c:pt>
              </c:numCache>
            </c:numRef>
          </c:val>
          <c:extLst>
            <c:ext xmlns:c16="http://schemas.microsoft.com/office/drawing/2014/chart" uri="{C3380CC4-5D6E-409C-BE32-E72D297353CC}">
              <c16:uniqueId val="{00000009-4667-4EB3-A7C9-87883E8016E2}"/>
            </c:ext>
          </c:extLst>
        </c:ser>
        <c:ser>
          <c:idx val="10"/>
          <c:order val="10"/>
          <c:tx>
            <c:strRef>
              <c:f>'Vestas turbines hist MW'!$B$45</c:f>
              <c:strCache>
                <c:ptCount val="1"/>
                <c:pt idx="0">
                  <c:v>V112-3.3MW</c:v>
                </c:pt>
              </c:strCache>
            </c:strRef>
          </c:tx>
          <c:spPr>
            <a:solidFill>
              <a:schemeClr val="accent5">
                <a:lumMod val="6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MW'!$U$45:$AC$45</c:f>
              <c:numCache>
                <c:formatCode>0</c:formatCode>
                <c:ptCount val="9"/>
                <c:pt idx="0">
                  <c:v>0</c:v>
                </c:pt>
                <c:pt idx="1">
                  <c:v>86</c:v>
                </c:pt>
                <c:pt idx="2">
                  <c:v>115</c:v>
                </c:pt>
                <c:pt idx="3">
                  <c:v>700</c:v>
                </c:pt>
                <c:pt idx="4">
                  <c:v>660.19999999999993</c:v>
                </c:pt>
                <c:pt idx="5">
                  <c:v>294</c:v>
                </c:pt>
                <c:pt idx="6">
                  <c:v>0</c:v>
                </c:pt>
                <c:pt idx="7">
                  <c:v>0</c:v>
                </c:pt>
                <c:pt idx="8">
                  <c:v>0</c:v>
                </c:pt>
              </c:numCache>
            </c:numRef>
          </c:val>
          <c:extLst>
            <c:ext xmlns:c16="http://schemas.microsoft.com/office/drawing/2014/chart" uri="{C3380CC4-5D6E-409C-BE32-E72D297353CC}">
              <c16:uniqueId val="{0000000A-4667-4EB3-A7C9-87883E8016E2}"/>
            </c:ext>
          </c:extLst>
        </c:ser>
        <c:ser>
          <c:idx val="11"/>
          <c:order val="11"/>
          <c:tx>
            <c:strRef>
              <c:f>'Vestas turbines hist MW'!$B$46</c:f>
              <c:strCache>
                <c:ptCount val="1"/>
                <c:pt idx="0">
                  <c:v>V112-3.45MW</c:v>
                </c:pt>
              </c:strCache>
            </c:strRef>
          </c:tx>
          <c:spPr>
            <a:solidFill>
              <a:schemeClr val="accent6">
                <a:lumMod val="6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MW'!$U$46:$AC$46</c:f>
              <c:numCache>
                <c:formatCode>0</c:formatCode>
                <c:ptCount val="9"/>
                <c:pt idx="0">
                  <c:v>79.181818181818187</c:v>
                </c:pt>
                <c:pt idx="1">
                  <c:v>138.43333333333334</c:v>
                </c:pt>
                <c:pt idx="2">
                  <c:v>566.35</c:v>
                </c:pt>
                <c:pt idx="3">
                  <c:v>485.40299401197603</c:v>
                </c:pt>
                <c:pt idx="4">
                  <c:v>0</c:v>
                </c:pt>
                <c:pt idx="5">
                  <c:v>0</c:v>
                </c:pt>
                <c:pt idx="6">
                  <c:v>0</c:v>
                </c:pt>
                <c:pt idx="7">
                  <c:v>0</c:v>
                </c:pt>
                <c:pt idx="8">
                  <c:v>0</c:v>
                </c:pt>
              </c:numCache>
            </c:numRef>
          </c:val>
          <c:extLst>
            <c:ext xmlns:c16="http://schemas.microsoft.com/office/drawing/2014/chart" uri="{C3380CC4-5D6E-409C-BE32-E72D297353CC}">
              <c16:uniqueId val="{0000000B-4667-4EB3-A7C9-87883E8016E2}"/>
            </c:ext>
          </c:extLst>
        </c:ser>
        <c:ser>
          <c:idx val="12"/>
          <c:order val="12"/>
          <c:tx>
            <c:strRef>
              <c:f>'Vestas turbines hist #'!$B$52</c:f>
              <c:strCache>
                <c:ptCount val="1"/>
                <c:pt idx="0">
                  <c:v>V112-3.6MW</c:v>
                </c:pt>
              </c:strCache>
            </c:strRef>
          </c:tx>
          <c:spPr>
            <a:solidFill>
              <a:schemeClr val="accent1">
                <a:lumMod val="80000"/>
                <a:lumOff val="2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#'!$T$52:$AB$52</c:f>
            </c:numRef>
          </c:val>
          <c:extLst>
            <c:ext xmlns:c16="http://schemas.microsoft.com/office/drawing/2014/chart" uri="{C3380CC4-5D6E-409C-BE32-E72D297353CC}">
              <c16:uniqueId val="{0000000C-4667-4EB3-A7C9-87883E8016E2}"/>
            </c:ext>
          </c:extLst>
        </c:ser>
        <c:ser>
          <c:idx val="13"/>
          <c:order val="13"/>
          <c:tx>
            <c:strRef>
              <c:f>'Vestas turbines hist MW'!$B$48</c:f>
              <c:strCache>
                <c:ptCount val="1"/>
                <c:pt idx="0">
                  <c:v>V116-2.0MW</c:v>
                </c:pt>
              </c:strCache>
            </c:strRef>
          </c:tx>
          <c:spPr>
            <a:solidFill>
              <a:schemeClr val="accent2">
                <a:lumMod val="80000"/>
                <a:lumOff val="2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MW'!$U$48:$AC$48</c:f>
              <c:numCache>
                <c:formatCode>0</c:formatCode>
                <c:ptCount val="9"/>
                <c:pt idx="0">
                  <c:v>432</c:v>
                </c:pt>
                <c:pt idx="1">
                  <c:v>66</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D-4667-4EB3-A7C9-87883E8016E2}"/>
            </c:ext>
          </c:extLst>
        </c:ser>
        <c:ser>
          <c:idx val="14"/>
          <c:order val="14"/>
          <c:tx>
            <c:strRef>
              <c:f>'Vestas turbines hist MW'!$B$49</c:f>
              <c:strCache>
                <c:ptCount val="1"/>
                <c:pt idx="0">
                  <c:v>V117-3.3MW</c:v>
                </c:pt>
              </c:strCache>
            </c:strRef>
          </c:tx>
          <c:spPr>
            <a:solidFill>
              <a:schemeClr val="accent3">
                <a:lumMod val="80000"/>
                <a:lumOff val="2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MW'!$U$49:$AC$49</c:f>
              <c:numCache>
                <c:formatCode>0</c:formatCode>
                <c:ptCount val="9"/>
                <c:pt idx="0">
                  <c:v>33</c:v>
                </c:pt>
                <c:pt idx="1">
                  <c:v>0</c:v>
                </c:pt>
                <c:pt idx="2">
                  <c:v>178</c:v>
                </c:pt>
                <c:pt idx="3">
                  <c:v>1205.9999999999998</c:v>
                </c:pt>
                <c:pt idx="4">
                  <c:v>62.699999999999996</c:v>
                </c:pt>
                <c:pt idx="5">
                  <c:v>0</c:v>
                </c:pt>
                <c:pt idx="6">
                  <c:v>0</c:v>
                </c:pt>
                <c:pt idx="7">
                  <c:v>0</c:v>
                </c:pt>
                <c:pt idx="8">
                  <c:v>0</c:v>
                </c:pt>
              </c:numCache>
            </c:numRef>
          </c:val>
          <c:extLst>
            <c:ext xmlns:c16="http://schemas.microsoft.com/office/drawing/2014/chart" uri="{C3380CC4-5D6E-409C-BE32-E72D297353CC}">
              <c16:uniqueId val="{0000000E-4667-4EB3-A7C9-87883E8016E2}"/>
            </c:ext>
          </c:extLst>
        </c:ser>
        <c:ser>
          <c:idx val="15"/>
          <c:order val="15"/>
          <c:tx>
            <c:strRef>
              <c:f>'Vestas turbines hist MW'!$B$50</c:f>
              <c:strCache>
                <c:ptCount val="1"/>
                <c:pt idx="0">
                  <c:v>V117-3.45MW</c:v>
                </c:pt>
              </c:strCache>
            </c:strRef>
          </c:tx>
          <c:spPr>
            <a:solidFill>
              <a:schemeClr val="accent4">
                <a:lumMod val="80000"/>
                <a:lumOff val="2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MW'!$U$50:$AC$50</c:f>
              <c:numCache>
                <c:formatCode>0</c:formatCode>
                <c:ptCount val="9"/>
                <c:pt idx="0">
                  <c:v>614.625</c:v>
                </c:pt>
                <c:pt idx="1">
                  <c:v>230.91666666666666</c:v>
                </c:pt>
                <c:pt idx="2">
                  <c:v>1376.45</c:v>
                </c:pt>
                <c:pt idx="3">
                  <c:v>103.5</c:v>
                </c:pt>
                <c:pt idx="4">
                  <c:v>0</c:v>
                </c:pt>
                <c:pt idx="5">
                  <c:v>0</c:v>
                </c:pt>
                <c:pt idx="6">
                  <c:v>0</c:v>
                </c:pt>
                <c:pt idx="7">
                  <c:v>0</c:v>
                </c:pt>
                <c:pt idx="8">
                  <c:v>0</c:v>
                </c:pt>
              </c:numCache>
            </c:numRef>
          </c:val>
          <c:extLst>
            <c:ext xmlns:c16="http://schemas.microsoft.com/office/drawing/2014/chart" uri="{C3380CC4-5D6E-409C-BE32-E72D297353CC}">
              <c16:uniqueId val="{0000000F-4667-4EB3-A7C9-87883E8016E2}"/>
            </c:ext>
          </c:extLst>
        </c:ser>
        <c:ser>
          <c:idx val="16"/>
          <c:order val="16"/>
          <c:tx>
            <c:strRef>
              <c:f>'Vestas turbines hist #'!$B$56</c:f>
              <c:strCache>
                <c:ptCount val="1"/>
                <c:pt idx="0">
                  <c:v>V117-4.2MW</c:v>
                </c:pt>
              </c:strCache>
            </c:strRef>
          </c:tx>
          <c:spPr>
            <a:solidFill>
              <a:schemeClr val="accent5">
                <a:lumMod val="80000"/>
                <a:lumOff val="2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#'!$T$56:$AB$56</c:f>
              <c:numCache>
                <c:formatCode>0</c:formatCode>
                <c:ptCount val="9"/>
                <c:pt idx="0">
                  <c:v>31</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0-4667-4EB3-A7C9-87883E8016E2}"/>
            </c:ext>
          </c:extLst>
        </c:ser>
        <c:ser>
          <c:idx val="17"/>
          <c:order val="17"/>
          <c:tx>
            <c:strRef>
              <c:f>'Vestas turbines hist MW'!$B$53</c:f>
              <c:strCache>
                <c:ptCount val="1"/>
                <c:pt idx="0">
                  <c:v>V120-2.0MW</c:v>
                </c:pt>
              </c:strCache>
            </c:strRef>
          </c:tx>
          <c:spPr>
            <a:solidFill>
              <a:schemeClr val="accent6">
                <a:lumMod val="80000"/>
                <a:lumOff val="2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MW'!$U$53:$AC$53</c:f>
              <c:numCache>
                <c:formatCode>0</c:formatCode>
                <c:ptCount val="9"/>
                <c:pt idx="0">
                  <c:v>390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1-4667-4EB3-A7C9-87883E8016E2}"/>
            </c:ext>
          </c:extLst>
        </c:ser>
        <c:ser>
          <c:idx val="18"/>
          <c:order val="18"/>
          <c:tx>
            <c:strRef>
              <c:f>'Vestas turbines hist MW'!$B$55</c:f>
              <c:strCache>
                <c:ptCount val="1"/>
                <c:pt idx="0">
                  <c:v>V126-3.0MW</c:v>
                </c:pt>
              </c:strCache>
            </c:strRef>
          </c:tx>
          <c:spPr>
            <a:solidFill>
              <a:schemeClr val="accent1">
                <a:lumMod val="8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MW'!$U$55:$AC$55</c:f>
              <c:numCache>
                <c:formatCode>0</c:formatCode>
                <c:ptCount val="9"/>
                <c:pt idx="0">
                  <c:v>0</c:v>
                </c:pt>
                <c:pt idx="1">
                  <c:v>0</c:v>
                </c:pt>
                <c:pt idx="2">
                  <c:v>0</c:v>
                </c:pt>
                <c:pt idx="3">
                  <c:v>0</c:v>
                </c:pt>
                <c:pt idx="4">
                  <c:v>0</c:v>
                </c:pt>
                <c:pt idx="5">
                  <c:v>0</c:v>
                </c:pt>
                <c:pt idx="6">
                  <c:v>9</c:v>
                </c:pt>
                <c:pt idx="7">
                  <c:v>0</c:v>
                </c:pt>
                <c:pt idx="8">
                  <c:v>0</c:v>
                </c:pt>
              </c:numCache>
            </c:numRef>
          </c:val>
          <c:extLst>
            <c:ext xmlns:c16="http://schemas.microsoft.com/office/drawing/2014/chart" uri="{C3380CC4-5D6E-409C-BE32-E72D297353CC}">
              <c16:uniqueId val="{00000012-4667-4EB3-A7C9-87883E8016E2}"/>
            </c:ext>
          </c:extLst>
        </c:ser>
        <c:ser>
          <c:idx val="19"/>
          <c:order val="19"/>
          <c:tx>
            <c:strRef>
              <c:f>'Vestas turbines hist MW'!$B$56</c:f>
              <c:strCache>
                <c:ptCount val="1"/>
                <c:pt idx="0">
                  <c:v>V126-3.3MW</c:v>
                </c:pt>
              </c:strCache>
            </c:strRef>
          </c:tx>
          <c:spPr>
            <a:solidFill>
              <a:schemeClr val="accent2">
                <a:lumMod val="8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MW'!$U$56:$AC$56</c:f>
              <c:numCache>
                <c:formatCode>0</c:formatCode>
                <c:ptCount val="9"/>
                <c:pt idx="0">
                  <c:v>0</c:v>
                </c:pt>
                <c:pt idx="1">
                  <c:v>73</c:v>
                </c:pt>
                <c:pt idx="2">
                  <c:v>194.00000000000003</c:v>
                </c:pt>
                <c:pt idx="3">
                  <c:v>721.99999999999989</c:v>
                </c:pt>
                <c:pt idx="4">
                  <c:v>323.7</c:v>
                </c:pt>
                <c:pt idx="5">
                  <c:v>0</c:v>
                </c:pt>
                <c:pt idx="6">
                  <c:v>0</c:v>
                </c:pt>
                <c:pt idx="7">
                  <c:v>0</c:v>
                </c:pt>
                <c:pt idx="8">
                  <c:v>0</c:v>
                </c:pt>
              </c:numCache>
            </c:numRef>
          </c:val>
          <c:extLst>
            <c:ext xmlns:c16="http://schemas.microsoft.com/office/drawing/2014/chart" uri="{C3380CC4-5D6E-409C-BE32-E72D297353CC}">
              <c16:uniqueId val="{00000013-4667-4EB3-A7C9-87883E8016E2}"/>
            </c:ext>
          </c:extLst>
        </c:ser>
        <c:ser>
          <c:idx val="20"/>
          <c:order val="20"/>
          <c:tx>
            <c:strRef>
              <c:f>'Vestas turbines hist MW'!$B$57</c:f>
              <c:strCache>
                <c:ptCount val="1"/>
                <c:pt idx="0">
                  <c:v>V126-3.45MW</c:v>
                </c:pt>
              </c:strCache>
            </c:strRef>
          </c:tx>
          <c:spPr>
            <a:solidFill>
              <a:schemeClr val="accent3">
                <a:lumMod val="8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MW'!$U$57:$AC$57</c:f>
              <c:numCache>
                <c:formatCode>0</c:formatCode>
                <c:ptCount val="9"/>
                <c:pt idx="0">
                  <c:v>793.8868421052631</c:v>
                </c:pt>
                <c:pt idx="1">
                  <c:v>1072.2833333333333</c:v>
                </c:pt>
                <c:pt idx="2">
                  <c:v>1210.6666666666665</c:v>
                </c:pt>
                <c:pt idx="3">
                  <c:v>93</c:v>
                </c:pt>
                <c:pt idx="4">
                  <c:v>0</c:v>
                </c:pt>
                <c:pt idx="5">
                  <c:v>0</c:v>
                </c:pt>
                <c:pt idx="6">
                  <c:v>0</c:v>
                </c:pt>
                <c:pt idx="7">
                  <c:v>0</c:v>
                </c:pt>
                <c:pt idx="8">
                  <c:v>0</c:v>
                </c:pt>
              </c:numCache>
            </c:numRef>
          </c:val>
          <c:extLst>
            <c:ext xmlns:c16="http://schemas.microsoft.com/office/drawing/2014/chart" uri="{C3380CC4-5D6E-409C-BE32-E72D297353CC}">
              <c16:uniqueId val="{00000014-4667-4EB3-A7C9-87883E8016E2}"/>
            </c:ext>
          </c:extLst>
        </c:ser>
        <c:ser>
          <c:idx val="21"/>
          <c:order val="21"/>
          <c:tx>
            <c:strRef>
              <c:f>'Vestas turbines hist MW'!$B$59</c:f>
              <c:strCache>
                <c:ptCount val="1"/>
                <c:pt idx="0">
                  <c:v>V136-3.45MW</c:v>
                </c:pt>
              </c:strCache>
            </c:strRef>
          </c:tx>
          <c:spPr>
            <a:solidFill>
              <a:schemeClr val="accent4">
                <a:lumMod val="8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MW'!$U$59:$AC$59</c:f>
              <c:numCache>
                <c:formatCode>0</c:formatCode>
                <c:ptCount val="9"/>
                <c:pt idx="0">
                  <c:v>2476.1267543859649</c:v>
                </c:pt>
                <c:pt idx="1">
                  <c:v>2190.1776315789475</c:v>
                </c:pt>
                <c:pt idx="2">
                  <c:v>0</c:v>
                </c:pt>
                <c:pt idx="3">
                  <c:v>117</c:v>
                </c:pt>
                <c:pt idx="4">
                  <c:v>0</c:v>
                </c:pt>
                <c:pt idx="5">
                  <c:v>0</c:v>
                </c:pt>
                <c:pt idx="6">
                  <c:v>0</c:v>
                </c:pt>
                <c:pt idx="7">
                  <c:v>0</c:v>
                </c:pt>
                <c:pt idx="8">
                  <c:v>0</c:v>
                </c:pt>
              </c:numCache>
            </c:numRef>
          </c:val>
          <c:extLst>
            <c:ext xmlns:c16="http://schemas.microsoft.com/office/drawing/2014/chart" uri="{C3380CC4-5D6E-409C-BE32-E72D297353CC}">
              <c16:uniqueId val="{00000015-4667-4EB3-A7C9-87883E8016E2}"/>
            </c:ext>
          </c:extLst>
        </c:ser>
        <c:ser>
          <c:idx val="22"/>
          <c:order val="22"/>
          <c:tx>
            <c:strRef>
              <c:f>'Vestas turbines hist MW'!$B$60</c:f>
              <c:strCache>
                <c:ptCount val="1"/>
                <c:pt idx="0">
                  <c:v>V136-3.6MW</c:v>
                </c:pt>
              </c:strCache>
            </c:strRef>
          </c:tx>
          <c:spPr>
            <a:solidFill>
              <a:schemeClr val="accent5">
                <a:lumMod val="8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MW'!$U$60:$AC$60</c:f>
              <c:numCache>
                <c:formatCode>0</c:formatCode>
                <c:ptCount val="9"/>
                <c:pt idx="0">
                  <c:v>370.8</c:v>
                </c:pt>
                <c:pt idx="1">
                  <c:v>159.00000000000003</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6-4667-4EB3-A7C9-87883E8016E2}"/>
            </c:ext>
          </c:extLst>
        </c:ser>
        <c:ser>
          <c:idx val="23"/>
          <c:order val="23"/>
          <c:tx>
            <c:strRef>
              <c:f>'Vestas turbines hist MW'!$B$61</c:f>
              <c:strCache>
                <c:ptCount val="1"/>
                <c:pt idx="0">
                  <c:v>V136-4.2MW</c:v>
                </c:pt>
              </c:strCache>
            </c:strRef>
          </c:tx>
          <c:spPr>
            <a:solidFill>
              <a:schemeClr val="accent6">
                <a:lumMod val="8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MW'!$U$61:$AC$61</c:f>
              <c:numCache>
                <c:formatCode>0</c:formatCode>
                <c:ptCount val="9"/>
                <c:pt idx="0">
                  <c:v>1627.2380952380952</c:v>
                </c:pt>
                <c:pt idx="1">
                  <c:v>340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7-4667-4EB3-A7C9-87883E8016E2}"/>
            </c:ext>
          </c:extLst>
        </c:ser>
        <c:ser>
          <c:idx val="24"/>
          <c:order val="24"/>
          <c:tx>
            <c:strRef>
              <c:f>'Vestas turbines hist MW'!$B$63</c:f>
              <c:strCache>
                <c:ptCount val="1"/>
                <c:pt idx="0">
                  <c:v>V150-4.2MW</c:v>
                </c:pt>
              </c:strCache>
            </c:strRef>
          </c:tx>
          <c:spPr>
            <a:solidFill>
              <a:schemeClr val="accent1">
                <a:lumMod val="60000"/>
                <a:lumOff val="4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MW'!$U$63:$AC$63</c:f>
              <c:numCache>
                <c:formatCode>0</c:formatCode>
                <c:ptCount val="9"/>
                <c:pt idx="0">
                  <c:v>1068</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8-4667-4EB3-A7C9-87883E8016E2}"/>
            </c:ext>
          </c:extLst>
        </c:ser>
        <c:ser>
          <c:idx val="25"/>
          <c:order val="25"/>
          <c:tx>
            <c:strRef>
              <c:f>'Vestas turbines hist #'!$B$78</c:f>
              <c:strCache>
                <c:ptCount val="1"/>
                <c:pt idx="0">
                  <c:v>V164-7.0MW</c:v>
                </c:pt>
              </c:strCache>
            </c:strRef>
          </c:tx>
          <c:spPr>
            <a:solidFill>
              <a:schemeClr val="accent2">
                <a:lumMod val="60000"/>
                <a:lumOff val="4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#'!$T$78:$AB$78</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9-4667-4EB3-A7C9-87883E8016E2}"/>
            </c:ext>
          </c:extLst>
        </c:ser>
        <c:ser>
          <c:idx val="26"/>
          <c:order val="26"/>
          <c:tx>
            <c:strRef>
              <c:f>'Vestas turbines hist #'!$B$79</c:f>
              <c:strCache>
                <c:ptCount val="1"/>
                <c:pt idx="0">
                  <c:v>V164-8.0MW</c:v>
                </c:pt>
              </c:strCache>
            </c:strRef>
          </c:tx>
          <c:spPr>
            <a:solidFill>
              <a:schemeClr val="accent3">
                <a:lumMod val="60000"/>
                <a:lumOff val="4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#'!$T$79:$AB$79</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A-4667-4EB3-A7C9-87883E8016E2}"/>
            </c:ext>
          </c:extLst>
        </c:ser>
        <c:ser>
          <c:idx val="27"/>
          <c:order val="27"/>
          <c:tx>
            <c:strRef>
              <c:f>'Vestas turbines hist #'!$B$10</c:f>
              <c:strCache>
                <c:ptCount val="1"/>
                <c:pt idx="0">
                  <c:v>V20-0.1MW</c:v>
                </c:pt>
              </c:strCache>
            </c:strRef>
          </c:tx>
          <c:spPr>
            <a:solidFill>
              <a:schemeClr val="accent4">
                <a:lumMod val="60000"/>
                <a:lumOff val="4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#'!$T$10:$AB$10</c:f>
            </c:numRef>
          </c:val>
          <c:extLst>
            <c:ext xmlns:c16="http://schemas.microsoft.com/office/drawing/2014/chart" uri="{C3380CC4-5D6E-409C-BE32-E72D297353CC}">
              <c16:uniqueId val="{0000001B-4667-4EB3-A7C9-87883E8016E2}"/>
            </c:ext>
          </c:extLst>
        </c:ser>
        <c:ser>
          <c:idx val="28"/>
          <c:order val="28"/>
          <c:tx>
            <c:strRef>
              <c:f>'Vestas turbines hist #'!$B$11</c:f>
              <c:strCache>
                <c:ptCount val="1"/>
                <c:pt idx="0">
                  <c:v>V23-0.15MW</c:v>
                </c:pt>
              </c:strCache>
            </c:strRef>
          </c:tx>
          <c:spPr>
            <a:solidFill>
              <a:schemeClr val="accent5">
                <a:lumMod val="60000"/>
                <a:lumOff val="4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#'!$T$11:$AB$11</c:f>
            </c:numRef>
          </c:val>
          <c:extLst>
            <c:ext xmlns:c16="http://schemas.microsoft.com/office/drawing/2014/chart" uri="{C3380CC4-5D6E-409C-BE32-E72D297353CC}">
              <c16:uniqueId val="{0000001C-4667-4EB3-A7C9-87883E8016E2}"/>
            </c:ext>
          </c:extLst>
        </c:ser>
        <c:ser>
          <c:idx val="29"/>
          <c:order val="29"/>
          <c:tx>
            <c:strRef>
              <c:f>'Vestas turbines hist #'!$B$12</c:f>
              <c:strCache>
                <c:ptCount val="1"/>
                <c:pt idx="0">
                  <c:v>V23-0.2MW</c:v>
                </c:pt>
              </c:strCache>
            </c:strRef>
          </c:tx>
          <c:spPr>
            <a:solidFill>
              <a:schemeClr val="accent6">
                <a:lumMod val="60000"/>
                <a:lumOff val="4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#'!$T$12:$AB$12</c:f>
            </c:numRef>
          </c:val>
          <c:extLst>
            <c:ext xmlns:c16="http://schemas.microsoft.com/office/drawing/2014/chart" uri="{C3380CC4-5D6E-409C-BE32-E72D297353CC}">
              <c16:uniqueId val="{0000001D-4667-4EB3-A7C9-87883E8016E2}"/>
            </c:ext>
          </c:extLst>
        </c:ser>
        <c:ser>
          <c:idx val="30"/>
          <c:order val="30"/>
          <c:tx>
            <c:strRef>
              <c:f>'Vestas turbines hist #'!$B$13</c:f>
              <c:strCache>
                <c:ptCount val="1"/>
                <c:pt idx="0">
                  <c:v>V25-0.2MW</c:v>
                </c:pt>
              </c:strCache>
            </c:strRef>
          </c:tx>
          <c:spPr>
            <a:solidFill>
              <a:schemeClr val="accent1">
                <a:lumMod val="5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#'!$T$13:$AB$13</c:f>
            </c:numRef>
          </c:val>
          <c:extLst>
            <c:ext xmlns:c16="http://schemas.microsoft.com/office/drawing/2014/chart" uri="{C3380CC4-5D6E-409C-BE32-E72D297353CC}">
              <c16:uniqueId val="{0000001E-4667-4EB3-A7C9-87883E8016E2}"/>
            </c:ext>
          </c:extLst>
        </c:ser>
        <c:ser>
          <c:idx val="31"/>
          <c:order val="31"/>
          <c:tx>
            <c:strRef>
              <c:f>'Vestas turbines hist #'!$B$14</c:f>
              <c:strCache>
                <c:ptCount val="1"/>
                <c:pt idx="0">
                  <c:v>V27-0.225MW</c:v>
                </c:pt>
              </c:strCache>
            </c:strRef>
          </c:tx>
          <c:spPr>
            <a:solidFill>
              <a:schemeClr val="accent2">
                <a:lumMod val="5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#'!$T$14:$AB$14</c:f>
            </c:numRef>
          </c:val>
          <c:extLst>
            <c:ext xmlns:c16="http://schemas.microsoft.com/office/drawing/2014/chart" uri="{C3380CC4-5D6E-409C-BE32-E72D297353CC}">
              <c16:uniqueId val="{0000001F-4667-4EB3-A7C9-87883E8016E2}"/>
            </c:ext>
          </c:extLst>
        </c:ser>
        <c:ser>
          <c:idx val="32"/>
          <c:order val="32"/>
          <c:tx>
            <c:strRef>
              <c:f>'Vestas turbines hist #'!$B$15</c:f>
              <c:strCache>
                <c:ptCount val="1"/>
                <c:pt idx="0">
                  <c:v>V27-0.27MW</c:v>
                </c:pt>
              </c:strCache>
            </c:strRef>
          </c:tx>
          <c:spPr>
            <a:solidFill>
              <a:schemeClr val="accent3">
                <a:lumMod val="5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#'!$T$15:$AB$15</c:f>
            </c:numRef>
          </c:val>
          <c:extLst>
            <c:ext xmlns:c16="http://schemas.microsoft.com/office/drawing/2014/chart" uri="{C3380CC4-5D6E-409C-BE32-E72D297353CC}">
              <c16:uniqueId val="{00000020-4667-4EB3-A7C9-87883E8016E2}"/>
            </c:ext>
          </c:extLst>
        </c:ser>
        <c:ser>
          <c:idx val="33"/>
          <c:order val="33"/>
          <c:tx>
            <c:strRef>
              <c:f>'Vestas turbines hist #'!$B$16</c:f>
              <c:strCache>
                <c:ptCount val="1"/>
                <c:pt idx="0">
                  <c:v>V29-0.225MW</c:v>
                </c:pt>
              </c:strCache>
            </c:strRef>
          </c:tx>
          <c:spPr>
            <a:solidFill>
              <a:schemeClr val="accent4">
                <a:lumMod val="5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#'!$T$16:$AB$16</c:f>
            </c:numRef>
          </c:val>
          <c:extLst>
            <c:ext xmlns:c16="http://schemas.microsoft.com/office/drawing/2014/chart" uri="{C3380CC4-5D6E-409C-BE32-E72D297353CC}">
              <c16:uniqueId val="{00000021-4667-4EB3-A7C9-87883E8016E2}"/>
            </c:ext>
          </c:extLst>
        </c:ser>
        <c:ser>
          <c:idx val="34"/>
          <c:order val="34"/>
          <c:tx>
            <c:strRef>
              <c:f>'Vestas turbines hist #'!$B$17</c:f>
              <c:strCache>
                <c:ptCount val="1"/>
                <c:pt idx="0">
                  <c:v>V34-0.4MW</c:v>
                </c:pt>
              </c:strCache>
            </c:strRef>
          </c:tx>
          <c:spPr>
            <a:solidFill>
              <a:schemeClr val="accent5">
                <a:lumMod val="5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#'!$T$17:$AB$17</c:f>
            </c:numRef>
          </c:val>
          <c:extLst>
            <c:ext xmlns:c16="http://schemas.microsoft.com/office/drawing/2014/chart" uri="{C3380CC4-5D6E-409C-BE32-E72D297353CC}">
              <c16:uniqueId val="{00000022-4667-4EB3-A7C9-87883E8016E2}"/>
            </c:ext>
          </c:extLst>
        </c:ser>
        <c:ser>
          <c:idx val="35"/>
          <c:order val="35"/>
          <c:tx>
            <c:strRef>
              <c:f>'Vestas turbines hist #'!$B$18</c:f>
              <c:strCache>
                <c:ptCount val="1"/>
                <c:pt idx="0">
                  <c:v>V39-0.5MW</c:v>
                </c:pt>
              </c:strCache>
            </c:strRef>
          </c:tx>
          <c:spPr>
            <a:solidFill>
              <a:schemeClr val="accent6">
                <a:lumMod val="5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#'!$T$18:$AB$18</c:f>
            </c:numRef>
          </c:val>
          <c:extLst>
            <c:ext xmlns:c16="http://schemas.microsoft.com/office/drawing/2014/chart" uri="{C3380CC4-5D6E-409C-BE32-E72D297353CC}">
              <c16:uniqueId val="{00000023-4667-4EB3-A7C9-87883E8016E2}"/>
            </c:ext>
          </c:extLst>
        </c:ser>
        <c:ser>
          <c:idx val="36"/>
          <c:order val="36"/>
          <c:tx>
            <c:strRef>
              <c:f>'Vestas turbines hist #'!$B$19</c:f>
              <c:strCache>
                <c:ptCount val="1"/>
                <c:pt idx="0">
                  <c:v>V39-0.6MW</c:v>
                </c:pt>
              </c:strCache>
            </c:strRef>
          </c:tx>
          <c:spPr>
            <a:solidFill>
              <a:schemeClr val="accent1">
                <a:lumMod val="70000"/>
                <a:lumOff val="3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#'!$T$19:$AB$19</c:f>
            </c:numRef>
          </c:val>
          <c:extLst>
            <c:ext xmlns:c16="http://schemas.microsoft.com/office/drawing/2014/chart" uri="{C3380CC4-5D6E-409C-BE32-E72D297353CC}">
              <c16:uniqueId val="{00000024-4667-4EB3-A7C9-87883E8016E2}"/>
            </c:ext>
          </c:extLst>
        </c:ser>
        <c:ser>
          <c:idx val="37"/>
          <c:order val="37"/>
          <c:tx>
            <c:strRef>
              <c:f>'Vestas turbines hist #'!$B$20</c:f>
              <c:strCache>
                <c:ptCount val="1"/>
                <c:pt idx="0">
                  <c:v>V42-0.5MW</c:v>
                </c:pt>
              </c:strCache>
            </c:strRef>
          </c:tx>
          <c:spPr>
            <a:solidFill>
              <a:schemeClr val="accent2">
                <a:lumMod val="70000"/>
                <a:lumOff val="3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#'!$T$20:$AB$20</c:f>
            </c:numRef>
          </c:val>
          <c:extLst>
            <c:ext xmlns:c16="http://schemas.microsoft.com/office/drawing/2014/chart" uri="{C3380CC4-5D6E-409C-BE32-E72D297353CC}">
              <c16:uniqueId val="{00000025-4667-4EB3-A7C9-87883E8016E2}"/>
            </c:ext>
          </c:extLst>
        </c:ser>
        <c:ser>
          <c:idx val="38"/>
          <c:order val="38"/>
          <c:tx>
            <c:strRef>
              <c:f>'Vestas turbines hist #'!$B$21</c:f>
              <c:strCache>
                <c:ptCount val="1"/>
                <c:pt idx="0">
                  <c:v>V42-0.6MW</c:v>
                </c:pt>
              </c:strCache>
            </c:strRef>
          </c:tx>
          <c:spPr>
            <a:solidFill>
              <a:schemeClr val="accent3">
                <a:lumMod val="70000"/>
                <a:lumOff val="3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#'!$T$21:$AB$21</c:f>
            </c:numRef>
          </c:val>
          <c:extLst>
            <c:ext xmlns:c16="http://schemas.microsoft.com/office/drawing/2014/chart" uri="{C3380CC4-5D6E-409C-BE32-E72D297353CC}">
              <c16:uniqueId val="{00000026-4667-4EB3-A7C9-87883E8016E2}"/>
            </c:ext>
          </c:extLst>
        </c:ser>
        <c:ser>
          <c:idx val="39"/>
          <c:order val="39"/>
          <c:tx>
            <c:strRef>
              <c:f>'Vestas turbines hist #'!$B$22</c:f>
              <c:strCache>
                <c:ptCount val="1"/>
                <c:pt idx="0">
                  <c:v>V44-0.6MW</c:v>
                </c:pt>
              </c:strCache>
            </c:strRef>
          </c:tx>
          <c:spPr>
            <a:solidFill>
              <a:schemeClr val="accent4">
                <a:lumMod val="70000"/>
                <a:lumOff val="3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#'!$T$22:$AB$22</c:f>
            </c:numRef>
          </c:val>
          <c:extLst>
            <c:ext xmlns:c16="http://schemas.microsoft.com/office/drawing/2014/chart" uri="{C3380CC4-5D6E-409C-BE32-E72D297353CC}">
              <c16:uniqueId val="{00000027-4667-4EB3-A7C9-87883E8016E2}"/>
            </c:ext>
          </c:extLst>
        </c:ser>
        <c:ser>
          <c:idx val="40"/>
          <c:order val="40"/>
          <c:tx>
            <c:strRef>
              <c:f>'Vestas turbines hist #'!$B$23</c:f>
              <c:strCache>
                <c:ptCount val="1"/>
                <c:pt idx="0">
                  <c:v>V47-0.66MW</c:v>
                </c:pt>
              </c:strCache>
            </c:strRef>
          </c:tx>
          <c:spPr>
            <a:solidFill>
              <a:schemeClr val="accent5">
                <a:lumMod val="70000"/>
                <a:lumOff val="3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#'!$T$23:$AB$23</c:f>
            </c:numRef>
          </c:val>
          <c:extLst>
            <c:ext xmlns:c16="http://schemas.microsoft.com/office/drawing/2014/chart" uri="{C3380CC4-5D6E-409C-BE32-E72D297353CC}">
              <c16:uniqueId val="{00000028-4667-4EB3-A7C9-87883E8016E2}"/>
            </c:ext>
          </c:extLst>
        </c:ser>
        <c:ser>
          <c:idx val="41"/>
          <c:order val="41"/>
          <c:tx>
            <c:strRef>
              <c:f>'Vestas turbines hist MW'!$B$20</c:f>
              <c:strCache>
                <c:ptCount val="1"/>
                <c:pt idx="0">
                  <c:v>V52-850kW</c:v>
                </c:pt>
              </c:strCache>
            </c:strRef>
          </c:tx>
          <c:spPr>
            <a:solidFill>
              <a:schemeClr val="accent6">
                <a:lumMod val="70000"/>
                <a:lumOff val="3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MW'!$U$20:$AC$20</c:f>
              <c:numCache>
                <c:formatCode>0</c:formatCode>
                <c:ptCount val="9"/>
                <c:pt idx="0">
                  <c:v>0</c:v>
                </c:pt>
                <c:pt idx="1">
                  <c:v>0</c:v>
                </c:pt>
                <c:pt idx="2">
                  <c:v>0</c:v>
                </c:pt>
                <c:pt idx="3">
                  <c:v>0</c:v>
                </c:pt>
                <c:pt idx="4">
                  <c:v>310</c:v>
                </c:pt>
                <c:pt idx="5">
                  <c:v>0</c:v>
                </c:pt>
                <c:pt idx="6">
                  <c:v>0</c:v>
                </c:pt>
                <c:pt idx="7">
                  <c:v>0</c:v>
                </c:pt>
                <c:pt idx="8">
                  <c:v>97.75</c:v>
                </c:pt>
              </c:numCache>
            </c:numRef>
          </c:val>
          <c:extLst>
            <c:ext xmlns:c16="http://schemas.microsoft.com/office/drawing/2014/chart" uri="{C3380CC4-5D6E-409C-BE32-E72D297353CC}">
              <c16:uniqueId val="{00000029-4667-4EB3-A7C9-87883E8016E2}"/>
            </c:ext>
          </c:extLst>
        </c:ser>
        <c:ser>
          <c:idx val="42"/>
          <c:order val="42"/>
          <c:tx>
            <c:strRef>
              <c:f>'Vestas turbines hist #'!$B$25</c:f>
              <c:strCache>
                <c:ptCount val="1"/>
                <c:pt idx="0">
                  <c:v>V60-850kW</c:v>
                </c:pt>
              </c:strCache>
            </c:strRef>
          </c:tx>
          <c:spPr>
            <a:solidFill>
              <a:schemeClr val="accent1">
                <a:lumMod val="7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#'!$T$25:$AB$25</c:f>
            </c:numRef>
          </c:val>
          <c:extLst>
            <c:ext xmlns:c16="http://schemas.microsoft.com/office/drawing/2014/chart" uri="{C3380CC4-5D6E-409C-BE32-E72D297353CC}">
              <c16:uniqueId val="{0000002A-4667-4EB3-A7C9-87883E8016E2}"/>
            </c:ext>
          </c:extLst>
        </c:ser>
        <c:ser>
          <c:idx val="43"/>
          <c:order val="43"/>
          <c:tx>
            <c:strRef>
              <c:f>'Vestas turbines hist #'!$B$26</c:f>
              <c:strCache>
                <c:ptCount val="1"/>
                <c:pt idx="0">
                  <c:v>V63-1.5MW</c:v>
                </c:pt>
              </c:strCache>
            </c:strRef>
          </c:tx>
          <c:spPr>
            <a:solidFill>
              <a:schemeClr val="accent2">
                <a:lumMod val="7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#'!$T$26:$AB$26</c:f>
            </c:numRef>
          </c:val>
          <c:extLst>
            <c:ext xmlns:c16="http://schemas.microsoft.com/office/drawing/2014/chart" uri="{C3380CC4-5D6E-409C-BE32-E72D297353CC}">
              <c16:uniqueId val="{0000002B-4667-4EB3-A7C9-87883E8016E2}"/>
            </c:ext>
          </c:extLst>
        </c:ser>
        <c:ser>
          <c:idx val="44"/>
          <c:order val="44"/>
          <c:tx>
            <c:strRef>
              <c:f>'Vestas turbines hist #'!$B$27</c:f>
              <c:strCache>
                <c:ptCount val="1"/>
                <c:pt idx="0">
                  <c:v>V66-1.65MW</c:v>
                </c:pt>
              </c:strCache>
            </c:strRef>
          </c:tx>
          <c:spPr>
            <a:solidFill>
              <a:schemeClr val="accent3">
                <a:lumMod val="7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#'!$T$27:$AB$27</c:f>
            </c:numRef>
          </c:val>
          <c:extLst>
            <c:ext xmlns:c16="http://schemas.microsoft.com/office/drawing/2014/chart" uri="{C3380CC4-5D6E-409C-BE32-E72D297353CC}">
              <c16:uniqueId val="{0000002C-4667-4EB3-A7C9-87883E8016E2}"/>
            </c:ext>
          </c:extLst>
        </c:ser>
        <c:ser>
          <c:idx val="45"/>
          <c:order val="45"/>
          <c:tx>
            <c:strRef>
              <c:f>'Vestas turbines hist #'!$B$28</c:f>
              <c:strCache>
                <c:ptCount val="1"/>
                <c:pt idx="0">
                  <c:v>V66-1.75MW</c:v>
                </c:pt>
              </c:strCache>
            </c:strRef>
          </c:tx>
          <c:spPr>
            <a:solidFill>
              <a:schemeClr val="accent4">
                <a:lumMod val="7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#'!$T$28:$AB$28</c:f>
            </c:numRef>
          </c:val>
          <c:extLst>
            <c:ext xmlns:c16="http://schemas.microsoft.com/office/drawing/2014/chart" uri="{C3380CC4-5D6E-409C-BE32-E72D297353CC}">
              <c16:uniqueId val="{0000002D-4667-4EB3-A7C9-87883E8016E2}"/>
            </c:ext>
          </c:extLst>
        </c:ser>
        <c:ser>
          <c:idx val="46"/>
          <c:order val="46"/>
          <c:tx>
            <c:strRef>
              <c:f>'Vestas turbines hist #'!$B$29</c:f>
              <c:strCache>
                <c:ptCount val="1"/>
                <c:pt idx="0">
                  <c:v>V66-2MW</c:v>
                </c:pt>
              </c:strCache>
            </c:strRef>
          </c:tx>
          <c:spPr>
            <a:solidFill>
              <a:schemeClr val="accent5">
                <a:lumMod val="7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#'!$T$29:$AB$29</c:f>
            </c:numRef>
          </c:val>
          <c:extLst>
            <c:ext xmlns:c16="http://schemas.microsoft.com/office/drawing/2014/chart" uri="{C3380CC4-5D6E-409C-BE32-E72D297353CC}">
              <c16:uniqueId val="{0000002E-4667-4EB3-A7C9-87883E8016E2}"/>
            </c:ext>
          </c:extLst>
        </c:ser>
        <c:ser>
          <c:idx val="47"/>
          <c:order val="47"/>
          <c:tx>
            <c:strRef>
              <c:f>'Vestas turbines hist #'!$B$30</c:f>
              <c:strCache>
                <c:ptCount val="1"/>
                <c:pt idx="0">
                  <c:v>V70-1.65MW</c:v>
                </c:pt>
              </c:strCache>
            </c:strRef>
          </c:tx>
          <c:spPr>
            <a:solidFill>
              <a:schemeClr val="accent6">
                <a:lumMod val="7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#'!$T$30:$AB$30</c:f>
            </c:numRef>
          </c:val>
          <c:extLst>
            <c:ext xmlns:c16="http://schemas.microsoft.com/office/drawing/2014/chart" uri="{C3380CC4-5D6E-409C-BE32-E72D297353CC}">
              <c16:uniqueId val="{0000002F-4667-4EB3-A7C9-87883E8016E2}"/>
            </c:ext>
          </c:extLst>
        </c:ser>
        <c:ser>
          <c:idx val="48"/>
          <c:order val="48"/>
          <c:tx>
            <c:strRef>
              <c:f>'Vestas turbines hist #'!$B$31</c:f>
              <c:strCache>
                <c:ptCount val="1"/>
                <c:pt idx="0">
                  <c:v>V80-1.8MW</c:v>
                </c:pt>
              </c:strCache>
            </c:strRef>
          </c:tx>
          <c:spPr>
            <a:solidFill>
              <a:schemeClr val="accent1">
                <a:lumMod val="50000"/>
                <a:lumOff val="5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#'!$T$31:$AB$31</c:f>
            </c:numRef>
          </c:val>
          <c:extLst>
            <c:ext xmlns:c16="http://schemas.microsoft.com/office/drawing/2014/chart" uri="{C3380CC4-5D6E-409C-BE32-E72D297353CC}">
              <c16:uniqueId val="{00000030-4667-4EB3-A7C9-87883E8016E2}"/>
            </c:ext>
          </c:extLst>
        </c:ser>
        <c:ser>
          <c:idx val="49"/>
          <c:order val="49"/>
          <c:tx>
            <c:strRef>
              <c:f>'Vestas turbines hist MW'!$B$28</c:f>
              <c:strCache>
                <c:ptCount val="1"/>
                <c:pt idx="0">
                  <c:v>V80-2.0MW</c:v>
                </c:pt>
              </c:strCache>
            </c:strRef>
          </c:tx>
          <c:spPr>
            <a:solidFill>
              <a:schemeClr val="accent2">
                <a:lumMod val="50000"/>
                <a:lumOff val="5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MW'!$U$28:$AC$28</c:f>
              <c:numCache>
                <c:formatCode>0</c:formatCode>
                <c:ptCount val="9"/>
                <c:pt idx="0">
                  <c:v>0</c:v>
                </c:pt>
                <c:pt idx="1">
                  <c:v>0</c:v>
                </c:pt>
                <c:pt idx="2">
                  <c:v>0</c:v>
                </c:pt>
                <c:pt idx="3">
                  <c:v>0</c:v>
                </c:pt>
                <c:pt idx="4">
                  <c:v>68</c:v>
                </c:pt>
                <c:pt idx="5">
                  <c:v>0</c:v>
                </c:pt>
                <c:pt idx="6">
                  <c:v>94</c:v>
                </c:pt>
                <c:pt idx="7">
                  <c:v>146</c:v>
                </c:pt>
                <c:pt idx="8">
                  <c:v>114</c:v>
                </c:pt>
              </c:numCache>
            </c:numRef>
          </c:val>
          <c:extLst>
            <c:ext xmlns:c16="http://schemas.microsoft.com/office/drawing/2014/chart" uri="{C3380CC4-5D6E-409C-BE32-E72D297353CC}">
              <c16:uniqueId val="{00000031-4667-4EB3-A7C9-87883E8016E2}"/>
            </c:ext>
          </c:extLst>
        </c:ser>
        <c:ser>
          <c:idx val="50"/>
          <c:order val="50"/>
          <c:tx>
            <c:strRef>
              <c:f>'Vestas turbines hist #'!$B$33</c:f>
              <c:strCache>
                <c:ptCount val="1"/>
                <c:pt idx="0">
                  <c:v>V82-1.5MW</c:v>
                </c:pt>
              </c:strCache>
            </c:strRef>
          </c:tx>
          <c:spPr>
            <a:solidFill>
              <a:schemeClr val="accent3">
                <a:lumMod val="50000"/>
                <a:lumOff val="50000"/>
              </a:schemeClr>
            </a:solidFill>
            <a:ln>
              <a:noFill/>
            </a:ln>
            <a:effectLst/>
          </c:spPr>
          <c:invertIfNegative val="0"/>
          <c:cat>
            <c:numRef>
              <c:f>'Vestas turbines hist #'!$T$4:$AB$4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#'!$T$33:$AB$33</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32-4667-4EB3-A7C9-87883E8016E2}"/>
            </c:ext>
          </c:extLst>
        </c:ser>
        <c:ser>
          <c:idx val="51"/>
          <c:order val="51"/>
          <c:tx>
            <c:strRef>
              <c:f>'Vestas turbines hist MW'!$B$30</c:f>
              <c:strCache>
                <c:ptCount val="1"/>
                <c:pt idx="0">
                  <c:v>V82-1.65MW</c:v>
                </c:pt>
              </c:strCache>
            </c:strRef>
          </c:tx>
          <c:spPr>
            <a:solidFill>
              <a:schemeClr val="accent4">
                <a:lumMod val="50000"/>
                <a:lumOff val="5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MW'!$U$30:$AC$30</c:f>
              <c:numCache>
                <c:formatCode>0</c:formatCode>
                <c:ptCount val="9"/>
                <c:pt idx="0">
                  <c:v>0</c:v>
                </c:pt>
                <c:pt idx="1">
                  <c:v>0</c:v>
                </c:pt>
                <c:pt idx="2">
                  <c:v>0</c:v>
                </c:pt>
                <c:pt idx="3">
                  <c:v>0</c:v>
                </c:pt>
                <c:pt idx="4">
                  <c:v>0</c:v>
                </c:pt>
                <c:pt idx="5">
                  <c:v>0</c:v>
                </c:pt>
                <c:pt idx="6">
                  <c:v>0</c:v>
                </c:pt>
                <c:pt idx="7">
                  <c:v>0</c:v>
                </c:pt>
                <c:pt idx="8">
                  <c:v>155.1</c:v>
                </c:pt>
              </c:numCache>
            </c:numRef>
          </c:val>
          <c:extLst>
            <c:ext xmlns:c16="http://schemas.microsoft.com/office/drawing/2014/chart" uri="{C3380CC4-5D6E-409C-BE32-E72D297353CC}">
              <c16:uniqueId val="{00000033-4667-4EB3-A7C9-87883E8016E2}"/>
            </c:ext>
          </c:extLst>
        </c:ser>
        <c:ser>
          <c:idx val="52"/>
          <c:order val="52"/>
          <c:tx>
            <c:strRef>
              <c:f>'Vestas turbines hist MW'!$B$31</c:f>
              <c:strCache>
                <c:ptCount val="1"/>
                <c:pt idx="0">
                  <c:v>V90-1.8MW</c:v>
                </c:pt>
              </c:strCache>
            </c:strRef>
          </c:tx>
          <c:spPr>
            <a:solidFill>
              <a:schemeClr val="accent5">
                <a:lumMod val="50000"/>
                <a:lumOff val="5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MW'!$U$31:$AC$31</c:f>
              <c:numCache>
                <c:formatCode>0</c:formatCode>
                <c:ptCount val="9"/>
                <c:pt idx="0">
                  <c:v>0</c:v>
                </c:pt>
                <c:pt idx="1">
                  <c:v>0</c:v>
                </c:pt>
                <c:pt idx="2">
                  <c:v>0</c:v>
                </c:pt>
                <c:pt idx="3">
                  <c:v>0</c:v>
                </c:pt>
                <c:pt idx="4">
                  <c:v>0</c:v>
                </c:pt>
                <c:pt idx="5">
                  <c:v>0</c:v>
                </c:pt>
                <c:pt idx="6">
                  <c:v>0</c:v>
                </c:pt>
                <c:pt idx="7">
                  <c:v>617</c:v>
                </c:pt>
                <c:pt idx="8">
                  <c:v>768.6</c:v>
                </c:pt>
              </c:numCache>
            </c:numRef>
          </c:val>
          <c:extLst>
            <c:ext xmlns:c16="http://schemas.microsoft.com/office/drawing/2014/chart" uri="{C3380CC4-5D6E-409C-BE32-E72D297353CC}">
              <c16:uniqueId val="{00000034-4667-4EB3-A7C9-87883E8016E2}"/>
            </c:ext>
          </c:extLst>
        </c:ser>
        <c:ser>
          <c:idx val="53"/>
          <c:order val="53"/>
          <c:tx>
            <c:strRef>
              <c:f>'Vestas turbines hist MW'!$B$32</c:f>
              <c:strCache>
                <c:ptCount val="1"/>
                <c:pt idx="0">
                  <c:v>V90-2.0MW</c:v>
                </c:pt>
              </c:strCache>
            </c:strRef>
          </c:tx>
          <c:spPr>
            <a:solidFill>
              <a:schemeClr val="accent6">
                <a:lumMod val="50000"/>
                <a:lumOff val="50000"/>
              </a:schemeClr>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MW'!$U$32:$AC$32</c:f>
              <c:numCache>
                <c:formatCode>0</c:formatCode>
                <c:ptCount val="9"/>
                <c:pt idx="0">
                  <c:v>0</c:v>
                </c:pt>
                <c:pt idx="1">
                  <c:v>0</c:v>
                </c:pt>
                <c:pt idx="2">
                  <c:v>0</c:v>
                </c:pt>
                <c:pt idx="3">
                  <c:v>98</c:v>
                </c:pt>
                <c:pt idx="4">
                  <c:v>42</c:v>
                </c:pt>
                <c:pt idx="5">
                  <c:v>405</c:v>
                </c:pt>
                <c:pt idx="6">
                  <c:v>302</c:v>
                </c:pt>
                <c:pt idx="7">
                  <c:v>746</c:v>
                </c:pt>
                <c:pt idx="8">
                  <c:v>830</c:v>
                </c:pt>
              </c:numCache>
            </c:numRef>
          </c:val>
          <c:extLst>
            <c:ext xmlns:c16="http://schemas.microsoft.com/office/drawing/2014/chart" uri="{C3380CC4-5D6E-409C-BE32-E72D297353CC}">
              <c16:uniqueId val="{00000035-4667-4EB3-A7C9-87883E8016E2}"/>
            </c:ext>
          </c:extLst>
        </c:ser>
        <c:ser>
          <c:idx val="54"/>
          <c:order val="54"/>
          <c:tx>
            <c:strRef>
              <c:f>'Vestas turbines hist MW'!$B$33</c:f>
              <c:strCache>
                <c:ptCount val="1"/>
                <c:pt idx="0">
                  <c:v>V90-3.0MW</c:v>
                </c:pt>
              </c:strCache>
            </c:strRef>
          </c:tx>
          <c:spPr>
            <a:solidFill>
              <a:schemeClr val="accent1"/>
            </a:solidFill>
            <a:ln>
              <a:noFill/>
            </a:ln>
            <a:effectLst/>
          </c:spPr>
          <c:invertIfNegative val="0"/>
          <c:cat>
            <c:numRef>
              <c:f>'Vestas turbines hist MW'!$U$4:$AC$4</c:f>
              <c:numCache>
                <c:formatCode>General</c:formatCode>
                <c:ptCount val="9"/>
                <c:pt idx="0">
                  <c:v>2018</c:v>
                </c:pt>
                <c:pt idx="1">
                  <c:v>2017</c:v>
                </c:pt>
                <c:pt idx="2">
                  <c:v>2016</c:v>
                </c:pt>
                <c:pt idx="3">
                  <c:v>2015</c:v>
                </c:pt>
                <c:pt idx="4">
                  <c:v>2014</c:v>
                </c:pt>
                <c:pt idx="5">
                  <c:v>2013</c:v>
                </c:pt>
                <c:pt idx="6">
                  <c:v>2012</c:v>
                </c:pt>
                <c:pt idx="7">
                  <c:v>2011</c:v>
                </c:pt>
                <c:pt idx="8">
                  <c:v>2010</c:v>
                </c:pt>
              </c:numCache>
            </c:numRef>
          </c:cat>
          <c:val>
            <c:numRef>
              <c:f>'Vestas turbines hist MW'!$U$33:$AC$33</c:f>
              <c:numCache>
                <c:formatCode>0</c:formatCode>
                <c:ptCount val="9"/>
                <c:pt idx="0">
                  <c:v>0</c:v>
                </c:pt>
                <c:pt idx="1">
                  <c:v>0</c:v>
                </c:pt>
                <c:pt idx="2">
                  <c:v>120</c:v>
                </c:pt>
                <c:pt idx="3">
                  <c:v>87</c:v>
                </c:pt>
                <c:pt idx="4">
                  <c:v>183</c:v>
                </c:pt>
                <c:pt idx="5">
                  <c:v>129</c:v>
                </c:pt>
                <c:pt idx="6">
                  <c:v>624</c:v>
                </c:pt>
                <c:pt idx="7">
                  <c:v>579</c:v>
                </c:pt>
                <c:pt idx="8">
                  <c:v>1026</c:v>
                </c:pt>
              </c:numCache>
            </c:numRef>
          </c:val>
          <c:extLst>
            <c:ext xmlns:c16="http://schemas.microsoft.com/office/drawing/2014/chart" uri="{C3380CC4-5D6E-409C-BE32-E72D297353CC}">
              <c16:uniqueId val="{00000036-4667-4EB3-A7C9-87883E8016E2}"/>
            </c:ext>
          </c:extLst>
        </c:ser>
        <c:dLbls>
          <c:showLegendKey val="0"/>
          <c:showVal val="0"/>
          <c:showCatName val="0"/>
          <c:showSerName val="0"/>
          <c:showPercent val="0"/>
          <c:showBubbleSize val="0"/>
        </c:dLbls>
        <c:gapWidth val="150"/>
        <c:overlap val="100"/>
        <c:axId val="187167296"/>
        <c:axId val="187166904"/>
      </c:barChart>
      <c:catAx>
        <c:axId val="18716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66904"/>
        <c:crosses val="autoZero"/>
        <c:auto val="1"/>
        <c:lblAlgn val="ctr"/>
        <c:lblOffset val="100"/>
        <c:noMultiLvlLbl val="0"/>
      </c:catAx>
      <c:valAx>
        <c:axId val="187166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67296"/>
        <c:crosses val="autoZero"/>
        <c:crossBetween val="between"/>
      </c:valAx>
      <c:spPr>
        <a:noFill/>
        <a:ln>
          <a:noFill/>
        </a:ln>
        <a:effectLst/>
      </c:spPr>
    </c:plotArea>
    <c:legend>
      <c:legendPos val="b"/>
      <c:layout>
        <c:manualLayout>
          <c:xMode val="edge"/>
          <c:yMode val="edge"/>
          <c:x val="2.0774985462146574E-2"/>
          <c:y val="0.80997307985635858"/>
          <c:w val="0.95246200512361123"/>
          <c:h val="0.177198183774173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6.604617536580383E-2"/>
          <c:y val="8.4506721348826613E-2"/>
          <c:w val="0.91199773680984486"/>
          <c:h val="0.7239385148626758"/>
        </c:manualLayout>
      </c:layout>
      <c:barChart>
        <c:barDir val="col"/>
        <c:grouping val="stacked"/>
        <c:varyColors val="0"/>
        <c:ser>
          <c:idx val="0"/>
          <c:order val="0"/>
          <c:tx>
            <c:strRef>
              <c:f>'Vestas turbines hist MW'!$B$106</c:f>
              <c:strCache>
                <c:ptCount val="1"/>
                <c:pt idx="0">
                  <c:v>V52</c:v>
                </c:pt>
              </c:strCache>
            </c:strRef>
          </c:tx>
          <c:spPr>
            <a:solidFill>
              <a:schemeClr val="accent1"/>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MW'!$Q$106:$AC$106</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C129-4269-AA8C-CF37C1C18E83}"/>
            </c:ext>
          </c:extLst>
        </c:ser>
        <c:ser>
          <c:idx val="1"/>
          <c:order val="1"/>
          <c:tx>
            <c:strRef>
              <c:f>'Vestas turbines hist MW'!$B$107</c:f>
              <c:strCache>
                <c:ptCount val="1"/>
                <c:pt idx="0">
                  <c:v>V80</c:v>
                </c:pt>
              </c:strCache>
            </c:strRef>
          </c:tx>
          <c:spPr>
            <a:solidFill>
              <a:schemeClr val="accent2"/>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MW'!$Q$107:$AC$107</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C129-4269-AA8C-CF37C1C18E83}"/>
            </c:ext>
          </c:extLst>
        </c:ser>
        <c:ser>
          <c:idx val="2"/>
          <c:order val="2"/>
          <c:tx>
            <c:strRef>
              <c:f>'Vestas turbines hist MW'!$B$108</c:f>
              <c:strCache>
                <c:ptCount val="1"/>
                <c:pt idx="0">
                  <c:v>V90</c:v>
                </c:pt>
              </c:strCache>
            </c:strRef>
          </c:tx>
          <c:spPr>
            <a:solidFill>
              <a:schemeClr val="accent3"/>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MW'!$Q$108:$AC$108</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C129-4269-AA8C-CF37C1C18E83}"/>
            </c:ext>
          </c:extLst>
        </c:ser>
        <c:ser>
          <c:idx val="3"/>
          <c:order val="3"/>
          <c:tx>
            <c:strRef>
              <c:f>'Vestas turbines hist MW'!$B$109</c:f>
              <c:strCache>
                <c:ptCount val="1"/>
                <c:pt idx="0">
                  <c:v>V100</c:v>
                </c:pt>
              </c:strCache>
            </c:strRef>
          </c:tx>
          <c:spPr>
            <a:solidFill>
              <a:schemeClr val="accent4"/>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MW'!$Q$109:$AC$109</c:f>
              <c:numCache>
                <c:formatCode>0</c:formatCode>
                <c:ptCount val="13"/>
                <c:pt idx="0">
                  <c:v>4</c:v>
                </c:pt>
                <c:pt idx="1">
                  <c:v>172</c:v>
                </c:pt>
                <c:pt idx="2">
                  <c:v>248</c:v>
                </c:pt>
                <c:pt idx="3">
                  <c:v>0</c:v>
                </c:pt>
                <c:pt idx="4">
                  <c:v>282</c:v>
                </c:pt>
                <c:pt idx="5">
                  <c:v>144</c:v>
                </c:pt>
                <c:pt idx="6">
                  <c:v>235</c:v>
                </c:pt>
                <c:pt idx="7">
                  <c:v>1098</c:v>
                </c:pt>
                <c:pt idx="8">
                  <c:v>1318</c:v>
                </c:pt>
                <c:pt idx="9">
                  <c:v>1334.2</c:v>
                </c:pt>
                <c:pt idx="10">
                  <c:v>384.00000000000006</c:v>
                </c:pt>
                <c:pt idx="11">
                  <c:v>754.80000000000007</c:v>
                </c:pt>
                <c:pt idx="12">
                  <c:v>453.6</c:v>
                </c:pt>
              </c:numCache>
            </c:numRef>
          </c:val>
          <c:extLst>
            <c:ext xmlns:c16="http://schemas.microsoft.com/office/drawing/2014/chart" uri="{C3380CC4-5D6E-409C-BE32-E72D297353CC}">
              <c16:uniqueId val="{00000003-C129-4269-AA8C-CF37C1C18E83}"/>
            </c:ext>
          </c:extLst>
        </c:ser>
        <c:ser>
          <c:idx val="4"/>
          <c:order val="4"/>
          <c:tx>
            <c:strRef>
              <c:f>'Vestas turbines hist MW'!$B$110</c:f>
              <c:strCache>
                <c:ptCount val="1"/>
                <c:pt idx="0">
                  <c:v>V105</c:v>
                </c:pt>
              </c:strCache>
            </c:strRef>
          </c:tx>
          <c:spPr>
            <a:solidFill>
              <a:schemeClr val="accent5"/>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MW'!$Q$110:$AC$110</c:f>
              <c:numCache>
                <c:formatCode>0</c:formatCode>
                <c:ptCount val="13"/>
                <c:pt idx="0">
                  <c:v>27.6</c:v>
                </c:pt>
                <c:pt idx="1">
                  <c:v>86.25</c:v>
                </c:pt>
                <c:pt idx="2">
                  <c:v>477.75000000000006</c:v>
                </c:pt>
                <c:pt idx="3">
                  <c:v>58.650000000000006</c:v>
                </c:pt>
                <c:pt idx="4">
                  <c:v>0</c:v>
                </c:pt>
                <c:pt idx="5">
                  <c:v>109.41666666666667</c:v>
                </c:pt>
                <c:pt idx="6">
                  <c:v>31</c:v>
                </c:pt>
                <c:pt idx="7">
                  <c:v>0</c:v>
                </c:pt>
                <c:pt idx="8">
                  <c:v>0</c:v>
                </c:pt>
                <c:pt idx="9">
                  <c:v>0</c:v>
                </c:pt>
                <c:pt idx="10">
                  <c:v>0</c:v>
                </c:pt>
                <c:pt idx="11">
                  <c:v>0</c:v>
                </c:pt>
                <c:pt idx="12">
                  <c:v>0</c:v>
                </c:pt>
              </c:numCache>
            </c:numRef>
          </c:val>
          <c:extLst>
            <c:ext xmlns:c16="http://schemas.microsoft.com/office/drawing/2014/chart" uri="{C3380CC4-5D6E-409C-BE32-E72D297353CC}">
              <c16:uniqueId val="{00000004-C129-4269-AA8C-CF37C1C18E83}"/>
            </c:ext>
          </c:extLst>
        </c:ser>
        <c:ser>
          <c:idx val="5"/>
          <c:order val="5"/>
          <c:tx>
            <c:strRef>
              <c:f>'Vestas turbines hist MW'!$B$111</c:f>
              <c:strCache>
                <c:ptCount val="1"/>
                <c:pt idx="0">
                  <c:v>V110</c:v>
                </c:pt>
              </c:strCache>
            </c:strRef>
          </c:tx>
          <c:spPr>
            <a:solidFill>
              <a:schemeClr val="accent6"/>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MW'!$Q$111:$AC$111</c:f>
              <c:numCache>
                <c:formatCode>0</c:formatCode>
                <c:ptCount val="13"/>
                <c:pt idx="0">
                  <c:v>0</c:v>
                </c:pt>
                <c:pt idx="1">
                  <c:v>118</c:v>
                </c:pt>
                <c:pt idx="2">
                  <c:v>430</c:v>
                </c:pt>
                <c:pt idx="3">
                  <c:v>510</c:v>
                </c:pt>
                <c:pt idx="4">
                  <c:v>720.18181818181824</c:v>
                </c:pt>
                <c:pt idx="5">
                  <c:v>2819</c:v>
                </c:pt>
                <c:pt idx="6">
                  <c:v>2708.7272727272725</c:v>
                </c:pt>
                <c:pt idx="7">
                  <c:v>1720</c:v>
                </c:pt>
                <c:pt idx="8">
                  <c:v>672</c:v>
                </c:pt>
                <c:pt idx="9">
                  <c:v>590</c:v>
                </c:pt>
                <c:pt idx="10">
                  <c:v>0</c:v>
                </c:pt>
                <c:pt idx="11">
                  <c:v>0</c:v>
                </c:pt>
                <c:pt idx="12">
                  <c:v>0</c:v>
                </c:pt>
              </c:numCache>
            </c:numRef>
          </c:val>
          <c:extLst>
            <c:ext xmlns:c16="http://schemas.microsoft.com/office/drawing/2014/chart" uri="{C3380CC4-5D6E-409C-BE32-E72D297353CC}">
              <c16:uniqueId val="{00000005-C129-4269-AA8C-CF37C1C18E83}"/>
            </c:ext>
          </c:extLst>
        </c:ser>
        <c:ser>
          <c:idx val="6"/>
          <c:order val="6"/>
          <c:tx>
            <c:strRef>
              <c:f>'Vestas turbines hist MW'!$B$112</c:f>
              <c:strCache>
                <c:ptCount val="1"/>
                <c:pt idx="0">
                  <c:v>V112</c:v>
                </c:pt>
              </c:strCache>
            </c:strRef>
          </c:tx>
          <c:spPr>
            <a:solidFill>
              <a:schemeClr val="accent1">
                <a:lumMod val="60000"/>
              </a:schemeClr>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MW'!$Q$112:$AC$112</c:f>
              <c:numCache>
                <c:formatCode>0</c:formatCode>
                <c:ptCount val="13"/>
                <c:pt idx="0">
                  <c:v>6.9</c:v>
                </c:pt>
                <c:pt idx="1">
                  <c:v>34.5</c:v>
                </c:pt>
                <c:pt idx="2">
                  <c:v>117.30000000000001</c:v>
                </c:pt>
                <c:pt idx="3">
                  <c:v>278.10000000000002</c:v>
                </c:pt>
                <c:pt idx="4">
                  <c:v>136.18181818181819</c:v>
                </c:pt>
                <c:pt idx="5">
                  <c:v>224.43333333333334</c:v>
                </c:pt>
                <c:pt idx="6">
                  <c:v>681.35</c:v>
                </c:pt>
                <c:pt idx="7">
                  <c:v>1261.402994011976</c:v>
                </c:pt>
                <c:pt idx="8">
                  <c:v>952.19999999999993</c:v>
                </c:pt>
                <c:pt idx="9">
                  <c:v>1428</c:v>
                </c:pt>
                <c:pt idx="10">
                  <c:v>336</c:v>
                </c:pt>
                <c:pt idx="11">
                  <c:v>750</c:v>
                </c:pt>
                <c:pt idx="12">
                  <c:v>600</c:v>
                </c:pt>
              </c:numCache>
            </c:numRef>
          </c:val>
          <c:extLst>
            <c:ext xmlns:c16="http://schemas.microsoft.com/office/drawing/2014/chart" uri="{C3380CC4-5D6E-409C-BE32-E72D297353CC}">
              <c16:uniqueId val="{00000006-C129-4269-AA8C-CF37C1C18E83}"/>
            </c:ext>
          </c:extLst>
        </c:ser>
        <c:ser>
          <c:idx val="7"/>
          <c:order val="7"/>
          <c:tx>
            <c:strRef>
              <c:f>'Vestas turbines hist MW'!$B$113</c:f>
              <c:strCache>
                <c:ptCount val="1"/>
                <c:pt idx="0">
                  <c:v>V116</c:v>
                </c:pt>
              </c:strCache>
            </c:strRef>
          </c:tx>
          <c:spPr>
            <a:solidFill>
              <a:schemeClr val="accent2">
                <a:lumMod val="60000"/>
              </a:schemeClr>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MW'!$Q$113:$AC$113</c:f>
              <c:numCache>
                <c:formatCode>0</c:formatCode>
                <c:ptCount val="13"/>
                <c:pt idx="0">
                  <c:v>0</c:v>
                </c:pt>
                <c:pt idx="1">
                  <c:v>0</c:v>
                </c:pt>
                <c:pt idx="2">
                  <c:v>0</c:v>
                </c:pt>
                <c:pt idx="3">
                  <c:v>0</c:v>
                </c:pt>
                <c:pt idx="4">
                  <c:v>432</c:v>
                </c:pt>
                <c:pt idx="5">
                  <c:v>66</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7-C129-4269-AA8C-CF37C1C18E83}"/>
            </c:ext>
          </c:extLst>
        </c:ser>
        <c:ser>
          <c:idx val="8"/>
          <c:order val="8"/>
          <c:tx>
            <c:strRef>
              <c:f>'Vestas turbines hist MW'!$B$114</c:f>
              <c:strCache>
                <c:ptCount val="1"/>
                <c:pt idx="0">
                  <c:v>V117</c:v>
                </c:pt>
              </c:strCache>
            </c:strRef>
          </c:tx>
          <c:spPr>
            <a:solidFill>
              <a:schemeClr val="accent3">
                <a:lumMod val="60000"/>
              </a:schemeClr>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MW'!$Q$114:$AC$114</c:f>
              <c:numCache>
                <c:formatCode>0</c:formatCode>
                <c:ptCount val="13"/>
                <c:pt idx="0">
                  <c:v>44.85</c:v>
                </c:pt>
                <c:pt idx="1">
                  <c:v>79.350000000000009</c:v>
                </c:pt>
                <c:pt idx="2">
                  <c:v>113.85000000000001</c:v>
                </c:pt>
                <c:pt idx="3">
                  <c:v>158.70000000000002</c:v>
                </c:pt>
                <c:pt idx="4">
                  <c:v>647.625</c:v>
                </c:pt>
                <c:pt idx="5">
                  <c:v>230.91666666666666</c:v>
                </c:pt>
                <c:pt idx="6">
                  <c:v>1554.45</c:v>
                </c:pt>
                <c:pt idx="7">
                  <c:v>1309.4999999999998</c:v>
                </c:pt>
                <c:pt idx="8">
                  <c:v>62.699999999999996</c:v>
                </c:pt>
                <c:pt idx="9">
                  <c:v>0</c:v>
                </c:pt>
                <c:pt idx="10">
                  <c:v>0</c:v>
                </c:pt>
                <c:pt idx="11">
                  <c:v>0</c:v>
                </c:pt>
                <c:pt idx="12">
                  <c:v>0</c:v>
                </c:pt>
              </c:numCache>
            </c:numRef>
          </c:val>
          <c:extLst>
            <c:ext xmlns:c16="http://schemas.microsoft.com/office/drawing/2014/chart" uri="{C3380CC4-5D6E-409C-BE32-E72D297353CC}">
              <c16:uniqueId val="{00000008-C129-4269-AA8C-CF37C1C18E83}"/>
            </c:ext>
          </c:extLst>
        </c:ser>
        <c:ser>
          <c:idx val="9"/>
          <c:order val="9"/>
          <c:tx>
            <c:strRef>
              <c:f>'Vestas turbines hist MW'!$B$115</c:f>
              <c:strCache>
                <c:ptCount val="1"/>
                <c:pt idx="0">
                  <c:v>V120</c:v>
                </c:pt>
              </c:strCache>
            </c:strRef>
          </c:tx>
          <c:spPr>
            <a:solidFill>
              <a:schemeClr val="accent4">
                <a:lumMod val="60000"/>
              </a:schemeClr>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MW'!$Q$115:$AC$115</c:f>
              <c:numCache>
                <c:formatCode>0</c:formatCode>
                <c:ptCount val="13"/>
                <c:pt idx="0">
                  <c:v>50.6</c:v>
                </c:pt>
                <c:pt idx="1">
                  <c:v>561</c:v>
                </c:pt>
                <c:pt idx="2">
                  <c:v>704</c:v>
                </c:pt>
                <c:pt idx="3">
                  <c:v>2790.5999999999995</c:v>
                </c:pt>
                <c:pt idx="4">
                  <c:v>972.40000000000009</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C129-4269-AA8C-CF37C1C18E83}"/>
            </c:ext>
          </c:extLst>
        </c:ser>
        <c:ser>
          <c:idx val="10"/>
          <c:order val="10"/>
          <c:tx>
            <c:strRef>
              <c:f>'Vestas turbines hist MW'!$B$116</c:f>
              <c:strCache>
                <c:ptCount val="1"/>
                <c:pt idx="0">
                  <c:v>V126</c:v>
                </c:pt>
              </c:strCache>
            </c:strRef>
          </c:tx>
          <c:spPr>
            <a:solidFill>
              <a:schemeClr val="accent5">
                <a:lumMod val="60000"/>
              </a:schemeClr>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MW'!$Q$116:$AC$116</c:f>
              <c:numCache>
                <c:formatCode>0</c:formatCode>
                <c:ptCount val="13"/>
                <c:pt idx="0">
                  <c:v>86.25</c:v>
                </c:pt>
                <c:pt idx="1">
                  <c:v>621.15000000000009</c:v>
                </c:pt>
                <c:pt idx="2">
                  <c:v>820.35</c:v>
                </c:pt>
                <c:pt idx="3">
                  <c:v>708.95</c:v>
                </c:pt>
                <c:pt idx="4">
                  <c:v>793.8868421052631</c:v>
                </c:pt>
                <c:pt idx="5">
                  <c:v>1145.2833333333333</c:v>
                </c:pt>
                <c:pt idx="6">
                  <c:v>1404.6666666666665</c:v>
                </c:pt>
                <c:pt idx="7">
                  <c:v>814.99999999999989</c:v>
                </c:pt>
                <c:pt idx="8">
                  <c:v>323.7</c:v>
                </c:pt>
                <c:pt idx="9">
                  <c:v>0</c:v>
                </c:pt>
                <c:pt idx="10">
                  <c:v>9</c:v>
                </c:pt>
                <c:pt idx="11">
                  <c:v>0</c:v>
                </c:pt>
                <c:pt idx="12">
                  <c:v>0</c:v>
                </c:pt>
              </c:numCache>
            </c:numRef>
          </c:val>
          <c:extLst>
            <c:ext xmlns:c16="http://schemas.microsoft.com/office/drawing/2014/chart" uri="{C3380CC4-5D6E-409C-BE32-E72D297353CC}">
              <c16:uniqueId val="{0000000A-C129-4269-AA8C-CF37C1C18E83}"/>
            </c:ext>
          </c:extLst>
        </c:ser>
        <c:ser>
          <c:idx val="11"/>
          <c:order val="11"/>
          <c:tx>
            <c:strRef>
              <c:f>'Vestas turbines hist MW'!$B$117</c:f>
              <c:strCache>
                <c:ptCount val="1"/>
                <c:pt idx="0">
                  <c:v>V136</c:v>
                </c:pt>
              </c:strCache>
            </c:strRef>
          </c:tx>
          <c:spPr>
            <a:solidFill>
              <a:schemeClr val="accent6">
                <a:lumMod val="60000"/>
              </a:schemeClr>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MW'!$Q$117:$AC$117</c:f>
              <c:numCache>
                <c:formatCode>0</c:formatCode>
                <c:ptCount val="13"/>
                <c:pt idx="0">
                  <c:v>811.95</c:v>
                </c:pt>
                <c:pt idx="1">
                  <c:v>588.54999999999995</c:v>
                </c:pt>
                <c:pt idx="2">
                  <c:v>1832.9</c:v>
                </c:pt>
                <c:pt idx="3">
                  <c:v>1391.2078626799557</c:v>
                </c:pt>
                <c:pt idx="4">
                  <c:v>4474.1648496240605</c:v>
                </c:pt>
                <c:pt idx="5">
                  <c:v>2689.1776315789475</c:v>
                </c:pt>
                <c:pt idx="6">
                  <c:v>0</c:v>
                </c:pt>
                <c:pt idx="7">
                  <c:v>117</c:v>
                </c:pt>
                <c:pt idx="8">
                  <c:v>0</c:v>
                </c:pt>
                <c:pt idx="9">
                  <c:v>0</c:v>
                </c:pt>
                <c:pt idx="10">
                  <c:v>0</c:v>
                </c:pt>
                <c:pt idx="11">
                  <c:v>0</c:v>
                </c:pt>
                <c:pt idx="12">
                  <c:v>0</c:v>
                </c:pt>
              </c:numCache>
            </c:numRef>
          </c:val>
          <c:extLst>
            <c:ext xmlns:c16="http://schemas.microsoft.com/office/drawing/2014/chart" uri="{C3380CC4-5D6E-409C-BE32-E72D297353CC}">
              <c16:uniqueId val="{0000000B-C129-4269-AA8C-CF37C1C18E83}"/>
            </c:ext>
          </c:extLst>
        </c:ser>
        <c:ser>
          <c:idx val="12"/>
          <c:order val="12"/>
          <c:tx>
            <c:strRef>
              <c:f>'Vestas turbines hist MW'!$B$118</c:f>
              <c:strCache>
                <c:ptCount val="1"/>
                <c:pt idx="0">
                  <c:v>V150</c:v>
                </c:pt>
              </c:strCache>
            </c:strRef>
          </c:tx>
          <c:spPr>
            <a:solidFill>
              <a:schemeClr val="accent1">
                <a:lumMod val="80000"/>
                <a:lumOff val="20000"/>
              </a:schemeClr>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MW'!$Q$118:$AC$118</c:f>
              <c:numCache>
                <c:formatCode>0</c:formatCode>
                <c:ptCount val="13"/>
                <c:pt idx="0">
                  <c:v>3895</c:v>
                </c:pt>
                <c:pt idx="1">
                  <c:v>3275.7</c:v>
                </c:pt>
                <c:pt idx="2">
                  <c:v>4636.3190476190475</c:v>
                </c:pt>
                <c:pt idx="3">
                  <c:v>4512.8285714285712</c:v>
                </c:pt>
                <c:pt idx="4">
                  <c:v>1068</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C-C129-4269-AA8C-CF37C1C18E83}"/>
            </c:ext>
          </c:extLst>
        </c:ser>
        <c:ser>
          <c:idx val="13"/>
          <c:order val="13"/>
          <c:tx>
            <c:strRef>
              <c:f>'Vestas turbines hist MW'!$B$119</c:f>
              <c:strCache>
                <c:ptCount val="1"/>
                <c:pt idx="0">
                  <c:v>V155</c:v>
                </c:pt>
              </c:strCache>
            </c:strRef>
          </c:tx>
          <c:spPr>
            <a:solidFill>
              <a:schemeClr val="accent2">
                <a:lumMod val="80000"/>
                <a:lumOff val="20000"/>
              </a:schemeClr>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MW'!$Q$119:$AC$119</c:f>
              <c:numCache>
                <c:formatCode>0</c:formatCode>
                <c:ptCount val="13"/>
                <c:pt idx="0">
                  <c:v>54</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3CC4-4EFB-810D-ECE0DE38E45C}"/>
            </c:ext>
          </c:extLst>
        </c:ser>
        <c:ser>
          <c:idx val="14"/>
          <c:order val="14"/>
          <c:tx>
            <c:strRef>
              <c:f>'Vestas turbines hist MW'!$B$120</c:f>
              <c:strCache>
                <c:ptCount val="1"/>
                <c:pt idx="0">
                  <c:v>V162</c:v>
                </c:pt>
              </c:strCache>
            </c:strRef>
          </c:tx>
          <c:spPr>
            <a:solidFill>
              <a:schemeClr val="accent3">
                <a:lumMod val="80000"/>
                <a:lumOff val="20000"/>
              </a:schemeClr>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MW'!$Q$120:$AC$120</c:f>
              <c:numCache>
                <c:formatCode>0</c:formatCode>
                <c:ptCount val="13"/>
                <c:pt idx="0">
                  <c:v>2430.4</c:v>
                </c:pt>
                <c:pt idx="1">
                  <c:v>3133.2</c:v>
                </c:pt>
                <c:pt idx="2">
                  <c:v>1230.4000000000001</c:v>
                </c:pt>
                <c:pt idx="3">
                  <c:v>251.99999999999997</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3CC4-4EFB-810D-ECE0DE38E45C}"/>
            </c:ext>
          </c:extLst>
        </c:ser>
        <c:ser>
          <c:idx val="15"/>
          <c:order val="15"/>
          <c:tx>
            <c:strRef>
              <c:f>'Vestas turbines hist MW'!$B$121</c:f>
              <c:strCache>
                <c:ptCount val="1"/>
                <c:pt idx="0">
                  <c:v>V164</c:v>
                </c:pt>
              </c:strCache>
            </c:strRef>
          </c:tx>
          <c:spPr>
            <a:solidFill>
              <a:schemeClr val="accent4">
                <a:lumMod val="80000"/>
                <a:lumOff val="20000"/>
              </a:schemeClr>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MW'!$Q$121:$AC$121</c:f>
              <c:numCache>
                <c:formatCode>0</c:formatCode>
                <c:ptCount val="13"/>
                <c:pt idx="0">
                  <c:v>60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3CC4-4EFB-810D-ECE0DE38E45C}"/>
            </c:ext>
          </c:extLst>
        </c:ser>
        <c:ser>
          <c:idx val="16"/>
          <c:order val="16"/>
          <c:tx>
            <c:strRef>
              <c:f>'Vestas turbines hist MW'!$B$122</c:f>
              <c:strCache>
                <c:ptCount val="1"/>
                <c:pt idx="0">
                  <c:v>V174</c:v>
                </c:pt>
              </c:strCache>
            </c:strRef>
          </c:tx>
          <c:spPr>
            <a:solidFill>
              <a:schemeClr val="accent5">
                <a:lumMod val="80000"/>
                <a:lumOff val="20000"/>
              </a:schemeClr>
            </a:solidFill>
            <a:ln>
              <a:noFill/>
            </a:ln>
            <a:effectLst/>
          </c:spPr>
          <c:invertIfNegative val="0"/>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MW'!$Q$122:$AC$122</c:f>
              <c:numCache>
                <c:formatCode>0</c:formatCode>
                <c:ptCount val="13"/>
                <c:pt idx="0">
                  <c:v>589</c:v>
                </c:pt>
                <c:pt idx="1">
                  <c:v>731.5</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3CC4-4EFB-810D-ECE0DE38E45C}"/>
            </c:ext>
          </c:extLst>
        </c:ser>
        <c:dLbls>
          <c:showLegendKey val="0"/>
          <c:showVal val="0"/>
          <c:showCatName val="0"/>
          <c:showSerName val="0"/>
          <c:showPercent val="0"/>
          <c:showBubbleSize val="0"/>
        </c:dLbls>
        <c:gapWidth val="150"/>
        <c:overlap val="100"/>
        <c:axId val="187171216"/>
        <c:axId val="187171608"/>
      </c:barChart>
      <c:catAx>
        <c:axId val="18717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1608"/>
        <c:crosses val="autoZero"/>
        <c:auto val="1"/>
        <c:lblAlgn val="ctr"/>
        <c:lblOffset val="100"/>
        <c:noMultiLvlLbl val="0"/>
      </c:catAx>
      <c:valAx>
        <c:axId val="187171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1216"/>
        <c:crosses val="autoZero"/>
        <c:crossBetween val="between"/>
      </c:valAx>
      <c:spPr>
        <a:noFill/>
        <a:ln>
          <a:noFill/>
        </a:ln>
        <a:effectLst/>
      </c:spPr>
    </c:plotArea>
    <c:legend>
      <c:legendPos val="b"/>
      <c:layout>
        <c:manualLayout>
          <c:xMode val="edge"/>
          <c:yMode val="edge"/>
          <c:x val="2.0774985462146567E-2"/>
          <c:y val="0.86237677228145526"/>
          <c:w val="0.89999994492130364"/>
          <c:h val="3.69339420228413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6.604617536580383E-2"/>
          <c:y val="8.4506721348826613E-2"/>
          <c:w val="0.91199773680984486"/>
          <c:h val="0.7239385148626758"/>
        </c:manualLayout>
      </c:layout>
      <c:areaChart>
        <c:grouping val="percentStacked"/>
        <c:varyColors val="0"/>
        <c:ser>
          <c:idx val="0"/>
          <c:order val="0"/>
          <c:tx>
            <c:strRef>
              <c:f>'Vestas turbines hist MW'!$B$106</c:f>
              <c:strCache>
                <c:ptCount val="1"/>
                <c:pt idx="0">
                  <c:v>V52</c:v>
                </c:pt>
              </c:strCache>
            </c:strRef>
          </c:tx>
          <c:spPr>
            <a:solidFill>
              <a:schemeClr val="accent1"/>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MW'!$Q$106:$AC$106</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D8B6-45DB-9671-6E986DC72126}"/>
            </c:ext>
          </c:extLst>
        </c:ser>
        <c:ser>
          <c:idx val="1"/>
          <c:order val="1"/>
          <c:tx>
            <c:strRef>
              <c:f>'Vestas turbines hist MW'!$B$107</c:f>
              <c:strCache>
                <c:ptCount val="1"/>
                <c:pt idx="0">
                  <c:v>V80</c:v>
                </c:pt>
              </c:strCache>
            </c:strRef>
          </c:tx>
          <c:spPr>
            <a:solidFill>
              <a:schemeClr val="accent2"/>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MW'!$Q$107:$AC$107</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D8B6-45DB-9671-6E986DC72126}"/>
            </c:ext>
          </c:extLst>
        </c:ser>
        <c:ser>
          <c:idx val="2"/>
          <c:order val="2"/>
          <c:tx>
            <c:strRef>
              <c:f>'Vestas turbines hist MW'!$B$108</c:f>
              <c:strCache>
                <c:ptCount val="1"/>
                <c:pt idx="0">
                  <c:v>V90</c:v>
                </c:pt>
              </c:strCache>
            </c:strRef>
          </c:tx>
          <c:spPr>
            <a:solidFill>
              <a:schemeClr val="accent3"/>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MW'!$Q$108:$AC$108</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D8B6-45DB-9671-6E986DC72126}"/>
            </c:ext>
          </c:extLst>
        </c:ser>
        <c:ser>
          <c:idx val="3"/>
          <c:order val="3"/>
          <c:tx>
            <c:strRef>
              <c:f>'Vestas turbines hist MW'!$B$109</c:f>
              <c:strCache>
                <c:ptCount val="1"/>
                <c:pt idx="0">
                  <c:v>V100</c:v>
                </c:pt>
              </c:strCache>
            </c:strRef>
          </c:tx>
          <c:spPr>
            <a:solidFill>
              <a:schemeClr val="accent4"/>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MW'!$Q$109:$AC$109</c:f>
              <c:numCache>
                <c:formatCode>0</c:formatCode>
                <c:ptCount val="13"/>
                <c:pt idx="0">
                  <c:v>4</c:v>
                </c:pt>
                <c:pt idx="1">
                  <c:v>172</c:v>
                </c:pt>
                <c:pt idx="2">
                  <c:v>248</c:v>
                </c:pt>
                <c:pt idx="3">
                  <c:v>0</c:v>
                </c:pt>
                <c:pt idx="4">
                  <c:v>282</c:v>
                </c:pt>
                <c:pt idx="5">
                  <c:v>144</c:v>
                </c:pt>
                <c:pt idx="6">
                  <c:v>235</c:v>
                </c:pt>
                <c:pt idx="7">
                  <c:v>1098</c:v>
                </c:pt>
                <c:pt idx="8">
                  <c:v>1318</c:v>
                </c:pt>
                <c:pt idx="9">
                  <c:v>1334.2</c:v>
                </c:pt>
                <c:pt idx="10">
                  <c:v>384.00000000000006</c:v>
                </c:pt>
                <c:pt idx="11">
                  <c:v>754.80000000000007</c:v>
                </c:pt>
                <c:pt idx="12">
                  <c:v>453.6</c:v>
                </c:pt>
              </c:numCache>
            </c:numRef>
          </c:val>
          <c:extLst>
            <c:ext xmlns:c16="http://schemas.microsoft.com/office/drawing/2014/chart" uri="{C3380CC4-5D6E-409C-BE32-E72D297353CC}">
              <c16:uniqueId val="{00000003-D8B6-45DB-9671-6E986DC72126}"/>
            </c:ext>
          </c:extLst>
        </c:ser>
        <c:ser>
          <c:idx val="4"/>
          <c:order val="4"/>
          <c:tx>
            <c:strRef>
              <c:f>'Vestas turbines hist MW'!$B$110</c:f>
              <c:strCache>
                <c:ptCount val="1"/>
                <c:pt idx="0">
                  <c:v>V105</c:v>
                </c:pt>
              </c:strCache>
            </c:strRef>
          </c:tx>
          <c:spPr>
            <a:solidFill>
              <a:schemeClr val="accent5"/>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MW'!$Q$110:$AC$110</c:f>
              <c:numCache>
                <c:formatCode>0</c:formatCode>
                <c:ptCount val="13"/>
                <c:pt idx="0">
                  <c:v>27.6</c:v>
                </c:pt>
                <c:pt idx="1">
                  <c:v>86.25</c:v>
                </c:pt>
                <c:pt idx="2">
                  <c:v>477.75000000000006</c:v>
                </c:pt>
                <c:pt idx="3">
                  <c:v>58.650000000000006</c:v>
                </c:pt>
                <c:pt idx="4">
                  <c:v>0</c:v>
                </c:pt>
                <c:pt idx="5">
                  <c:v>109.41666666666667</c:v>
                </c:pt>
                <c:pt idx="6">
                  <c:v>31</c:v>
                </c:pt>
                <c:pt idx="7">
                  <c:v>0</c:v>
                </c:pt>
                <c:pt idx="8">
                  <c:v>0</c:v>
                </c:pt>
                <c:pt idx="9">
                  <c:v>0</c:v>
                </c:pt>
                <c:pt idx="10">
                  <c:v>0</c:v>
                </c:pt>
                <c:pt idx="11">
                  <c:v>0</c:v>
                </c:pt>
                <c:pt idx="12">
                  <c:v>0</c:v>
                </c:pt>
              </c:numCache>
            </c:numRef>
          </c:val>
          <c:extLst>
            <c:ext xmlns:c16="http://schemas.microsoft.com/office/drawing/2014/chart" uri="{C3380CC4-5D6E-409C-BE32-E72D297353CC}">
              <c16:uniqueId val="{00000004-D8B6-45DB-9671-6E986DC72126}"/>
            </c:ext>
          </c:extLst>
        </c:ser>
        <c:ser>
          <c:idx val="5"/>
          <c:order val="5"/>
          <c:tx>
            <c:strRef>
              <c:f>'Vestas turbines hist MW'!$B$111</c:f>
              <c:strCache>
                <c:ptCount val="1"/>
                <c:pt idx="0">
                  <c:v>V110</c:v>
                </c:pt>
              </c:strCache>
            </c:strRef>
          </c:tx>
          <c:spPr>
            <a:solidFill>
              <a:schemeClr val="accent6"/>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MW'!$Q$111:$AC$111</c:f>
              <c:numCache>
                <c:formatCode>0</c:formatCode>
                <c:ptCount val="13"/>
                <c:pt idx="0">
                  <c:v>0</c:v>
                </c:pt>
                <c:pt idx="1">
                  <c:v>118</c:v>
                </c:pt>
                <c:pt idx="2">
                  <c:v>430</c:v>
                </c:pt>
                <c:pt idx="3">
                  <c:v>510</c:v>
                </c:pt>
                <c:pt idx="4">
                  <c:v>720.18181818181824</c:v>
                </c:pt>
                <c:pt idx="5">
                  <c:v>2819</c:v>
                </c:pt>
                <c:pt idx="6">
                  <c:v>2708.7272727272725</c:v>
                </c:pt>
                <c:pt idx="7">
                  <c:v>1720</c:v>
                </c:pt>
                <c:pt idx="8">
                  <c:v>672</c:v>
                </c:pt>
                <c:pt idx="9">
                  <c:v>590</c:v>
                </c:pt>
                <c:pt idx="10">
                  <c:v>0</c:v>
                </c:pt>
                <c:pt idx="11">
                  <c:v>0</c:v>
                </c:pt>
                <c:pt idx="12">
                  <c:v>0</c:v>
                </c:pt>
              </c:numCache>
            </c:numRef>
          </c:val>
          <c:extLst>
            <c:ext xmlns:c16="http://schemas.microsoft.com/office/drawing/2014/chart" uri="{C3380CC4-5D6E-409C-BE32-E72D297353CC}">
              <c16:uniqueId val="{00000005-D8B6-45DB-9671-6E986DC72126}"/>
            </c:ext>
          </c:extLst>
        </c:ser>
        <c:ser>
          <c:idx val="6"/>
          <c:order val="6"/>
          <c:tx>
            <c:strRef>
              <c:f>'Vestas turbines hist MW'!$B$112</c:f>
              <c:strCache>
                <c:ptCount val="1"/>
                <c:pt idx="0">
                  <c:v>V112</c:v>
                </c:pt>
              </c:strCache>
            </c:strRef>
          </c:tx>
          <c:spPr>
            <a:solidFill>
              <a:schemeClr val="accent1">
                <a:lumMod val="60000"/>
              </a:schemeClr>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MW'!$Q$112:$AC$112</c:f>
              <c:numCache>
                <c:formatCode>0</c:formatCode>
                <c:ptCount val="13"/>
                <c:pt idx="0">
                  <c:v>6.9</c:v>
                </c:pt>
                <c:pt idx="1">
                  <c:v>34.5</c:v>
                </c:pt>
                <c:pt idx="2">
                  <c:v>117.30000000000001</c:v>
                </c:pt>
                <c:pt idx="3">
                  <c:v>278.10000000000002</c:v>
                </c:pt>
                <c:pt idx="4">
                  <c:v>136.18181818181819</c:v>
                </c:pt>
                <c:pt idx="5">
                  <c:v>224.43333333333334</c:v>
                </c:pt>
                <c:pt idx="6">
                  <c:v>681.35</c:v>
                </c:pt>
                <c:pt idx="7">
                  <c:v>1261.402994011976</c:v>
                </c:pt>
                <c:pt idx="8">
                  <c:v>952.19999999999993</c:v>
                </c:pt>
                <c:pt idx="9">
                  <c:v>1428</c:v>
                </c:pt>
                <c:pt idx="10">
                  <c:v>336</c:v>
                </c:pt>
                <c:pt idx="11">
                  <c:v>750</c:v>
                </c:pt>
                <c:pt idx="12">
                  <c:v>600</c:v>
                </c:pt>
              </c:numCache>
            </c:numRef>
          </c:val>
          <c:extLst>
            <c:ext xmlns:c16="http://schemas.microsoft.com/office/drawing/2014/chart" uri="{C3380CC4-5D6E-409C-BE32-E72D297353CC}">
              <c16:uniqueId val="{00000006-D8B6-45DB-9671-6E986DC72126}"/>
            </c:ext>
          </c:extLst>
        </c:ser>
        <c:ser>
          <c:idx val="7"/>
          <c:order val="7"/>
          <c:tx>
            <c:strRef>
              <c:f>'Vestas turbines hist MW'!$B$113</c:f>
              <c:strCache>
                <c:ptCount val="1"/>
                <c:pt idx="0">
                  <c:v>V116</c:v>
                </c:pt>
              </c:strCache>
            </c:strRef>
          </c:tx>
          <c:spPr>
            <a:solidFill>
              <a:schemeClr val="accent2">
                <a:lumMod val="60000"/>
              </a:schemeClr>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MW'!$Q$113:$AC$113</c:f>
              <c:numCache>
                <c:formatCode>0</c:formatCode>
                <c:ptCount val="13"/>
                <c:pt idx="0">
                  <c:v>0</c:v>
                </c:pt>
                <c:pt idx="1">
                  <c:v>0</c:v>
                </c:pt>
                <c:pt idx="2">
                  <c:v>0</c:v>
                </c:pt>
                <c:pt idx="3">
                  <c:v>0</c:v>
                </c:pt>
                <c:pt idx="4">
                  <c:v>432</c:v>
                </c:pt>
                <c:pt idx="5">
                  <c:v>66</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7-D8B6-45DB-9671-6E986DC72126}"/>
            </c:ext>
          </c:extLst>
        </c:ser>
        <c:ser>
          <c:idx val="8"/>
          <c:order val="8"/>
          <c:tx>
            <c:strRef>
              <c:f>'Vestas turbines hist MW'!$B$114</c:f>
              <c:strCache>
                <c:ptCount val="1"/>
                <c:pt idx="0">
                  <c:v>V117</c:v>
                </c:pt>
              </c:strCache>
            </c:strRef>
          </c:tx>
          <c:spPr>
            <a:solidFill>
              <a:schemeClr val="accent3">
                <a:lumMod val="60000"/>
              </a:schemeClr>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MW'!$Q$114:$AC$114</c:f>
              <c:numCache>
                <c:formatCode>0</c:formatCode>
                <c:ptCount val="13"/>
                <c:pt idx="0">
                  <c:v>44.85</c:v>
                </c:pt>
                <c:pt idx="1">
                  <c:v>79.350000000000009</c:v>
                </c:pt>
                <c:pt idx="2">
                  <c:v>113.85000000000001</c:v>
                </c:pt>
                <c:pt idx="3">
                  <c:v>158.70000000000002</c:v>
                </c:pt>
                <c:pt idx="4">
                  <c:v>647.625</c:v>
                </c:pt>
                <c:pt idx="5">
                  <c:v>230.91666666666666</c:v>
                </c:pt>
                <c:pt idx="6">
                  <c:v>1554.45</c:v>
                </c:pt>
                <c:pt idx="7">
                  <c:v>1309.4999999999998</c:v>
                </c:pt>
                <c:pt idx="8">
                  <c:v>62.699999999999996</c:v>
                </c:pt>
                <c:pt idx="9">
                  <c:v>0</c:v>
                </c:pt>
                <c:pt idx="10">
                  <c:v>0</c:v>
                </c:pt>
                <c:pt idx="11">
                  <c:v>0</c:v>
                </c:pt>
                <c:pt idx="12">
                  <c:v>0</c:v>
                </c:pt>
              </c:numCache>
            </c:numRef>
          </c:val>
          <c:extLst>
            <c:ext xmlns:c16="http://schemas.microsoft.com/office/drawing/2014/chart" uri="{C3380CC4-5D6E-409C-BE32-E72D297353CC}">
              <c16:uniqueId val="{00000008-D8B6-45DB-9671-6E986DC72126}"/>
            </c:ext>
          </c:extLst>
        </c:ser>
        <c:ser>
          <c:idx val="9"/>
          <c:order val="9"/>
          <c:tx>
            <c:strRef>
              <c:f>'Vestas turbines hist MW'!$B$115</c:f>
              <c:strCache>
                <c:ptCount val="1"/>
                <c:pt idx="0">
                  <c:v>V120</c:v>
                </c:pt>
              </c:strCache>
            </c:strRef>
          </c:tx>
          <c:spPr>
            <a:solidFill>
              <a:schemeClr val="accent4">
                <a:lumMod val="60000"/>
              </a:schemeClr>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MW'!$Q$115:$AC$115</c:f>
              <c:numCache>
                <c:formatCode>0</c:formatCode>
                <c:ptCount val="13"/>
                <c:pt idx="0">
                  <c:v>50.6</c:v>
                </c:pt>
                <c:pt idx="1">
                  <c:v>561</c:v>
                </c:pt>
                <c:pt idx="2">
                  <c:v>704</c:v>
                </c:pt>
                <c:pt idx="3">
                  <c:v>2790.5999999999995</c:v>
                </c:pt>
                <c:pt idx="4">
                  <c:v>972.40000000000009</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D8B6-45DB-9671-6E986DC72126}"/>
            </c:ext>
          </c:extLst>
        </c:ser>
        <c:ser>
          <c:idx val="10"/>
          <c:order val="10"/>
          <c:tx>
            <c:strRef>
              <c:f>'Vestas turbines hist MW'!$B$116</c:f>
              <c:strCache>
                <c:ptCount val="1"/>
                <c:pt idx="0">
                  <c:v>V126</c:v>
                </c:pt>
              </c:strCache>
            </c:strRef>
          </c:tx>
          <c:spPr>
            <a:solidFill>
              <a:schemeClr val="accent5">
                <a:lumMod val="60000"/>
              </a:schemeClr>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MW'!$Q$116:$AC$116</c:f>
              <c:numCache>
                <c:formatCode>0</c:formatCode>
                <c:ptCount val="13"/>
                <c:pt idx="0">
                  <c:v>86.25</c:v>
                </c:pt>
                <c:pt idx="1">
                  <c:v>621.15000000000009</c:v>
                </c:pt>
                <c:pt idx="2">
                  <c:v>820.35</c:v>
                </c:pt>
                <c:pt idx="3">
                  <c:v>708.95</c:v>
                </c:pt>
                <c:pt idx="4">
                  <c:v>793.8868421052631</c:v>
                </c:pt>
                <c:pt idx="5">
                  <c:v>1145.2833333333333</c:v>
                </c:pt>
                <c:pt idx="6">
                  <c:v>1404.6666666666665</c:v>
                </c:pt>
                <c:pt idx="7">
                  <c:v>814.99999999999989</c:v>
                </c:pt>
                <c:pt idx="8">
                  <c:v>323.7</c:v>
                </c:pt>
                <c:pt idx="9">
                  <c:v>0</c:v>
                </c:pt>
                <c:pt idx="10">
                  <c:v>9</c:v>
                </c:pt>
                <c:pt idx="11">
                  <c:v>0</c:v>
                </c:pt>
                <c:pt idx="12">
                  <c:v>0</c:v>
                </c:pt>
              </c:numCache>
            </c:numRef>
          </c:val>
          <c:extLst>
            <c:ext xmlns:c16="http://schemas.microsoft.com/office/drawing/2014/chart" uri="{C3380CC4-5D6E-409C-BE32-E72D297353CC}">
              <c16:uniqueId val="{0000000A-D8B6-45DB-9671-6E986DC72126}"/>
            </c:ext>
          </c:extLst>
        </c:ser>
        <c:ser>
          <c:idx val="11"/>
          <c:order val="11"/>
          <c:tx>
            <c:strRef>
              <c:f>'Vestas turbines hist MW'!$B$117</c:f>
              <c:strCache>
                <c:ptCount val="1"/>
                <c:pt idx="0">
                  <c:v>V136</c:v>
                </c:pt>
              </c:strCache>
            </c:strRef>
          </c:tx>
          <c:spPr>
            <a:solidFill>
              <a:schemeClr val="accent6">
                <a:lumMod val="60000"/>
              </a:schemeClr>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MW'!$Q$117:$AC$117</c:f>
              <c:numCache>
                <c:formatCode>0</c:formatCode>
                <c:ptCount val="13"/>
                <c:pt idx="0">
                  <c:v>811.95</c:v>
                </c:pt>
                <c:pt idx="1">
                  <c:v>588.54999999999995</c:v>
                </c:pt>
                <c:pt idx="2">
                  <c:v>1832.9</c:v>
                </c:pt>
                <c:pt idx="3">
                  <c:v>1391.2078626799557</c:v>
                </c:pt>
                <c:pt idx="4">
                  <c:v>4474.1648496240605</c:v>
                </c:pt>
                <c:pt idx="5">
                  <c:v>2689.1776315789475</c:v>
                </c:pt>
                <c:pt idx="6">
                  <c:v>0</c:v>
                </c:pt>
                <c:pt idx="7">
                  <c:v>117</c:v>
                </c:pt>
                <c:pt idx="8">
                  <c:v>0</c:v>
                </c:pt>
                <c:pt idx="9">
                  <c:v>0</c:v>
                </c:pt>
                <c:pt idx="10">
                  <c:v>0</c:v>
                </c:pt>
                <c:pt idx="11">
                  <c:v>0</c:v>
                </c:pt>
                <c:pt idx="12">
                  <c:v>0</c:v>
                </c:pt>
              </c:numCache>
            </c:numRef>
          </c:val>
          <c:extLst>
            <c:ext xmlns:c16="http://schemas.microsoft.com/office/drawing/2014/chart" uri="{C3380CC4-5D6E-409C-BE32-E72D297353CC}">
              <c16:uniqueId val="{0000000B-D8B6-45DB-9671-6E986DC72126}"/>
            </c:ext>
          </c:extLst>
        </c:ser>
        <c:ser>
          <c:idx val="12"/>
          <c:order val="12"/>
          <c:tx>
            <c:strRef>
              <c:f>'Vestas turbines hist MW'!$B$118</c:f>
              <c:strCache>
                <c:ptCount val="1"/>
                <c:pt idx="0">
                  <c:v>V150</c:v>
                </c:pt>
              </c:strCache>
            </c:strRef>
          </c:tx>
          <c:spPr>
            <a:solidFill>
              <a:schemeClr val="accent1">
                <a:lumMod val="80000"/>
                <a:lumOff val="20000"/>
              </a:schemeClr>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MW'!$Q$118:$AC$118</c:f>
              <c:numCache>
                <c:formatCode>0</c:formatCode>
                <c:ptCount val="13"/>
                <c:pt idx="0">
                  <c:v>3895</c:v>
                </c:pt>
                <c:pt idx="1">
                  <c:v>3275.7</c:v>
                </c:pt>
                <c:pt idx="2">
                  <c:v>4636.3190476190475</c:v>
                </c:pt>
                <c:pt idx="3">
                  <c:v>4512.8285714285712</c:v>
                </c:pt>
                <c:pt idx="4">
                  <c:v>1068</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C-D8B6-45DB-9671-6E986DC72126}"/>
            </c:ext>
          </c:extLst>
        </c:ser>
        <c:ser>
          <c:idx val="13"/>
          <c:order val="13"/>
          <c:tx>
            <c:strRef>
              <c:f>'Vestas turbines hist MW'!$B$119</c:f>
              <c:strCache>
                <c:ptCount val="1"/>
                <c:pt idx="0">
                  <c:v>V155</c:v>
                </c:pt>
              </c:strCache>
            </c:strRef>
          </c:tx>
          <c:spPr>
            <a:solidFill>
              <a:schemeClr val="accent2">
                <a:lumMod val="80000"/>
                <a:lumOff val="20000"/>
              </a:schemeClr>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MW'!$Q$119:$AC$119</c:f>
              <c:numCache>
                <c:formatCode>0</c:formatCode>
                <c:ptCount val="13"/>
                <c:pt idx="0">
                  <c:v>54</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D-D8B6-45DB-9671-6E986DC72126}"/>
            </c:ext>
          </c:extLst>
        </c:ser>
        <c:ser>
          <c:idx val="14"/>
          <c:order val="14"/>
          <c:tx>
            <c:strRef>
              <c:f>'Vestas turbines hist MW'!$B$120</c:f>
              <c:strCache>
                <c:ptCount val="1"/>
                <c:pt idx="0">
                  <c:v>V162</c:v>
                </c:pt>
              </c:strCache>
            </c:strRef>
          </c:tx>
          <c:spPr>
            <a:solidFill>
              <a:schemeClr val="accent3">
                <a:lumMod val="80000"/>
                <a:lumOff val="20000"/>
              </a:schemeClr>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MW'!$Q$120:$AC$120</c:f>
              <c:numCache>
                <c:formatCode>0</c:formatCode>
                <c:ptCount val="13"/>
                <c:pt idx="0">
                  <c:v>2430.4</c:v>
                </c:pt>
                <c:pt idx="1">
                  <c:v>3133.2</c:v>
                </c:pt>
                <c:pt idx="2">
                  <c:v>1230.4000000000001</c:v>
                </c:pt>
                <c:pt idx="3">
                  <c:v>251.99999999999997</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E-D8B6-45DB-9671-6E986DC72126}"/>
            </c:ext>
          </c:extLst>
        </c:ser>
        <c:ser>
          <c:idx val="15"/>
          <c:order val="15"/>
          <c:tx>
            <c:strRef>
              <c:f>'Vestas turbines hist MW'!$B$121</c:f>
              <c:strCache>
                <c:ptCount val="1"/>
                <c:pt idx="0">
                  <c:v>V164</c:v>
                </c:pt>
              </c:strCache>
            </c:strRef>
          </c:tx>
          <c:spPr>
            <a:solidFill>
              <a:schemeClr val="accent4">
                <a:lumMod val="80000"/>
                <a:lumOff val="20000"/>
              </a:schemeClr>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MW'!$Q$121:$AC$121</c:f>
              <c:numCache>
                <c:formatCode>0</c:formatCode>
                <c:ptCount val="13"/>
                <c:pt idx="0">
                  <c:v>60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F-D8B6-45DB-9671-6E986DC72126}"/>
            </c:ext>
          </c:extLst>
        </c:ser>
        <c:ser>
          <c:idx val="16"/>
          <c:order val="16"/>
          <c:tx>
            <c:strRef>
              <c:f>'Vestas turbines hist MW'!$B$122</c:f>
              <c:strCache>
                <c:ptCount val="1"/>
                <c:pt idx="0">
                  <c:v>V174</c:v>
                </c:pt>
              </c:strCache>
            </c:strRef>
          </c:tx>
          <c:spPr>
            <a:solidFill>
              <a:schemeClr val="accent5">
                <a:lumMod val="80000"/>
                <a:lumOff val="20000"/>
              </a:schemeClr>
            </a:solidFill>
            <a:ln>
              <a:noFill/>
            </a:ln>
            <a:effectLst/>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MW'!$Q$122:$AC$122</c:f>
              <c:numCache>
                <c:formatCode>0</c:formatCode>
                <c:ptCount val="13"/>
                <c:pt idx="0">
                  <c:v>589</c:v>
                </c:pt>
                <c:pt idx="1">
                  <c:v>731.5</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0-D8B6-45DB-9671-6E986DC72126}"/>
            </c:ext>
          </c:extLst>
        </c:ser>
        <c:dLbls>
          <c:showLegendKey val="0"/>
          <c:showVal val="0"/>
          <c:showCatName val="0"/>
          <c:showSerName val="0"/>
          <c:showPercent val="0"/>
          <c:showBubbleSize val="0"/>
        </c:dLbls>
        <c:axId val="187171216"/>
        <c:axId val="187171608"/>
      </c:areaChart>
      <c:catAx>
        <c:axId val="18717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1608"/>
        <c:crosses val="autoZero"/>
        <c:auto val="1"/>
        <c:lblAlgn val="ctr"/>
        <c:lblOffset val="100"/>
        <c:noMultiLvlLbl val="0"/>
      </c:catAx>
      <c:valAx>
        <c:axId val="187171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1216"/>
        <c:crosses val="autoZero"/>
        <c:crossBetween val="midCat"/>
      </c:valAx>
      <c:spPr>
        <a:noFill/>
        <a:ln>
          <a:noFill/>
        </a:ln>
        <a:effectLst/>
      </c:spPr>
    </c:plotArea>
    <c:legend>
      <c:legendPos val="b"/>
      <c:layout>
        <c:manualLayout>
          <c:xMode val="edge"/>
          <c:yMode val="edge"/>
          <c:x val="2.0774985462146567E-2"/>
          <c:y val="0.86237677228145526"/>
          <c:w val="0.89999994492130364"/>
          <c:h val="3.69339420228413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view3D>
      <c:rotX val="15"/>
      <c:rotY val="14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04617536580383E-2"/>
          <c:y val="8.4506721348826613E-2"/>
          <c:w val="0.91199773680984486"/>
          <c:h val="0.7239385148626758"/>
        </c:manualLayout>
      </c:layout>
      <c:area3DChart>
        <c:grouping val="standard"/>
        <c:varyColors val="0"/>
        <c:ser>
          <c:idx val="0"/>
          <c:order val="0"/>
          <c:tx>
            <c:strRef>
              <c:f>'Vestas turbines hist MW'!$B$106</c:f>
              <c:strCache>
                <c:ptCount val="1"/>
                <c:pt idx="0">
                  <c:v>V52</c:v>
                </c:pt>
              </c:strCache>
            </c:strRef>
          </c:tx>
          <c:spPr>
            <a:solidFill>
              <a:schemeClr val="accent1"/>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MW'!$Q$106:$AC$106</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02A4-4749-88A8-4439ED8B3873}"/>
            </c:ext>
          </c:extLst>
        </c:ser>
        <c:ser>
          <c:idx val="1"/>
          <c:order val="1"/>
          <c:tx>
            <c:strRef>
              <c:f>'Vestas turbines hist MW'!$B$107</c:f>
              <c:strCache>
                <c:ptCount val="1"/>
                <c:pt idx="0">
                  <c:v>V80</c:v>
                </c:pt>
              </c:strCache>
            </c:strRef>
          </c:tx>
          <c:spPr>
            <a:solidFill>
              <a:schemeClr val="accent2"/>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MW'!$Q$107:$AC$107</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02A4-4749-88A8-4439ED8B3873}"/>
            </c:ext>
          </c:extLst>
        </c:ser>
        <c:ser>
          <c:idx val="2"/>
          <c:order val="2"/>
          <c:tx>
            <c:strRef>
              <c:f>'Vestas turbines hist MW'!$B$108</c:f>
              <c:strCache>
                <c:ptCount val="1"/>
                <c:pt idx="0">
                  <c:v>V90</c:v>
                </c:pt>
              </c:strCache>
            </c:strRef>
          </c:tx>
          <c:spPr>
            <a:solidFill>
              <a:schemeClr val="accent3"/>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MW'!$Q$108:$AC$108</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02A4-4749-88A8-4439ED8B3873}"/>
            </c:ext>
          </c:extLst>
        </c:ser>
        <c:ser>
          <c:idx val="3"/>
          <c:order val="3"/>
          <c:tx>
            <c:strRef>
              <c:f>'Vestas turbines hist MW'!$B$109</c:f>
              <c:strCache>
                <c:ptCount val="1"/>
                <c:pt idx="0">
                  <c:v>V100</c:v>
                </c:pt>
              </c:strCache>
            </c:strRef>
          </c:tx>
          <c:spPr>
            <a:solidFill>
              <a:schemeClr val="accent4"/>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MW'!$Q$109:$AC$109</c:f>
              <c:numCache>
                <c:formatCode>0</c:formatCode>
                <c:ptCount val="13"/>
                <c:pt idx="0">
                  <c:v>4</c:v>
                </c:pt>
                <c:pt idx="1">
                  <c:v>172</c:v>
                </c:pt>
                <c:pt idx="2">
                  <c:v>248</c:v>
                </c:pt>
                <c:pt idx="3">
                  <c:v>0</c:v>
                </c:pt>
                <c:pt idx="4">
                  <c:v>282</c:v>
                </c:pt>
                <c:pt idx="5">
                  <c:v>144</c:v>
                </c:pt>
                <c:pt idx="6">
                  <c:v>235</c:v>
                </c:pt>
                <c:pt idx="7">
                  <c:v>1098</c:v>
                </c:pt>
                <c:pt idx="8">
                  <c:v>1318</c:v>
                </c:pt>
                <c:pt idx="9">
                  <c:v>1334.2</c:v>
                </c:pt>
                <c:pt idx="10">
                  <c:v>384.00000000000006</c:v>
                </c:pt>
                <c:pt idx="11">
                  <c:v>754.80000000000007</c:v>
                </c:pt>
                <c:pt idx="12">
                  <c:v>453.6</c:v>
                </c:pt>
              </c:numCache>
            </c:numRef>
          </c:val>
          <c:extLst>
            <c:ext xmlns:c16="http://schemas.microsoft.com/office/drawing/2014/chart" uri="{C3380CC4-5D6E-409C-BE32-E72D297353CC}">
              <c16:uniqueId val="{00000003-02A4-4749-88A8-4439ED8B3873}"/>
            </c:ext>
          </c:extLst>
        </c:ser>
        <c:ser>
          <c:idx val="4"/>
          <c:order val="4"/>
          <c:tx>
            <c:strRef>
              <c:f>'Vestas turbines hist MW'!$B$110</c:f>
              <c:strCache>
                <c:ptCount val="1"/>
                <c:pt idx="0">
                  <c:v>V105</c:v>
                </c:pt>
              </c:strCache>
            </c:strRef>
          </c:tx>
          <c:spPr>
            <a:solidFill>
              <a:schemeClr val="accent5"/>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MW'!$Q$110:$AC$110</c:f>
              <c:numCache>
                <c:formatCode>0</c:formatCode>
                <c:ptCount val="13"/>
                <c:pt idx="0">
                  <c:v>27.6</c:v>
                </c:pt>
                <c:pt idx="1">
                  <c:v>86.25</c:v>
                </c:pt>
                <c:pt idx="2">
                  <c:v>477.75000000000006</c:v>
                </c:pt>
                <c:pt idx="3">
                  <c:v>58.650000000000006</c:v>
                </c:pt>
                <c:pt idx="4">
                  <c:v>0</c:v>
                </c:pt>
                <c:pt idx="5">
                  <c:v>109.41666666666667</c:v>
                </c:pt>
                <c:pt idx="6">
                  <c:v>31</c:v>
                </c:pt>
                <c:pt idx="7">
                  <c:v>0</c:v>
                </c:pt>
                <c:pt idx="8">
                  <c:v>0</c:v>
                </c:pt>
                <c:pt idx="9">
                  <c:v>0</c:v>
                </c:pt>
                <c:pt idx="10">
                  <c:v>0</c:v>
                </c:pt>
                <c:pt idx="11">
                  <c:v>0</c:v>
                </c:pt>
                <c:pt idx="12">
                  <c:v>0</c:v>
                </c:pt>
              </c:numCache>
            </c:numRef>
          </c:val>
          <c:extLst>
            <c:ext xmlns:c16="http://schemas.microsoft.com/office/drawing/2014/chart" uri="{C3380CC4-5D6E-409C-BE32-E72D297353CC}">
              <c16:uniqueId val="{00000004-02A4-4749-88A8-4439ED8B3873}"/>
            </c:ext>
          </c:extLst>
        </c:ser>
        <c:ser>
          <c:idx val="5"/>
          <c:order val="5"/>
          <c:tx>
            <c:strRef>
              <c:f>'Vestas turbines hist MW'!$B$111</c:f>
              <c:strCache>
                <c:ptCount val="1"/>
                <c:pt idx="0">
                  <c:v>V110</c:v>
                </c:pt>
              </c:strCache>
            </c:strRef>
          </c:tx>
          <c:spPr>
            <a:solidFill>
              <a:schemeClr val="accent6"/>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MW'!$Q$111:$AC$111</c:f>
              <c:numCache>
                <c:formatCode>0</c:formatCode>
                <c:ptCount val="13"/>
                <c:pt idx="0">
                  <c:v>0</c:v>
                </c:pt>
                <c:pt idx="1">
                  <c:v>118</c:v>
                </c:pt>
                <c:pt idx="2">
                  <c:v>430</c:v>
                </c:pt>
                <c:pt idx="3">
                  <c:v>510</c:v>
                </c:pt>
                <c:pt idx="4">
                  <c:v>720.18181818181824</c:v>
                </c:pt>
                <c:pt idx="5">
                  <c:v>2819</c:v>
                </c:pt>
                <c:pt idx="6">
                  <c:v>2708.7272727272725</c:v>
                </c:pt>
                <c:pt idx="7">
                  <c:v>1720</c:v>
                </c:pt>
                <c:pt idx="8">
                  <c:v>672</c:v>
                </c:pt>
                <c:pt idx="9">
                  <c:v>590</c:v>
                </c:pt>
                <c:pt idx="10">
                  <c:v>0</c:v>
                </c:pt>
                <c:pt idx="11">
                  <c:v>0</c:v>
                </c:pt>
                <c:pt idx="12">
                  <c:v>0</c:v>
                </c:pt>
              </c:numCache>
            </c:numRef>
          </c:val>
          <c:extLst>
            <c:ext xmlns:c16="http://schemas.microsoft.com/office/drawing/2014/chart" uri="{C3380CC4-5D6E-409C-BE32-E72D297353CC}">
              <c16:uniqueId val="{00000005-02A4-4749-88A8-4439ED8B3873}"/>
            </c:ext>
          </c:extLst>
        </c:ser>
        <c:ser>
          <c:idx val="6"/>
          <c:order val="6"/>
          <c:tx>
            <c:strRef>
              <c:f>'Vestas turbines hist MW'!$B$112</c:f>
              <c:strCache>
                <c:ptCount val="1"/>
                <c:pt idx="0">
                  <c:v>V112</c:v>
                </c:pt>
              </c:strCache>
            </c:strRef>
          </c:tx>
          <c:spPr>
            <a:solidFill>
              <a:schemeClr val="accent1">
                <a:lumMod val="60000"/>
              </a:schemeClr>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MW'!$Q$112:$AC$112</c:f>
              <c:numCache>
                <c:formatCode>0</c:formatCode>
                <c:ptCount val="13"/>
                <c:pt idx="0">
                  <c:v>6.9</c:v>
                </c:pt>
                <c:pt idx="1">
                  <c:v>34.5</c:v>
                </c:pt>
                <c:pt idx="2">
                  <c:v>117.30000000000001</c:v>
                </c:pt>
                <c:pt idx="3">
                  <c:v>278.10000000000002</c:v>
                </c:pt>
                <c:pt idx="4">
                  <c:v>136.18181818181819</c:v>
                </c:pt>
                <c:pt idx="5">
                  <c:v>224.43333333333334</c:v>
                </c:pt>
                <c:pt idx="6">
                  <c:v>681.35</c:v>
                </c:pt>
                <c:pt idx="7">
                  <c:v>1261.402994011976</c:v>
                </c:pt>
                <c:pt idx="8">
                  <c:v>952.19999999999993</c:v>
                </c:pt>
                <c:pt idx="9">
                  <c:v>1428</c:v>
                </c:pt>
                <c:pt idx="10">
                  <c:v>336</c:v>
                </c:pt>
                <c:pt idx="11">
                  <c:v>750</c:v>
                </c:pt>
                <c:pt idx="12">
                  <c:v>600</c:v>
                </c:pt>
              </c:numCache>
            </c:numRef>
          </c:val>
          <c:extLst>
            <c:ext xmlns:c16="http://schemas.microsoft.com/office/drawing/2014/chart" uri="{C3380CC4-5D6E-409C-BE32-E72D297353CC}">
              <c16:uniqueId val="{00000006-02A4-4749-88A8-4439ED8B3873}"/>
            </c:ext>
          </c:extLst>
        </c:ser>
        <c:ser>
          <c:idx val="7"/>
          <c:order val="7"/>
          <c:tx>
            <c:strRef>
              <c:f>'Vestas turbines hist MW'!$B$113</c:f>
              <c:strCache>
                <c:ptCount val="1"/>
                <c:pt idx="0">
                  <c:v>V116</c:v>
                </c:pt>
              </c:strCache>
            </c:strRef>
          </c:tx>
          <c:spPr>
            <a:solidFill>
              <a:schemeClr val="accent2">
                <a:lumMod val="60000"/>
              </a:schemeClr>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MW'!$Q$113:$AC$113</c:f>
              <c:numCache>
                <c:formatCode>0</c:formatCode>
                <c:ptCount val="13"/>
                <c:pt idx="0">
                  <c:v>0</c:v>
                </c:pt>
                <c:pt idx="1">
                  <c:v>0</c:v>
                </c:pt>
                <c:pt idx="2">
                  <c:v>0</c:v>
                </c:pt>
                <c:pt idx="3">
                  <c:v>0</c:v>
                </c:pt>
                <c:pt idx="4">
                  <c:v>432</c:v>
                </c:pt>
                <c:pt idx="5">
                  <c:v>66</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7-02A4-4749-88A8-4439ED8B3873}"/>
            </c:ext>
          </c:extLst>
        </c:ser>
        <c:ser>
          <c:idx val="8"/>
          <c:order val="8"/>
          <c:tx>
            <c:strRef>
              <c:f>'Vestas turbines hist MW'!$B$114</c:f>
              <c:strCache>
                <c:ptCount val="1"/>
                <c:pt idx="0">
                  <c:v>V117</c:v>
                </c:pt>
              </c:strCache>
            </c:strRef>
          </c:tx>
          <c:spPr>
            <a:solidFill>
              <a:schemeClr val="accent3">
                <a:lumMod val="60000"/>
              </a:schemeClr>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MW'!$Q$114:$AC$114</c:f>
              <c:numCache>
                <c:formatCode>0</c:formatCode>
                <c:ptCount val="13"/>
                <c:pt idx="0">
                  <c:v>44.85</c:v>
                </c:pt>
                <c:pt idx="1">
                  <c:v>79.350000000000009</c:v>
                </c:pt>
                <c:pt idx="2">
                  <c:v>113.85000000000001</c:v>
                </c:pt>
                <c:pt idx="3">
                  <c:v>158.70000000000002</c:v>
                </c:pt>
                <c:pt idx="4">
                  <c:v>647.625</c:v>
                </c:pt>
                <c:pt idx="5">
                  <c:v>230.91666666666666</c:v>
                </c:pt>
                <c:pt idx="6">
                  <c:v>1554.45</c:v>
                </c:pt>
                <c:pt idx="7">
                  <c:v>1309.4999999999998</c:v>
                </c:pt>
                <c:pt idx="8">
                  <c:v>62.699999999999996</c:v>
                </c:pt>
                <c:pt idx="9">
                  <c:v>0</c:v>
                </c:pt>
                <c:pt idx="10">
                  <c:v>0</c:v>
                </c:pt>
                <c:pt idx="11">
                  <c:v>0</c:v>
                </c:pt>
                <c:pt idx="12">
                  <c:v>0</c:v>
                </c:pt>
              </c:numCache>
            </c:numRef>
          </c:val>
          <c:extLst>
            <c:ext xmlns:c16="http://schemas.microsoft.com/office/drawing/2014/chart" uri="{C3380CC4-5D6E-409C-BE32-E72D297353CC}">
              <c16:uniqueId val="{00000008-02A4-4749-88A8-4439ED8B3873}"/>
            </c:ext>
          </c:extLst>
        </c:ser>
        <c:ser>
          <c:idx val="9"/>
          <c:order val="9"/>
          <c:tx>
            <c:strRef>
              <c:f>'Vestas turbines hist MW'!$B$115</c:f>
              <c:strCache>
                <c:ptCount val="1"/>
                <c:pt idx="0">
                  <c:v>V120</c:v>
                </c:pt>
              </c:strCache>
            </c:strRef>
          </c:tx>
          <c:spPr>
            <a:solidFill>
              <a:schemeClr val="accent4">
                <a:lumMod val="60000"/>
              </a:schemeClr>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MW'!$Q$115:$AC$115</c:f>
              <c:numCache>
                <c:formatCode>0</c:formatCode>
                <c:ptCount val="13"/>
                <c:pt idx="0">
                  <c:v>50.6</c:v>
                </c:pt>
                <c:pt idx="1">
                  <c:v>561</c:v>
                </c:pt>
                <c:pt idx="2">
                  <c:v>704</c:v>
                </c:pt>
                <c:pt idx="3">
                  <c:v>2790.5999999999995</c:v>
                </c:pt>
                <c:pt idx="4">
                  <c:v>972.40000000000009</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02A4-4749-88A8-4439ED8B3873}"/>
            </c:ext>
          </c:extLst>
        </c:ser>
        <c:ser>
          <c:idx val="10"/>
          <c:order val="10"/>
          <c:tx>
            <c:strRef>
              <c:f>'Vestas turbines hist MW'!$B$116</c:f>
              <c:strCache>
                <c:ptCount val="1"/>
                <c:pt idx="0">
                  <c:v>V126</c:v>
                </c:pt>
              </c:strCache>
            </c:strRef>
          </c:tx>
          <c:spPr>
            <a:solidFill>
              <a:schemeClr val="accent5">
                <a:lumMod val="60000"/>
              </a:schemeClr>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MW'!$Q$116:$AC$116</c:f>
              <c:numCache>
                <c:formatCode>0</c:formatCode>
                <c:ptCount val="13"/>
                <c:pt idx="0">
                  <c:v>86.25</c:v>
                </c:pt>
                <c:pt idx="1">
                  <c:v>621.15000000000009</c:v>
                </c:pt>
                <c:pt idx="2">
                  <c:v>820.35</c:v>
                </c:pt>
                <c:pt idx="3">
                  <c:v>708.95</c:v>
                </c:pt>
                <c:pt idx="4">
                  <c:v>793.8868421052631</c:v>
                </c:pt>
                <c:pt idx="5">
                  <c:v>1145.2833333333333</c:v>
                </c:pt>
                <c:pt idx="6">
                  <c:v>1404.6666666666665</c:v>
                </c:pt>
                <c:pt idx="7">
                  <c:v>814.99999999999989</c:v>
                </c:pt>
                <c:pt idx="8">
                  <c:v>323.7</c:v>
                </c:pt>
                <c:pt idx="9">
                  <c:v>0</c:v>
                </c:pt>
                <c:pt idx="10">
                  <c:v>9</c:v>
                </c:pt>
                <c:pt idx="11">
                  <c:v>0</c:v>
                </c:pt>
                <c:pt idx="12">
                  <c:v>0</c:v>
                </c:pt>
              </c:numCache>
            </c:numRef>
          </c:val>
          <c:extLst>
            <c:ext xmlns:c16="http://schemas.microsoft.com/office/drawing/2014/chart" uri="{C3380CC4-5D6E-409C-BE32-E72D297353CC}">
              <c16:uniqueId val="{0000000A-02A4-4749-88A8-4439ED8B3873}"/>
            </c:ext>
          </c:extLst>
        </c:ser>
        <c:ser>
          <c:idx val="11"/>
          <c:order val="11"/>
          <c:tx>
            <c:strRef>
              <c:f>'Vestas turbines hist MW'!$B$117</c:f>
              <c:strCache>
                <c:ptCount val="1"/>
                <c:pt idx="0">
                  <c:v>V136</c:v>
                </c:pt>
              </c:strCache>
            </c:strRef>
          </c:tx>
          <c:spPr>
            <a:solidFill>
              <a:schemeClr val="accent6">
                <a:lumMod val="60000"/>
              </a:schemeClr>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MW'!$Q$117:$AC$117</c:f>
              <c:numCache>
                <c:formatCode>0</c:formatCode>
                <c:ptCount val="13"/>
                <c:pt idx="0">
                  <c:v>811.95</c:v>
                </c:pt>
                <c:pt idx="1">
                  <c:v>588.54999999999995</c:v>
                </c:pt>
                <c:pt idx="2">
                  <c:v>1832.9</c:v>
                </c:pt>
                <c:pt idx="3">
                  <c:v>1391.2078626799557</c:v>
                </c:pt>
                <c:pt idx="4">
                  <c:v>4474.1648496240605</c:v>
                </c:pt>
                <c:pt idx="5">
                  <c:v>2689.1776315789475</c:v>
                </c:pt>
                <c:pt idx="6">
                  <c:v>0</c:v>
                </c:pt>
                <c:pt idx="7">
                  <c:v>117</c:v>
                </c:pt>
                <c:pt idx="8">
                  <c:v>0</c:v>
                </c:pt>
                <c:pt idx="9">
                  <c:v>0</c:v>
                </c:pt>
                <c:pt idx="10">
                  <c:v>0</c:v>
                </c:pt>
                <c:pt idx="11">
                  <c:v>0</c:v>
                </c:pt>
                <c:pt idx="12">
                  <c:v>0</c:v>
                </c:pt>
              </c:numCache>
            </c:numRef>
          </c:val>
          <c:extLst>
            <c:ext xmlns:c16="http://schemas.microsoft.com/office/drawing/2014/chart" uri="{C3380CC4-5D6E-409C-BE32-E72D297353CC}">
              <c16:uniqueId val="{0000000B-02A4-4749-88A8-4439ED8B3873}"/>
            </c:ext>
          </c:extLst>
        </c:ser>
        <c:ser>
          <c:idx val="12"/>
          <c:order val="12"/>
          <c:tx>
            <c:strRef>
              <c:f>'Vestas turbines hist MW'!$B$118</c:f>
              <c:strCache>
                <c:ptCount val="1"/>
                <c:pt idx="0">
                  <c:v>V150</c:v>
                </c:pt>
              </c:strCache>
            </c:strRef>
          </c:tx>
          <c:spPr>
            <a:solidFill>
              <a:schemeClr val="accent1">
                <a:lumMod val="80000"/>
                <a:lumOff val="20000"/>
              </a:schemeClr>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MW'!$Q$118:$AC$118</c:f>
              <c:numCache>
                <c:formatCode>0</c:formatCode>
                <c:ptCount val="13"/>
                <c:pt idx="0">
                  <c:v>3895</c:v>
                </c:pt>
                <c:pt idx="1">
                  <c:v>3275.7</c:v>
                </c:pt>
                <c:pt idx="2">
                  <c:v>4636.3190476190475</c:v>
                </c:pt>
                <c:pt idx="3">
                  <c:v>4512.8285714285712</c:v>
                </c:pt>
                <c:pt idx="4">
                  <c:v>1068</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C-02A4-4749-88A8-4439ED8B3873}"/>
            </c:ext>
          </c:extLst>
        </c:ser>
        <c:ser>
          <c:idx val="13"/>
          <c:order val="13"/>
          <c:tx>
            <c:strRef>
              <c:f>'Vestas turbines hist MW'!$B$119</c:f>
              <c:strCache>
                <c:ptCount val="1"/>
                <c:pt idx="0">
                  <c:v>V155</c:v>
                </c:pt>
              </c:strCache>
            </c:strRef>
          </c:tx>
          <c:spPr>
            <a:solidFill>
              <a:schemeClr val="accent2">
                <a:lumMod val="80000"/>
                <a:lumOff val="20000"/>
              </a:schemeClr>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MW'!$Q$119:$AC$119</c:f>
              <c:numCache>
                <c:formatCode>0</c:formatCode>
                <c:ptCount val="13"/>
                <c:pt idx="0">
                  <c:v>54</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D-02A4-4749-88A8-4439ED8B3873}"/>
            </c:ext>
          </c:extLst>
        </c:ser>
        <c:ser>
          <c:idx val="14"/>
          <c:order val="14"/>
          <c:tx>
            <c:strRef>
              <c:f>'Vestas turbines hist MW'!$B$120</c:f>
              <c:strCache>
                <c:ptCount val="1"/>
                <c:pt idx="0">
                  <c:v>V162</c:v>
                </c:pt>
              </c:strCache>
            </c:strRef>
          </c:tx>
          <c:spPr>
            <a:solidFill>
              <a:schemeClr val="accent3">
                <a:lumMod val="80000"/>
                <a:lumOff val="20000"/>
              </a:schemeClr>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MW'!$Q$120:$AC$120</c:f>
              <c:numCache>
                <c:formatCode>0</c:formatCode>
                <c:ptCount val="13"/>
                <c:pt idx="0">
                  <c:v>2430.4</c:v>
                </c:pt>
                <c:pt idx="1">
                  <c:v>3133.2</c:v>
                </c:pt>
                <c:pt idx="2">
                  <c:v>1230.4000000000001</c:v>
                </c:pt>
                <c:pt idx="3">
                  <c:v>251.99999999999997</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E-02A4-4749-88A8-4439ED8B3873}"/>
            </c:ext>
          </c:extLst>
        </c:ser>
        <c:ser>
          <c:idx val="15"/>
          <c:order val="15"/>
          <c:tx>
            <c:strRef>
              <c:f>'Vestas turbines hist MW'!$B$121</c:f>
              <c:strCache>
                <c:ptCount val="1"/>
                <c:pt idx="0">
                  <c:v>V164</c:v>
                </c:pt>
              </c:strCache>
            </c:strRef>
          </c:tx>
          <c:spPr>
            <a:solidFill>
              <a:schemeClr val="accent4">
                <a:lumMod val="80000"/>
                <a:lumOff val="20000"/>
              </a:schemeClr>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MW'!$Q$121:$AC$121</c:f>
              <c:numCache>
                <c:formatCode>0</c:formatCode>
                <c:ptCount val="13"/>
                <c:pt idx="0">
                  <c:v>60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F-02A4-4749-88A8-4439ED8B3873}"/>
            </c:ext>
          </c:extLst>
        </c:ser>
        <c:ser>
          <c:idx val="16"/>
          <c:order val="16"/>
          <c:tx>
            <c:strRef>
              <c:f>'Vestas turbines hist MW'!$B$122</c:f>
              <c:strCache>
                <c:ptCount val="1"/>
                <c:pt idx="0">
                  <c:v>V174</c:v>
                </c:pt>
              </c:strCache>
            </c:strRef>
          </c:tx>
          <c:spPr>
            <a:solidFill>
              <a:schemeClr val="accent5">
                <a:lumMod val="80000"/>
                <a:lumOff val="20000"/>
              </a:schemeClr>
            </a:solidFill>
            <a:ln>
              <a:noFill/>
            </a:ln>
            <a:effectLst/>
            <a:sp3d/>
          </c:spPr>
          <c:cat>
            <c:numRef>
              <c:f>'Vestas turbines hist MW'!$Q$4:$AC$4</c:f>
              <c:numCache>
                <c:formatCode>General</c:formatCode>
                <c:ptCount val="13"/>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numCache>
            </c:numRef>
          </c:cat>
          <c:val>
            <c:numRef>
              <c:f>'Vestas turbines hist MW'!$Q$122:$AC$122</c:f>
              <c:numCache>
                <c:formatCode>0</c:formatCode>
                <c:ptCount val="13"/>
                <c:pt idx="0">
                  <c:v>589</c:v>
                </c:pt>
                <c:pt idx="1">
                  <c:v>731.5</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0-02A4-4749-88A8-4439ED8B3873}"/>
            </c:ext>
          </c:extLst>
        </c:ser>
        <c:dLbls>
          <c:showLegendKey val="0"/>
          <c:showVal val="0"/>
          <c:showCatName val="0"/>
          <c:showSerName val="0"/>
          <c:showPercent val="0"/>
          <c:showBubbleSize val="0"/>
        </c:dLbls>
        <c:axId val="187171216"/>
        <c:axId val="187171608"/>
        <c:axId val="1785348192"/>
      </c:area3DChart>
      <c:catAx>
        <c:axId val="18717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1608"/>
        <c:crosses val="autoZero"/>
        <c:auto val="1"/>
        <c:lblAlgn val="ctr"/>
        <c:lblOffset val="100"/>
        <c:noMultiLvlLbl val="0"/>
      </c:catAx>
      <c:valAx>
        <c:axId val="187171608"/>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1216"/>
        <c:crosses val="autoZero"/>
        <c:crossBetween val="midCat"/>
      </c:valAx>
      <c:serAx>
        <c:axId val="1785348192"/>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1608"/>
        <c:crosses val="autoZero"/>
      </c:serAx>
      <c:spPr>
        <a:noFill/>
        <a:ln>
          <a:noFill/>
        </a:ln>
        <a:effectLst/>
      </c:spPr>
    </c:plotArea>
    <c:legend>
      <c:legendPos val="b"/>
      <c:layout>
        <c:manualLayout>
          <c:xMode val="edge"/>
          <c:yMode val="edge"/>
          <c:x val="2.0774985462146567E-2"/>
          <c:y val="0.86237677228145526"/>
          <c:w val="0.89999994492130364"/>
          <c:h val="3.69339420228413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areaChart>
        <c:grouping val="stacked"/>
        <c:varyColors val="0"/>
        <c:ser>
          <c:idx val="0"/>
          <c:order val="0"/>
          <c:tx>
            <c:strRef>
              <c:f>'Accumulated deliveries'!$B$6</c:f>
              <c:strCache>
                <c:ptCount val="1"/>
                <c:pt idx="0">
                  <c:v>V52-850kW</c:v>
                </c:pt>
              </c:strCache>
            </c:strRef>
          </c:tx>
          <c:spPr>
            <a:solidFill>
              <a:schemeClr val="accent1"/>
            </a:solidFill>
            <a:ln>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deliveries'!$E$6:$N$6</c:f>
              <c:numCache>
                <c:formatCode>#,##0</c:formatCode>
                <c:ptCount val="10"/>
                <c:pt idx="0">
                  <c:v>2910</c:v>
                </c:pt>
                <c:pt idx="1">
                  <c:v>3199</c:v>
                </c:pt>
                <c:pt idx="2">
                  <c:v>3350</c:v>
                </c:pt>
                <c:pt idx="3">
                  <c:v>3350</c:v>
                </c:pt>
                <c:pt idx="4">
                  <c:v>3350</c:v>
                </c:pt>
                <c:pt idx="5">
                  <c:v>3660</c:v>
                </c:pt>
                <c:pt idx="6">
                  <c:v>3660</c:v>
                </c:pt>
                <c:pt idx="7">
                  <c:v>3660</c:v>
                </c:pt>
                <c:pt idx="8">
                  <c:v>3660</c:v>
                </c:pt>
                <c:pt idx="9">
                  <c:v>3660</c:v>
                </c:pt>
              </c:numCache>
            </c:numRef>
          </c:val>
          <c:extLst>
            <c:ext xmlns:c16="http://schemas.microsoft.com/office/drawing/2014/chart" uri="{C3380CC4-5D6E-409C-BE32-E72D297353CC}">
              <c16:uniqueId val="{00000000-07B5-486E-963A-C209F5E1E8FD}"/>
            </c:ext>
          </c:extLst>
        </c:ser>
        <c:ser>
          <c:idx val="1"/>
          <c:order val="1"/>
          <c:tx>
            <c:strRef>
              <c:f>'Accumulated deliveries'!$B$7</c:f>
              <c:strCache>
                <c:ptCount val="1"/>
                <c:pt idx="0">
                  <c:v>V60-850kW</c:v>
                </c:pt>
              </c:strCache>
            </c:strRef>
          </c:tx>
          <c:spPr>
            <a:solidFill>
              <a:schemeClr val="accent2"/>
            </a:solidFill>
            <a:ln>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deliveries'!$E$7:$N$7</c:f>
              <c:numCache>
                <c:formatCode>#,##0</c:formatCode>
                <c:ptCount val="10"/>
                <c:pt idx="1">
                  <c:v>13</c:v>
                </c:pt>
                <c:pt idx="2">
                  <c:v>99</c:v>
                </c:pt>
                <c:pt idx="3">
                  <c:v>99</c:v>
                </c:pt>
                <c:pt idx="4">
                  <c:v>99</c:v>
                </c:pt>
                <c:pt idx="5">
                  <c:v>99</c:v>
                </c:pt>
                <c:pt idx="6">
                  <c:v>99</c:v>
                </c:pt>
                <c:pt idx="7">
                  <c:v>99</c:v>
                </c:pt>
                <c:pt idx="8">
                  <c:v>99</c:v>
                </c:pt>
                <c:pt idx="9">
                  <c:v>99</c:v>
                </c:pt>
              </c:numCache>
            </c:numRef>
          </c:val>
          <c:extLst>
            <c:ext xmlns:c16="http://schemas.microsoft.com/office/drawing/2014/chart" uri="{C3380CC4-5D6E-409C-BE32-E72D297353CC}">
              <c16:uniqueId val="{00000001-07B5-486E-963A-C209F5E1E8FD}"/>
            </c:ext>
          </c:extLst>
        </c:ser>
        <c:ser>
          <c:idx val="2"/>
          <c:order val="2"/>
          <c:tx>
            <c:strRef>
              <c:f>'Accumulated deliveries'!$B$8</c:f>
              <c:strCache>
                <c:ptCount val="1"/>
                <c:pt idx="0">
                  <c:v>V80-1.8MW</c:v>
                </c:pt>
              </c:strCache>
            </c:strRef>
          </c:tx>
          <c:spPr>
            <a:solidFill>
              <a:schemeClr val="accent3"/>
            </a:solidFill>
            <a:ln>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deliveries'!$E$8:$N$8</c:f>
              <c:numCache>
                <c:formatCode>#,##0</c:formatCode>
                <c:ptCount val="10"/>
                <c:pt idx="0">
                  <c:v>1829</c:v>
                </c:pt>
                <c:pt idx="1">
                  <c:v>1829</c:v>
                </c:pt>
                <c:pt idx="2">
                  <c:v>1829</c:v>
                </c:pt>
                <c:pt idx="3">
                  <c:v>1829</c:v>
                </c:pt>
                <c:pt idx="4">
                  <c:v>1829</c:v>
                </c:pt>
                <c:pt idx="5">
                  <c:v>1829</c:v>
                </c:pt>
                <c:pt idx="6">
                  <c:v>1829</c:v>
                </c:pt>
                <c:pt idx="7">
                  <c:v>1829</c:v>
                </c:pt>
                <c:pt idx="8">
                  <c:v>1829</c:v>
                </c:pt>
                <c:pt idx="9">
                  <c:v>1829</c:v>
                </c:pt>
              </c:numCache>
            </c:numRef>
          </c:val>
          <c:extLst>
            <c:ext xmlns:c16="http://schemas.microsoft.com/office/drawing/2014/chart" uri="{C3380CC4-5D6E-409C-BE32-E72D297353CC}">
              <c16:uniqueId val="{00000002-07B5-486E-963A-C209F5E1E8FD}"/>
            </c:ext>
          </c:extLst>
        </c:ser>
        <c:ser>
          <c:idx val="3"/>
          <c:order val="3"/>
          <c:tx>
            <c:strRef>
              <c:f>'Accumulated deliveries'!$B$9</c:f>
              <c:strCache>
                <c:ptCount val="1"/>
                <c:pt idx="0">
                  <c:v>V80-2.0MW</c:v>
                </c:pt>
              </c:strCache>
            </c:strRef>
          </c:tx>
          <c:spPr>
            <a:solidFill>
              <a:schemeClr val="accent4"/>
            </a:solidFill>
            <a:ln>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deliveries'!$E$9:$N$9</c:f>
              <c:numCache>
                <c:formatCode>#,##0</c:formatCode>
                <c:ptCount val="10"/>
                <c:pt idx="0">
                  <c:v>5446</c:v>
                </c:pt>
                <c:pt idx="1">
                  <c:v>5962</c:v>
                </c:pt>
                <c:pt idx="2">
                  <c:v>6336</c:v>
                </c:pt>
                <c:pt idx="3">
                  <c:v>6538</c:v>
                </c:pt>
                <c:pt idx="4">
                  <c:v>6712</c:v>
                </c:pt>
                <c:pt idx="5">
                  <c:v>6780</c:v>
                </c:pt>
                <c:pt idx="6">
                  <c:v>6780</c:v>
                </c:pt>
                <c:pt idx="7">
                  <c:v>6780</c:v>
                </c:pt>
                <c:pt idx="8">
                  <c:v>6780</c:v>
                </c:pt>
                <c:pt idx="9">
                  <c:v>6780</c:v>
                </c:pt>
              </c:numCache>
            </c:numRef>
          </c:val>
          <c:extLst>
            <c:ext xmlns:c16="http://schemas.microsoft.com/office/drawing/2014/chart" uri="{C3380CC4-5D6E-409C-BE32-E72D297353CC}">
              <c16:uniqueId val="{00000003-07B5-486E-963A-C209F5E1E8FD}"/>
            </c:ext>
          </c:extLst>
        </c:ser>
        <c:ser>
          <c:idx val="4"/>
          <c:order val="4"/>
          <c:tx>
            <c:strRef>
              <c:f>'Accumulated deliveries'!$B$10</c:f>
              <c:strCache>
                <c:ptCount val="1"/>
                <c:pt idx="0">
                  <c:v>V82-1.5MW</c:v>
                </c:pt>
              </c:strCache>
            </c:strRef>
          </c:tx>
          <c:spPr>
            <a:solidFill>
              <a:schemeClr val="accent5"/>
            </a:solidFill>
            <a:ln>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deliveries'!$E$10:$N$10</c:f>
              <c:numCache>
                <c:formatCode>#,##0</c:formatCode>
                <c:ptCount val="10"/>
                <c:pt idx="0">
                  <c:v>320</c:v>
                </c:pt>
                <c:pt idx="1">
                  <c:v>320</c:v>
                </c:pt>
                <c:pt idx="2">
                  <c:v>320</c:v>
                </c:pt>
                <c:pt idx="3">
                  <c:v>320</c:v>
                </c:pt>
                <c:pt idx="4">
                  <c:v>320</c:v>
                </c:pt>
                <c:pt idx="5">
                  <c:v>320</c:v>
                </c:pt>
                <c:pt idx="6">
                  <c:v>320</c:v>
                </c:pt>
                <c:pt idx="7">
                  <c:v>320</c:v>
                </c:pt>
                <c:pt idx="8">
                  <c:v>320</c:v>
                </c:pt>
                <c:pt idx="9">
                  <c:v>320</c:v>
                </c:pt>
              </c:numCache>
            </c:numRef>
          </c:val>
          <c:extLst>
            <c:ext xmlns:c16="http://schemas.microsoft.com/office/drawing/2014/chart" uri="{C3380CC4-5D6E-409C-BE32-E72D297353CC}">
              <c16:uniqueId val="{00000004-07B5-486E-963A-C209F5E1E8FD}"/>
            </c:ext>
          </c:extLst>
        </c:ser>
        <c:ser>
          <c:idx val="5"/>
          <c:order val="5"/>
          <c:tx>
            <c:strRef>
              <c:f>'Accumulated deliveries'!$B$11</c:f>
              <c:strCache>
                <c:ptCount val="1"/>
                <c:pt idx="0">
                  <c:v>V82-1.65MW</c:v>
                </c:pt>
              </c:strCache>
            </c:strRef>
          </c:tx>
          <c:spPr>
            <a:solidFill>
              <a:schemeClr val="accent6"/>
            </a:solidFill>
            <a:ln>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deliveries'!$E$11:$N$11</c:f>
              <c:numCache>
                <c:formatCode>#,##0</c:formatCode>
                <c:ptCount val="10"/>
                <c:pt idx="0">
                  <c:v>4306</c:v>
                </c:pt>
                <c:pt idx="1">
                  <c:v>4757</c:v>
                </c:pt>
                <c:pt idx="2">
                  <c:v>4757</c:v>
                </c:pt>
                <c:pt idx="3">
                  <c:v>4757</c:v>
                </c:pt>
                <c:pt idx="4">
                  <c:v>4757</c:v>
                </c:pt>
                <c:pt idx="5">
                  <c:v>4757</c:v>
                </c:pt>
                <c:pt idx="6">
                  <c:v>4757</c:v>
                </c:pt>
                <c:pt idx="7">
                  <c:v>4757</c:v>
                </c:pt>
                <c:pt idx="8">
                  <c:v>4757</c:v>
                </c:pt>
                <c:pt idx="9">
                  <c:v>4757</c:v>
                </c:pt>
              </c:numCache>
            </c:numRef>
          </c:val>
          <c:extLst>
            <c:ext xmlns:c16="http://schemas.microsoft.com/office/drawing/2014/chart" uri="{C3380CC4-5D6E-409C-BE32-E72D297353CC}">
              <c16:uniqueId val="{00000005-07B5-486E-963A-C209F5E1E8FD}"/>
            </c:ext>
          </c:extLst>
        </c:ser>
        <c:ser>
          <c:idx val="6"/>
          <c:order val="6"/>
          <c:tx>
            <c:strRef>
              <c:f>'Accumulated deliveries'!$B$12</c:f>
              <c:strCache>
                <c:ptCount val="1"/>
                <c:pt idx="0">
                  <c:v>V90-1.8MW</c:v>
                </c:pt>
              </c:strCache>
            </c:strRef>
          </c:tx>
          <c:spPr>
            <a:solidFill>
              <a:schemeClr val="accent1">
                <a:lumMod val="60000"/>
              </a:schemeClr>
            </a:solidFill>
            <a:ln>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deliveries'!$E$12:$N$12</c:f>
              <c:numCache>
                <c:formatCode>#,##0</c:formatCode>
                <c:ptCount val="10"/>
                <c:pt idx="0">
                  <c:v>545</c:v>
                </c:pt>
                <c:pt idx="1">
                  <c:v>1029</c:v>
                </c:pt>
                <c:pt idx="2">
                  <c:v>2115</c:v>
                </c:pt>
                <c:pt idx="3">
                  <c:v>2545</c:v>
                </c:pt>
                <c:pt idx="4">
                  <c:v>2649</c:v>
                </c:pt>
                <c:pt idx="5">
                  <c:v>2649</c:v>
                </c:pt>
                <c:pt idx="6">
                  <c:v>2649</c:v>
                </c:pt>
                <c:pt idx="7">
                  <c:v>2649</c:v>
                </c:pt>
                <c:pt idx="8">
                  <c:v>2649</c:v>
                </c:pt>
                <c:pt idx="9">
                  <c:v>2649</c:v>
                </c:pt>
              </c:numCache>
            </c:numRef>
          </c:val>
          <c:extLst>
            <c:ext xmlns:c16="http://schemas.microsoft.com/office/drawing/2014/chart" uri="{C3380CC4-5D6E-409C-BE32-E72D297353CC}">
              <c16:uniqueId val="{00000006-07B5-486E-963A-C209F5E1E8FD}"/>
            </c:ext>
          </c:extLst>
        </c:ser>
        <c:ser>
          <c:idx val="7"/>
          <c:order val="7"/>
          <c:tx>
            <c:strRef>
              <c:f>'Accumulated deliveries'!$B$13</c:f>
              <c:strCache>
                <c:ptCount val="1"/>
                <c:pt idx="0">
                  <c:v>V90-2.0MW</c:v>
                </c:pt>
              </c:strCache>
            </c:strRef>
          </c:tx>
          <c:spPr>
            <a:solidFill>
              <a:schemeClr val="accent2">
                <a:lumMod val="60000"/>
              </a:schemeClr>
            </a:solidFill>
            <a:ln>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deliveries'!$E$13:$N$13</c:f>
              <c:numCache>
                <c:formatCode>#,##0</c:formatCode>
                <c:ptCount val="10"/>
                <c:pt idx="0">
                  <c:v>5017</c:v>
                </c:pt>
                <c:pt idx="1">
                  <c:v>6544</c:v>
                </c:pt>
                <c:pt idx="2">
                  <c:v>7936</c:v>
                </c:pt>
                <c:pt idx="3">
                  <c:v>9716</c:v>
                </c:pt>
                <c:pt idx="4">
                  <c:v>10990</c:v>
                </c:pt>
                <c:pt idx="5">
                  <c:v>11032</c:v>
                </c:pt>
                <c:pt idx="6">
                  <c:v>11130</c:v>
                </c:pt>
                <c:pt idx="7">
                  <c:v>11130</c:v>
                </c:pt>
                <c:pt idx="8">
                  <c:v>11130</c:v>
                </c:pt>
                <c:pt idx="9">
                  <c:v>11130</c:v>
                </c:pt>
              </c:numCache>
            </c:numRef>
          </c:val>
          <c:extLst>
            <c:ext xmlns:c16="http://schemas.microsoft.com/office/drawing/2014/chart" uri="{C3380CC4-5D6E-409C-BE32-E72D297353CC}">
              <c16:uniqueId val="{00000007-07B5-486E-963A-C209F5E1E8FD}"/>
            </c:ext>
          </c:extLst>
        </c:ser>
        <c:ser>
          <c:idx val="8"/>
          <c:order val="8"/>
          <c:tx>
            <c:strRef>
              <c:f>'Accumulated deliveries'!$B$14</c:f>
              <c:strCache>
                <c:ptCount val="1"/>
                <c:pt idx="0">
                  <c:v>V90-3.0MW</c:v>
                </c:pt>
              </c:strCache>
            </c:strRef>
          </c:tx>
          <c:spPr>
            <a:solidFill>
              <a:schemeClr val="accent3">
                <a:lumMod val="60000"/>
              </a:schemeClr>
            </a:solidFill>
            <a:ln>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deliveries'!$E$14:$N$14</c:f>
              <c:numCache>
                <c:formatCode>#,##0</c:formatCode>
                <c:ptCount val="10"/>
                <c:pt idx="0">
                  <c:v>4023</c:v>
                </c:pt>
                <c:pt idx="1">
                  <c:v>6510</c:v>
                </c:pt>
                <c:pt idx="2">
                  <c:v>7455</c:v>
                </c:pt>
                <c:pt idx="3">
                  <c:v>8190</c:v>
                </c:pt>
                <c:pt idx="4">
                  <c:v>8669</c:v>
                </c:pt>
                <c:pt idx="5">
                  <c:v>8852</c:v>
                </c:pt>
                <c:pt idx="6">
                  <c:v>8939</c:v>
                </c:pt>
                <c:pt idx="7">
                  <c:v>9059</c:v>
                </c:pt>
                <c:pt idx="8">
                  <c:v>9059</c:v>
                </c:pt>
                <c:pt idx="9">
                  <c:v>9059</c:v>
                </c:pt>
              </c:numCache>
            </c:numRef>
          </c:val>
          <c:extLst>
            <c:ext xmlns:c16="http://schemas.microsoft.com/office/drawing/2014/chart" uri="{C3380CC4-5D6E-409C-BE32-E72D297353CC}">
              <c16:uniqueId val="{00000008-07B5-486E-963A-C209F5E1E8FD}"/>
            </c:ext>
          </c:extLst>
        </c:ser>
        <c:ser>
          <c:idx val="9"/>
          <c:order val="9"/>
          <c:tx>
            <c:strRef>
              <c:f>'Accumulated deliveries'!$B$15</c:f>
              <c:strCache>
                <c:ptCount val="1"/>
                <c:pt idx="0">
                  <c:v>V100-1.8MW</c:v>
                </c:pt>
              </c:strCache>
            </c:strRef>
          </c:tx>
          <c:spPr>
            <a:solidFill>
              <a:schemeClr val="accent4">
                <a:lumMod val="60000"/>
              </a:schemeClr>
            </a:solidFill>
            <a:ln>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deliveries'!$E$15:$N$15</c:f>
              <c:numCache>
                <c:formatCode>#,##0</c:formatCode>
                <c:ptCount val="10"/>
                <c:pt idx="1">
                  <c:v>36</c:v>
                </c:pt>
                <c:pt idx="2">
                  <c:v>669</c:v>
                </c:pt>
                <c:pt idx="3">
                  <c:v>1911</c:v>
                </c:pt>
                <c:pt idx="4">
                  <c:v>2525</c:v>
                </c:pt>
                <c:pt idx="5">
                  <c:v>2525</c:v>
                </c:pt>
                <c:pt idx="6">
                  <c:v>2651</c:v>
                </c:pt>
                <c:pt idx="7">
                  <c:v>2678</c:v>
                </c:pt>
                <c:pt idx="8">
                  <c:v>2678</c:v>
                </c:pt>
                <c:pt idx="9">
                  <c:v>2678</c:v>
                </c:pt>
              </c:numCache>
            </c:numRef>
          </c:val>
          <c:extLst>
            <c:ext xmlns:c16="http://schemas.microsoft.com/office/drawing/2014/chart" uri="{C3380CC4-5D6E-409C-BE32-E72D297353CC}">
              <c16:uniqueId val="{00000009-07B5-486E-963A-C209F5E1E8FD}"/>
            </c:ext>
          </c:extLst>
        </c:ser>
        <c:ser>
          <c:idx val="10"/>
          <c:order val="10"/>
          <c:tx>
            <c:strRef>
              <c:f>'Accumulated deliveries'!$B$16</c:f>
              <c:strCache>
                <c:ptCount val="1"/>
                <c:pt idx="0">
                  <c:v>V100-2.0MW</c:v>
                </c:pt>
              </c:strCache>
            </c:strRef>
          </c:tx>
          <c:spPr>
            <a:solidFill>
              <a:schemeClr val="accent5">
                <a:lumMod val="60000"/>
              </a:schemeClr>
            </a:solidFill>
            <a:ln>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deliveries'!$E$16:$N$16</c:f>
              <c:numCache>
                <c:formatCode>#,##0</c:formatCode>
                <c:ptCount val="10"/>
                <c:pt idx="3">
                  <c:v>32</c:v>
                </c:pt>
                <c:pt idx="4">
                  <c:v>714</c:v>
                </c:pt>
                <c:pt idx="5">
                  <c:v>2032</c:v>
                </c:pt>
                <c:pt idx="6">
                  <c:v>3004</c:v>
                </c:pt>
                <c:pt idx="7">
                  <c:v>3212</c:v>
                </c:pt>
                <c:pt idx="8">
                  <c:v>3356</c:v>
                </c:pt>
                <c:pt idx="9">
                  <c:v>3638</c:v>
                </c:pt>
              </c:numCache>
            </c:numRef>
          </c:val>
          <c:extLst>
            <c:ext xmlns:c16="http://schemas.microsoft.com/office/drawing/2014/chart" uri="{C3380CC4-5D6E-409C-BE32-E72D297353CC}">
              <c16:uniqueId val="{0000000A-07B5-486E-963A-C209F5E1E8FD}"/>
            </c:ext>
          </c:extLst>
        </c:ser>
        <c:ser>
          <c:idx val="11"/>
          <c:order val="11"/>
          <c:tx>
            <c:strRef>
              <c:f>'Accumulated deliveries'!$B$17</c:f>
              <c:strCache>
                <c:ptCount val="1"/>
                <c:pt idx="0">
                  <c:v>V100-2.6MW</c:v>
                </c:pt>
              </c:strCache>
            </c:strRef>
          </c:tx>
          <c:spPr>
            <a:solidFill>
              <a:schemeClr val="accent6">
                <a:lumMod val="60000"/>
              </a:schemeClr>
            </a:solidFill>
            <a:ln>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deliveries'!$E$17:$N$17</c:f>
              <c:numCache>
                <c:formatCode>#,##0</c:formatCode>
                <c:ptCount val="10"/>
                <c:pt idx="3">
                  <c:v>133</c:v>
                </c:pt>
                <c:pt idx="4">
                  <c:v>221</c:v>
                </c:pt>
                <c:pt idx="5">
                  <c:v>221</c:v>
                </c:pt>
                <c:pt idx="6">
                  <c:v>221</c:v>
                </c:pt>
                <c:pt idx="7">
                  <c:v>221</c:v>
                </c:pt>
                <c:pt idx="8">
                  <c:v>221</c:v>
                </c:pt>
                <c:pt idx="9">
                  <c:v>221</c:v>
                </c:pt>
              </c:numCache>
            </c:numRef>
          </c:val>
          <c:extLst>
            <c:ext xmlns:c16="http://schemas.microsoft.com/office/drawing/2014/chart" uri="{C3380CC4-5D6E-409C-BE32-E72D297353CC}">
              <c16:uniqueId val="{0000000B-07B5-486E-963A-C209F5E1E8FD}"/>
            </c:ext>
          </c:extLst>
        </c:ser>
        <c:ser>
          <c:idx val="12"/>
          <c:order val="12"/>
          <c:tx>
            <c:strRef>
              <c:f>'Accumulated deliveries'!$B$18</c:f>
              <c:strCache>
                <c:ptCount val="1"/>
                <c:pt idx="0">
                  <c:v>V105-3.45MW</c:v>
                </c:pt>
              </c:strCache>
            </c:strRef>
          </c:tx>
          <c:spPr>
            <a:solidFill>
              <a:schemeClr val="accent1">
                <a:lumMod val="80000"/>
                <a:lumOff val="2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deliveries'!$E$18:$N$18</c:f>
              <c:numCache>
                <c:formatCode>#,##0</c:formatCode>
                <c:ptCount val="10"/>
                <c:pt idx="7">
                  <c:v>31.05</c:v>
                </c:pt>
                <c:pt idx="8">
                  <c:v>141.45000000000002</c:v>
                </c:pt>
                <c:pt idx="9">
                  <c:v>141.45000000000002</c:v>
                </c:pt>
              </c:numCache>
            </c:numRef>
          </c:val>
          <c:extLst>
            <c:ext xmlns:c16="http://schemas.microsoft.com/office/drawing/2014/chart" uri="{C3380CC4-5D6E-409C-BE32-E72D297353CC}">
              <c16:uniqueId val="{0000000C-07B5-486E-963A-C209F5E1E8FD}"/>
            </c:ext>
          </c:extLst>
        </c:ser>
        <c:ser>
          <c:idx val="13"/>
          <c:order val="13"/>
          <c:tx>
            <c:strRef>
              <c:f>'Accumulated deliveries'!$B$19</c:f>
              <c:strCache>
                <c:ptCount val="1"/>
                <c:pt idx="0">
                  <c:v>V110-2.0MW</c:v>
                </c:pt>
              </c:strCache>
            </c:strRef>
          </c:tx>
          <c:spPr>
            <a:solidFill>
              <a:schemeClr val="accent2">
                <a:lumMod val="80000"/>
                <a:lumOff val="2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deliveries'!$E$19:$N$19</c:f>
              <c:numCache>
                <c:formatCode>#,##0</c:formatCode>
                <c:ptCount val="10"/>
                <c:pt idx="4">
                  <c:v>6</c:v>
                </c:pt>
                <c:pt idx="5">
                  <c:v>678</c:v>
                </c:pt>
                <c:pt idx="6">
                  <c:v>2398</c:v>
                </c:pt>
                <c:pt idx="7">
                  <c:v>5106</c:v>
                </c:pt>
                <c:pt idx="8">
                  <c:v>7926</c:v>
                </c:pt>
                <c:pt idx="9">
                  <c:v>8646</c:v>
                </c:pt>
              </c:numCache>
            </c:numRef>
          </c:val>
          <c:extLst>
            <c:ext xmlns:c16="http://schemas.microsoft.com/office/drawing/2014/chart" uri="{C3380CC4-5D6E-409C-BE32-E72D297353CC}">
              <c16:uniqueId val="{0000000D-07B5-486E-963A-C209F5E1E8FD}"/>
            </c:ext>
          </c:extLst>
        </c:ser>
        <c:ser>
          <c:idx val="14"/>
          <c:order val="14"/>
          <c:tx>
            <c:strRef>
              <c:f>'Accumulated deliveries'!$B$20</c:f>
              <c:strCache>
                <c:ptCount val="1"/>
                <c:pt idx="0">
                  <c:v>V110-2.2MW</c:v>
                </c:pt>
              </c:strCache>
            </c:strRef>
          </c:tx>
          <c:spPr>
            <a:solidFill>
              <a:schemeClr val="accent3">
                <a:lumMod val="80000"/>
                <a:lumOff val="2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deliveries'!$E$20:$N$20</c:f>
              <c:numCache>
                <c:formatCode>#,##0</c:formatCode>
                <c:ptCount val="10"/>
                <c:pt idx="8">
                  <c:v>88</c:v>
                </c:pt>
                <c:pt idx="9">
                  <c:v>490.6</c:v>
                </c:pt>
              </c:numCache>
            </c:numRef>
          </c:val>
          <c:extLst>
            <c:ext xmlns:c16="http://schemas.microsoft.com/office/drawing/2014/chart" uri="{C3380CC4-5D6E-409C-BE32-E72D297353CC}">
              <c16:uniqueId val="{0000000E-07B5-486E-963A-C209F5E1E8FD}"/>
            </c:ext>
          </c:extLst>
        </c:ser>
        <c:ser>
          <c:idx val="15"/>
          <c:order val="15"/>
          <c:tx>
            <c:strRef>
              <c:f>'Accumulated deliveries'!$B$21</c:f>
              <c:strCache>
                <c:ptCount val="1"/>
                <c:pt idx="0">
                  <c:v>V112-3.0MW</c:v>
                </c:pt>
              </c:strCache>
            </c:strRef>
          </c:tx>
          <c:spPr>
            <a:solidFill>
              <a:schemeClr val="accent4">
                <a:lumMod val="80000"/>
                <a:lumOff val="2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deliveries'!$E$21:$N$21</c:f>
              <c:numCache>
                <c:formatCode>#,##0</c:formatCode>
                <c:ptCount val="10"/>
                <c:pt idx="1">
                  <c:v>6</c:v>
                </c:pt>
                <c:pt idx="2">
                  <c:v>189</c:v>
                </c:pt>
                <c:pt idx="3">
                  <c:v>1569</c:v>
                </c:pt>
                <c:pt idx="4">
                  <c:v>2816</c:v>
                </c:pt>
                <c:pt idx="5">
                  <c:v>3108</c:v>
                </c:pt>
                <c:pt idx="6">
                  <c:v>3183.9749999999999</c:v>
                </c:pt>
                <c:pt idx="7">
                  <c:v>3183.9749999999999</c:v>
                </c:pt>
                <c:pt idx="8">
                  <c:v>3183.9749999999999</c:v>
                </c:pt>
                <c:pt idx="9">
                  <c:v>3240.9749999999999</c:v>
                </c:pt>
              </c:numCache>
            </c:numRef>
          </c:val>
          <c:extLst>
            <c:ext xmlns:c16="http://schemas.microsoft.com/office/drawing/2014/chart" uri="{C3380CC4-5D6E-409C-BE32-E72D297353CC}">
              <c16:uniqueId val="{0000000F-07B5-486E-963A-C209F5E1E8FD}"/>
            </c:ext>
          </c:extLst>
        </c:ser>
        <c:ser>
          <c:idx val="16"/>
          <c:order val="16"/>
          <c:tx>
            <c:strRef>
              <c:f>'Accumulated deliveries'!$B$22</c:f>
              <c:strCache>
                <c:ptCount val="1"/>
                <c:pt idx="0">
                  <c:v>V112-3.3MW</c:v>
                </c:pt>
              </c:strCache>
            </c:strRef>
          </c:tx>
          <c:spPr>
            <a:solidFill>
              <a:schemeClr val="accent5">
                <a:lumMod val="80000"/>
                <a:lumOff val="2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deliveries'!$E$22:$N$22</c:f>
              <c:numCache>
                <c:formatCode>#,##0</c:formatCode>
                <c:ptCount val="10"/>
                <c:pt idx="4">
                  <c:v>92</c:v>
                </c:pt>
                <c:pt idx="5">
                  <c:v>752.19999999999993</c:v>
                </c:pt>
                <c:pt idx="6">
                  <c:v>1451.7999999999997</c:v>
                </c:pt>
                <c:pt idx="7">
                  <c:v>1567.2999999999997</c:v>
                </c:pt>
                <c:pt idx="8">
                  <c:v>1653.0999999999997</c:v>
                </c:pt>
                <c:pt idx="9">
                  <c:v>1653.0999999999997</c:v>
                </c:pt>
              </c:numCache>
            </c:numRef>
          </c:val>
          <c:extLst>
            <c:ext xmlns:c16="http://schemas.microsoft.com/office/drawing/2014/chart" uri="{C3380CC4-5D6E-409C-BE32-E72D297353CC}">
              <c16:uniqueId val="{00000010-07B5-486E-963A-C209F5E1E8FD}"/>
            </c:ext>
          </c:extLst>
        </c:ser>
        <c:ser>
          <c:idx val="17"/>
          <c:order val="17"/>
          <c:tx>
            <c:strRef>
              <c:f>'Accumulated deliveries'!$B$23</c:f>
              <c:strCache>
                <c:ptCount val="1"/>
                <c:pt idx="0">
                  <c:v>V112-3.45MW</c:v>
                </c:pt>
              </c:strCache>
            </c:strRef>
          </c:tx>
          <c:spPr>
            <a:solidFill>
              <a:schemeClr val="accent6">
                <a:lumMod val="80000"/>
                <a:lumOff val="2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deliveries'!$E$23:$N$23</c:f>
              <c:numCache>
                <c:formatCode>#,##0</c:formatCode>
                <c:ptCount val="10"/>
                <c:pt idx="6" formatCode="0">
                  <c:v>486.45000000000005</c:v>
                </c:pt>
                <c:pt idx="7">
                  <c:v>1052.25</c:v>
                </c:pt>
                <c:pt idx="8">
                  <c:v>1190.25</c:v>
                </c:pt>
                <c:pt idx="9">
                  <c:v>1269.5999999999999</c:v>
                </c:pt>
              </c:numCache>
            </c:numRef>
          </c:val>
          <c:extLst>
            <c:ext xmlns:c16="http://schemas.microsoft.com/office/drawing/2014/chart" uri="{C3380CC4-5D6E-409C-BE32-E72D297353CC}">
              <c16:uniqueId val="{00000011-07B5-486E-963A-C209F5E1E8FD}"/>
            </c:ext>
          </c:extLst>
        </c:ser>
        <c:ser>
          <c:idx val="18"/>
          <c:order val="18"/>
          <c:tx>
            <c:strRef>
              <c:f>'Accumulated deliveries'!$B$24</c:f>
              <c:strCache>
                <c:ptCount val="1"/>
                <c:pt idx="0">
                  <c:v>V116-2.0MW</c:v>
                </c:pt>
              </c:strCache>
            </c:strRef>
          </c:tx>
          <c:spPr>
            <a:solidFill>
              <a:schemeClr val="accent1">
                <a:lumMod val="8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deliveries'!$E$24:$N$24</c:f>
              <c:numCache>
                <c:formatCode>#,##0</c:formatCode>
                <c:ptCount val="10"/>
                <c:pt idx="8">
                  <c:v>66</c:v>
                </c:pt>
                <c:pt idx="9">
                  <c:v>498</c:v>
                </c:pt>
              </c:numCache>
            </c:numRef>
          </c:val>
          <c:extLst>
            <c:ext xmlns:c16="http://schemas.microsoft.com/office/drawing/2014/chart" uri="{C3380CC4-5D6E-409C-BE32-E72D297353CC}">
              <c16:uniqueId val="{00000012-07B5-486E-963A-C209F5E1E8FD}"/>
            </c:ext>
          </c:extLst>
        </c:ser>
        <c:ser>
          <c:idx val="19"/>
          <c:order val="19"/>
          <c:tx>
            <c:strRef>
              <c:f>'Accumulated deliveries'!$B$25</c:f>
              <c:strCache>
                <c:ptCount val="1"/>
                <c:pt idx="0">
                  <c:v>V117-3.0MW</c:v>
                </c:pt>
              </c:strCache>
            </c:strRef>
          </c:tx>
          <c:spPr>
            <a:solidFill>
              <a:schemeClr val="accent2">
                <a:lumMod val="8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deliveries'!$E$25:$N$25</c:f>
              <c:numCache>
                <c:formatCode>#,##0</c:formatCode>
                <c:ptCount val="10"/>
                <c:pt idx="5">
                  <c:v>18</c:v>
                </c:pt>
                <c:pt idx="6">
                  <c:v>18</c:v>
                </c:pt>
                <c:pt idx="7">
                  <c:v>18</c:v>
                </c:pt>
                <c:pt idx="8">
                  <c:v>18</c:v>
                </c:pt>
                <c:pt idx="9">
                  <c:v>18</c:v>
                </c:pt>
              </c:numCache>
            </c:numRef>
          </c:val>
          <c:extLst>
            <c:ext xmlns:c16="http://schemas.microsoft.com/office/drawing/2014/chart" uri="{C3380CC4-5D6E-409C-BE32-E72D297353CC}">
              <c16:uniqueId val="{00000013-07B5-486E-963A-C209F5E1E8FD}"/>
            </c:ext>
          </c:extLst>
        </c:ser>
        <c:ser>
          <c:idx val="20"/>
          <c:order val="20"/>
          <c:tx>
            <c:strRef>
              <c:f>'Accumulated deliveries'!$B$26</c:f>
              <c:strCache>
                <c:ptCount val="1"/>
                <c:pt idx="0">
                  <c:v>V117-3.3MW</c:v>
                </c:pt>
              </c:strCache>
            </c:strRef>
          </c:tx>
          <c:spPr>
            <a:solidFill>
              <a:schemeClr val="accent3">
                <a:lumMod val="8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deliveries'!$E$26:$N$26</c:f>
              <c:numCache>
                <c:formatCode>#,##0</c:formatCode>
                <c:ptCount val="10"/>
                <c:pt idx="4">
                  <c:v>17</c:v>
                </c:pt>
                <c:pt idx="5">
                  <c:v>79.699999999999989</c:v>
                </c:pt>
                <c:pt idx="6">
                  <c:v>1284.2</c:v>
                </c:pt>
                <c:pt idx="7">
                  <c:v>1462.4</c:v>
                </c:pt>
                <c:pt idx="8">
                  <c:v>1462.4</c:v>
                </c:pt>
                <c:pt idx="9">
                  <c:v>1495.4</c:v>
                </c:pt>
              </c:numCache>
            </c:numRef>
          </c:val>
          <c:extLst>
            <c:ext xmlns:c16="http://schemas.microsoft.com/office/drawing/2014/chart" uri="{C3380CC4-5D6E-409C-BE32-E72D297353CC}">
              <c16:uniqueId val="{00000014-07B5-486E-963A-C209F5E1E8FD}"/>
            </c:ext>
          </c:extLst>
        </c:ser>
        <c:ser>
          <c:idx val="21"/>
          <c:order val="21"/>
          <c:tx>
            <c:strRef>
              <c:f>'Accumulated deliveries'!$B$27</c:f>
              <c:strCache>
                <c:ptCount val="1"/>
                <c:pt idx="0">
                  <c:v>V117-3.45MW</c:v>
                </c:pt>
              </c:strCache>
            </c:strRef>
          </c:tx>
          <c:spPr>
            <a:solidFill>
              <a:schemeClr val="accent4">
                <a:lumMod val="8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deliveries'!$E$27:$N$27</c:f>
              <c:numCache>
                <c:formatCode>#,##0</c:formatCode>
                <c:ptCount val="10"/>
                <c:pt idx="6" formatCode="0">
                  <c:v>103.5</c:v>
                </c:pt>
                <c:pt idx="7">
                  <c:v>1480.0500000000002</c:v>
                </c:pt>
                <c:pt idx="8">
                  <c:v>1711.2000000000003</c:v>
                </c:pt>
                <c:pt idx="9">
                  <c:v>2325.3000000000002</c:v>
                </c:pt>
              </c:numCache>
            </c:numRef>
          </c:val>
          <c:extLst>
            <c:ext xmlns:c16="http://schemas.microsoft.com/office/drawing/2014/chart" uri="{C3380CC4-5D6E-409C-BE32-E72D297353CC}">
              <c16:uniqueId val="{00000015-07B5-486E-963A-C209F5E1E8FD}"/>
            </c:ext>
          </c:extLst>
        </c:ser>
        <c:ser>
          <c:idx val="22"/>
          <c:order val="22"/>
          <c:tx>
            <c:strRef>
              <c:f>'Accumulated deliveries'!$B$28</c:f>
              <c:strCache>
                <c:ptCount val="1"/>
                <c:pt idx="0">
                  <c:v>V120-2.0MW</c:v>
                </c:pt>
              </c:strCache>
            </c:strRef>
          </c:tx>
          <c:spPr>
            <a:solidFill>
              <a:schemeClr val="accent5">
                <a:lumMod val="8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deliveries'!$E$28:$N$28</c:f>
              <c:numCache>
                <c:formatCode>#,##0</c:formatCode>
                <c:ptCount val="10"/>
                <c:pt idx="9">
                  <c:v>390</c:v>
                </c:pt>
              </c:numCache>
            </c:numRef>
          </c:val>
          <c:extLst>
            <c:ext xmlns:c16="http://schemas.microsoft.com/office/drawing/2014/chart" uri="{C3380CC4-5D6E-409C-BE32-E72D297353CC}">
              <c16:uniqueId val="{00000016-07B5-486E-963A-C209F5E1E8FD}"/>
            </c:ext>
          </c:extLst>
        </c:ser>
        <c:ser>
          <c:idx val="23"/>
          <c:order val="23"/>
          <c:tx>
            <c:strRef>
              <c:f>'Accumulated deliveries'!$B$29</c:f>
              <c:strCache>
                <c:ptCount val="1"/>
                <c:pt idx="0">
                  <c:v>V120-2.2MW</c:v>
                </c:pt>
              </c:strCache>
            </c:strRef>
          </c:tx>
          <c:spPr>
            <a:solidFill>
              <a:schemeClr val="accent6">
                <a:lumMod val="8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deliveries'!$E$29:$N$29</c:f>
              <c:numCache>
                <c:formatCode>#,##0</c:formatCode>
                <c:ptCount val="10"/>
                <c:pt idx="9">
                  <c:v>583</c:v>
                </c:pt>
              </c:numCache>
            </c:numRef>
          </c:val>
          <c:extLst>
            <c:ext xmlns:c16="http://schemas.microsoft.com/office/drawing/2014/chart" uri="{C3380CC4-5D6E-409C-BE32-E72D297353CC}">
              <c16:uniqueId val="{00000017-07B5-486E-963A-C209F5E1E8FD}"/>
            </c:ext>
          </c:extLst>
        </c:ser>
        <c:ser>
          <c:idx val="24"/>
          <c:order val="24"/>
          <c:tx>
            <c:strRef>
              <c:f>'Accumulated deliveries'!$B$30</c:f>
              <c:strCache>
                <c:ptCount val="1"/>
                <c:pt idx="0">
                  <c:v>V126-3.3MW</c:v>
                </c:pt>
              </c:strCache>
            </c:strRef>
          </c:tx>
          <c:spPr>
            <a:solidFill>
              <a:schemeClr val="accent1">
                <a:lumMod val="60000"/>
                <a:lumOff val="4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deliveries'!$E$30:$N$30</c:f>
              <c:numCache>
                <c:formatCode>#,##0</c:formatCode>
                <c:ptCount val="10"/>
                <c:pt idx="4">
                  <c:v>10</c:v>
                </c:pt>
                <c:pt idx="5">
                  <c:v>333.4</c:v>
                </c:pt>
                <c:pt idx="6">
                  <c:v>1056.0999999999999</c:v>
                </c:pt>
                <c:pt idx="7">
                  <c:v>1250.8</c:v>
                </c:pt>
                <c:pt idx="8">
                  <c:v>1323.3999999999999</c:v>
                </c:pt>
                <c:pt idx="9">
                  <c:v>1323.3999999999999</c:v>
                </c:pt>
              </c:numCache>
            </c:numRef>
          </c:val>
          <c:extLst>
            <c:ext xmlns:c16="http://schemas.microsoft.com/office/drawing/2014/chart" uri="{C3380CC4-5D6E-409C-BE32-E72D297353CC}">
              <c16:uniqueId val="{00000018-07B5-486E-963A-C209F5E1E8FD}"/>
            </c:ext>
          </c:extLst>
        </c:ser>
        <c:ser>
          <c:idx val="25"/>
          <c:order val="25"/>
          <c:tx>
            <c:strRef>
              <c:f>'Accumulated deliveries'!$B$31</c:f>
              <c:strCache>
                <c:ptCount val="1"/>
                <c:pt idx="0">
                  <c:v>V126-3.45MW</c:v>
                </c:pt>
              </c:strCache>
            </c:strRef>
          </c:tx>
          <c:spPr>
            <a:solidFill>
              <a:schemeClr val="accent2">
                <a:lumMod val="60000"/>
                <a:lumOff val="4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deliveries'!$E$31:$N$31</c:f>
              <c:numCache>
                <c:formatCode>#,##0</c:formatCode>
                <c:ptCount val="10"/>
                <c:pt idx="6" formatCode="0">
                  <c:v>93.15</c:v>
                </c:pt>
                <c:pt idx="7">
                  <c:v>1304.1000000000001</c:v>
                </c:pt>
                <c:pt idx="8">
                  <c:v>2377.0500000000002</c:v>
                </c:pt>
                <c:pt idx="9">
                  <c:v>3170.55</c:v>
                </c:pt>
              </c:numCache>
            </c:numRef>
          </c:val>
          <c:extLst>
            <c:ext xmlns:c16="http://schemas.microsoft.com/office/drawing/2014/chart" uri="{C3380CC4-5D6E-409C-BE32-E72D297353CC}">
              <c16:uniqueId val="{00000019-07B5-486E-963A-C209F5E1E8FD}"/>
            </c:ext>
          </c:extLst>
        </c:ser>
        <c:ser>
          <c:idx val="26"/>
          <c:order val="26"/>
          <c:tx>
            <c:strRef>
              <c:f>'Accumulated deliveries'!$B$32</c:f>
              <c:strCache>
                <c:ptCount val="1"/>
                <c:pt idx="0">
                  <c:v>V126-3.6MW</c:v>
                </c:pt>
              </c:strCache>
            </c:strRef>
          </c:tx>
          <c:spPr>
            <a:solidFill>
              <a:schemeClr val="accent3">
                <a:lumMod val="60000"/>
                <a:lumOff val="4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deliveries'!$E$32:$N$32</c:f>
              <c:numCache>
                <c:formatCode>#,##0</c:formatCode>
                <c:ptCount val="10"/>
                <c:pt idx="8">
                  <c:v>86.4</c:v>
                </c:pt>
                <c:pt idx="9">
                  <c:v>198</c:v>
                </c:pt>
              </c:numCache>
            </c:numRef>
          </c:val>
          <c:extLst>
            <c:ext xmlns:c16="http://schemas.microsoft.com/office/drawing/2014/chart" uri="{C3380CC4-5D6E-409C-BE32-E72D297353CC}">
              <c16:uniqueId val="{0000001A-07B5-486E-963A-C209F5E1E8FD}"/>
            </c:ext>
          </c:extLst>
        </c:ser>
        <c:ser>
          <c:idx val="27"/>
          <c:order val="27"/>
          <c:tx>
            <c:strRef>
              <c:f>'Accumulated deliveries'!$B$33</c:f>
              <c:strCache>
                <c:ptCount val="1"/>
                <c:pt idx="0">
                  <c:v>V136-3.0MW</c:v>
                </c:pt>
              </c:strCache>
            </c:strRef>
          </c:tx>
          <c:spPr>
            <a:solidFill>
              <a:schemeClr val="accent4">
                <a:lumMod val="60000"/>
                <a:lumOff val="4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deliveries'!$E$33:$N$33</c:f>
              <c:numCache>
                <c:formatCode>#,##0</c:formatCode>
                <c:ptCount val="10"/>
                <c:pt idx="8">
                  <c:v>180</c:v>
                </c:pt>
                <c:pt idx="9">
                  <c:v>180</c:v>
                </c:pt>
              </c:numCache>
            </c:numRef>
          </c:val>
          <c:extLst>
            <c:ext xmlns:c16="http://schemas.microsoft.com/office/drawing/2014/chart" uri="{C3380CC4-5D6E-409C-BE32-E72D297353CC}">
              <c16:uniqueId val="{0000001B-07B5-486E-963A-C209F5E1E8FD}"/>
            </c:ext>
          </c:extLst>
        </c:ser>
        <c:ser>
          <c:idx val="28"/>
          <c:order val="28"/>
          <c:tx>
            <c:strRef>
              <c:f>'Accumulated deliveries'!$B$34</c:f>
              <c:strCache>
                <c:ptCount val="1"/>
                <c:pt idx="0">
                  <c:v>V136-3.45MW</c:v>
                </c:pt>
              </c:strCache>
            </c:strRef>
          </c:tx>
          <c:spPr>
            <a:solidFill>
              <a:schemeClr val="accent5">
                <a:lumMod val="60000"/>
                <a:lumOff val="4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deliveries'!$E$34:$N$34</c:f>
              <c:numCache>
                <c:formatCode>#,##0</c:formatCode>
                <c:ptCount val="10"/>
                <c:pt idx="6" formatCode="0">
                  <c:v>117.30000000000001</c:v>
                </c:pt>
                <c:pt idx="7">
                  <c:v>117.30000000000001</c:v>
                </c:pt>
                <c:pt idx="8">
                  <c:v>2308.0500000000002</c:v>
                </c:pt>
                <c:pt idx="9">
                  <c:v>4785.1499999999996</c:v>
                </c:pt>
              </c:numCache>
            </c:numRef>
          </c:val>
          <c:extLst>
            <c:ext xmlns:c16="http://schemas.microsoft.com/office/drawing/2014/chart" uri="{C3380CC4-5D6E-409C-BE32-E72D297353CC}">
              <c16:uniqueId val="{0000001C-07B5-486E-963A-C209F5E1E8FD}"/>
            </c:ext>
          </c:extLst>
        </c:ser>
        <c:ser>
          <c:idx val="29"/>
          <c:order val="29"/>
          <c:tx>
            <c:strRef>
              <c:f>'Accumulated deliveries'!$B$35</c:f>
              <c:strCache>
                <c:ptCount val="1"/>
                <c:pt idx="0">
                  <c:v>V136-3.6MW</c:v>
                </c:pt>
              </c:strCache>
            </c:strRef>
          </c:tx>
          <c:spPr>
            <a:solidFill>
              <a:schemeClr val="accent6">
                <a:lumMod val="60000"/>
                <a:lumOff val="4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deliveries'!$E$35:$N$35</c:f>
              <c:numCache>
                <c:formatCode>#,##0</c:formatCode>
                <c:ptCount val="10"/>
                <c:pt idx="8">
                  <c:v>158.4</c:v>
                </c:pt>
                <c:pt idx="9">
                  <c:v>529.20000000000005</c:v>
                </c:pt>
              </c:numCache>
            </c:numRef>
          </c:val>
          <c:extLst>
            <c:ext xmlns:c16="http://schemas.microsoft.com/office/drawing/2014/chart" uri="{C3380CC4-5D6E-409C-BE32-E72D297353CC}">
              <c16:uniqueId val="{0000001D-07B5-486E-963A-C209F5E1E8FD}"/>
            </c:ext>
          </c:extLst>
        </c:ser>
        <c:ser>
          <c:idx val="30"/>
          <c:order val="30"/>
          <c:tx>
            <c:strRef>
              <c:f>'Accumulated deliveries'!$B$36</c:f>
              <c:strCache>
                <c:ptCount val="1"/>
                <c:pt idx="0">
                  <c:v>V136-4.2MW</c:v>
                </c:pt>
              </c:strCache>
            </c:strRef>
          </c:tx>
          <c:spPr>
            <a:solidFill>
              <a:schemeClr val="accent1">
                <a:lumMod val="5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deliveries'!$E$36:$N$36</c:f>
              <c:numCache>
                <c:formatCode>#,##0</c:formatCode>
                <c:ptCount val="10"/>
                <c:pt idx="8">
                  <c:v>357</c:v>
                </c:pt>
                <c:pt idx="9">
                  <c:v>2066.4</c:v>
                </c:pt>
              </c:numCache>
            </c:numRef>
          </c:val>
          <c:extLst>
            <c:ext xmlns:c16="http://schemas.microsoft.com/office/drawing/2014/chart" uri="{C3380CC4-5D6E-409C-BE32-E72D297353CC}">
              <c16:uniqueId val="{0000001E-07B5-486E-963A-C209F5E1E8FD}"/>
            </c:ext>
          </c:extLst>
        </c:ser>
        <c:ser>
          <c:idx val="31"/>
          <c:order val="31"/>
          <c:tx>
            <c:strRef>
              <c:f>'Accumulated deliveries'!$B$37</c:f>
              <c:strCache>
                <c:ptCount val="1"/>
                <c:pt idx="0">
                  <c:v>V150-4.2MW</c:v>
                </c:pt>
              </c:strCache>
            </c:strRef>
          </c:tx>
          <c:spPr>
            <a:solidFill>
              <a:schemeClr val="accent2">
                <a:lumMod val="5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deliveries'!$E$37:$N$37</c:f>
              <c:numCache>
                <c:formatCode>#,##0</c:formatCode>
                <c:ptCount val="10"/>
                <c:pt idx="9">
                  <c:v>1121.4000000000001</c:v>
                </c:pt>
              </c:numCache>
            </c:numRef>
          </c:val>
          <c:extLst>
            <c:ext xmlns:c16="http://schemas.microsoft.com/office/drawing/2014/chart" uri="{C3380CC4-5D6E-409C-BE32-E72D297353CC}">
              <c16:uniqueId val="{0000001F-07B5-486E-963A-C209F5E1E8FD}"/>
            </c:ext>
          </c:extLst>
        </c:ser>
        <c:ser>
          <c:idx val="32"/>
          <c:order val="32"/>
          <c:tx>
            <c:strRef>
              <c:f>'Accumulated deliveries'!$B$38</c:f>
              <c:strCache>
                <c:ptCount val="1"/>
                <c:pt idx="0">
                  <c:v>2MW-platform</c:v>
                </c:pt>
              </c:strCache>
            </c:strRef>
          </c:tx>
          <c:spPr>
            <a:solidFill>
              <a:schemeClr val="accent3">
                <a:lumMod val="5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deliveries'!$E$38:$N$38</c:f>
              <c:numCache>
                <c:formatCode>#,##0</c:formatCode>
                <c:ptCount val="10"/>
                <c:pt idx="5">
                  <c:v>60</c:v>
                </c:pt>
                <c:pt idx="6">
                  <c:v>210</c:v>
                </c:pt>
                <c:pt idx="7">
                  <c:v>580</c:v>
                </c:pt>
                <c:pt idx="8">
                  <c:v>930</c:v>
                </c:pt>
                <c:pt idx="9">
                  <c:v>1130</c:v>
                </c:pt>
              </c:numCache>
            </c:numRef>
          </c:val>
          <c:extLst>
            <c:ext xmlns:c16="http://schemas.microsoft.com/office/drawing/2014/chart" uri="{C3380CC4-5D6E-409C-BE32-E72D297353CC}">
              <c16:uniqueId val="{00000020-07B5-486E-963A-C209F5E1E8FD}"/>
            </c:ext>
          </c:extLst>
        </c:ser>
        <c:ser>
          <c:idx val="33"/>
          <c:order val="33"/>
          <c:tx>
            <c:strRef>
              <c:f>'Accumulated deliveries'!$B$39</c:f>
              <c:strCache>
                <c:ptCount val="1"/>
                <c:pt idx="0">
                  <c:v>3MW-platform</c:v>
                </c:pt>
              </c:strCache>
            </c:strRef>
          </c:tx>
          <c:spPr>
            <a:solidFill>
              <a:schemeClr val="accent4">
                <a:lumMod val="5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deliveries'!$E$39:$N$39</c:f>
              <c:numCache>
                <c:formatCode>General</c:formatCode>
                <c:ptCount val="10"/>
                <c:pt idx="7">
                  <c:v>78</c:v>
                </c:pt>
                <c:pt idx="8">
                  <c:v>78</c:v>
                </c:pt>
                <c:pt idx="9">
                  <c:v>78</c:v>
                </c:pt>
              </c:numCache>
            </c:numRef>
          </c:val>
          <c:extLst>
            <c:ext xmlns:c16="http://schemas.microsoft.com/office/drawing/2014/chart" uri="{C3380CC4-5D6E-409C-BE32-E72D297353CC}">
              <c16:uniqueId val="{00000021-07B5-486E-963A-C209F5E1E8FD}"/>
            </c:ext>
          </c:extLst>
        </c:ser>
        <c:ser>
          <c:idx val="34"/>
          <c:order val="34"/>
          <c:tx>
            <c:strRef>
              <c:f>'Accumulated deliveries'!$B$40</c:f>
              <c:strCache>
                <c:ptCount val="1"/>
                <c:pt idx="0">
                  <c:v>4MW-platform</c:v>
                </c:pt>
              </c:strCache>
            </c:strRef>
          </c:tx>
          <c:spPr>
            <a:solidFill>
              <a:schemeClr val="accent5">
                <a:lumMod val="50000"/>
              </a:schemeClr>
            </a:solidFill>
            <a:ln w="25400">
              <a:noFill/>
            </a:ln>
            <a:effectLst/>
          </c:spPr>
          <c:cat>
            <c:numRef>
              <c:f>'Accumulated deliveries'!$E$3:$N$3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'Accumulated deliveries'!$E$40:$N$40</c:f>
              <c:numCache>
                <c:formatCode>General</c:formatCode>
                <c:ptCount val="10"/>
                <c:pt idx="8">
                  <c:v>320</c:v>
                </c:pt>
                <c:pt idx="9">
                  <c:v>400</c:v>
                </c:pt>
              </c:numCache>
            </c:numRef>
          </c:val>
          <c:extLst>
            <c:ext xmlns:c16="http://schemas.microsoft.com/office/drawing/2014/chart" uri="{C3380CC4-5D6E-409C-BE32-E72D297353CC}">
              <c16:uniqueId val="{00000022-07B5-486E-963A-C209F5E1E8FD}"/>
            </c:ext>
          </c:extLst>
        </c:ser>
        <c:dLbls>
          <c:showLegendKey val="0"/>
          <c:showVal val="0"/>
          <c:showCatName val="0"/>
          <c:showSerName val="0"/>
          <c:showPercent val="0"/>
          <c:showBubbleSize val="0"/>
        </c:dLbls>
        <c:axId val="187172392"/>
        <c:axId val="187172784"/>
      </c:areaChart>
      <c:catAx>
        <c:axId val="187172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2784"/>
        <c:crosses val="autoZero"/>
        <c:auto val="1"/>
        <c:lblAlgn val="ctr"/>
        <c:lblOffset val="100"/>
        <c:noMultiLvlLbl val="0"/>
      </c:catAx>
      <c:valAx>
        <c:axId val="187172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71723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pieChart>
        <c:varyColors val="1"/>
        <c:ser>
          <c:idx val="0"/>
          <c:order val="0"/>
          <c:tx>
            <c:strRef>
              <c:f>Track_record_country_end_23!$B$1</c:f>
              <c:strCache>
                <c:ptCount val="1"/>
                <c:pt idx="0">
                  <c:v>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D6-4187-81E4-CEF29CD79D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D6-4187-81E4-CEF29CD79D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D6-4187-81E4-CEF29CD79D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D6-4187-81E4-CEF29CD79D5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D6-4187-81E4-CEF29CD79D5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4D6-4187-81E4-CEF29CD79D5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4D6-4187-81E4-CEF29CD79D5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4D6-4187-81E4-CEF29CD79D5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4D6-4187-81E4-CEF29CD79D5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4D6-4187-81E4-CEF29CD79D5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4D6-4187-81E4-CEF29CD79D5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4D6-4187-81E4-CEF29CD79D5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4D6-4187-81E4-CEF29CD79D5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4D6-4187-81E4-CEF29CD79D5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4D6-4187-81E4-CEF29CD79D5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4D6-4187-81E4-CEF29CD79D5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4D6-4187-81E4-CEF29CD79D5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4D6-4187-81E4-CEF29CD79D5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4D6-4187-81E4-CEF29CD79D5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4D6-4187-81E4-CEF29CD79D5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A4D6-4187-81E4-CEF29CD79D5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A4D6-4187-81E4-CEF29CD79D5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A4D6-4187-81E4-CEF29CD79D5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A4D6-4187-81E4-CEF29CD79D5A}"/>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A4D6-4187-81E4-CEF29CD79D5A}"/>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A4D6-4187-81E4-CEF29CD79D5A}"/>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A4D6-4187-81E4-CEF29CD79D5A}"/>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A4D6-4187-81E4-CEF29CD79D5A}"/>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A4D6-4187-81E4-CEF29CD79D5A}"/>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A4D6-4187-81E4-CEF29CD79D5A}"/>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A4D6-4187-81E4-CEF29CD79D5A}"/>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A4D6-4187-81E4-CEF29CD79D5A}"/>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A4D6-4187-81E4-CEF29CD79D5A}"/>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A4D6-4187-81E4-CEF29CD79D5A}"/>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A4D6-4187-81E4-CEF29CD79D5A}"/>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A4D6-4187-81E4-CEF29CD79D5A}"/>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A4D6-4187-81E4-CEF29CD79D5A}"/>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A4D6-4187-81E4-CEF29CD79D5A}"/>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A4D6-4187-81E4-CEF29CD79D5A}"/>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A4D6-4187-81E4-CEF29CD79D5A}"/>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A4D6-4187-81E4-CEF29CD79D5A}"/>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A4D6-4187-81E4-CEF29CD79D5A}"/>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A4D6-4187-81E4-CEF29CD79D5A}"/>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A4D6-4187-81E4-CEF29CD79D5A}"/>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A4D6-4187-81E4-CEF29CD79D5A}"/>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A4D6-4187-81E4-CEF29CD79D5A}"/>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A4D6-4187-81E4-CEF29CD79D5A}"/>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A4D6-4187-81E4-CEF29CD79D5A}"/>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A4D6-4187-81E4-CEF29CD79D5A}"/>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A4D6-4187-81E4-CEF29CD79D5A}"/>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A4D6-4187-81E4-CEF29CD79D5A}"/>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A4D6-4187-81E4-CEF29CD79D5A}"/>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A4D6-4187-81E4-CEF29CD79D5A}"/>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A4D6-4187-81E4-CEF29CD79D5A}"/>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A4D6-4187-81E4-CEF29CD79D5A}"/>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A4D6-4187-81E4-CEF29CD79D5A}"/>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A4D6-4187-81E4-CEF29CD79D5A}"/>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A4D6-4187-81E4-CEF29CD79D5A}"/>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A4D6-4187-81E4-CEF29CD79D5A}"/>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A4D6-4187-81E4-CEF29CD79D5A}"/>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A4D6-4187-81E4-CEF29CD79D5A}"/>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A4D6-4187-81E4-CEF29CD79D5A}"/>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A4D6-4187-81E4-CEF29CD79D5A}"/>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A4D6-4187-81E4-CEF29CD79D5A}"/>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A4D6-4187-81E4-CEF29CD79D5A}"/>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A4D6-4187-81E4-CEF29CD79D5A}"/>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A4D6-4187-81E4-CEF29CD79D5A}"/>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A4D6-4187-81E4-CEF29CD79D5A}"/>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A4D6-4187-81E4-CEF29CD79D5A}"/>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A4D6-4187-81E4-CEF29CD79D5A}"/>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A4D6-4187-81E4-CEF29CD79D5A}"/>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A4D6-4187-81E4-CEF29CD79D5A}"/>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A4D6-4187-81E4-CEF29CD79D5A}"/>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A4D6-4187-81E4-CEF29CD79D5A}"/>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A4D6-4187-81E4-CEF29CD79D5A}"/>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A4D6-4187-81E4-CEF29CD79D5A}"/>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A4D6-4187-81E4-CEF29CD79D5A}"/>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A4D6-4187-81E4-CEF29CD79D5A}"/>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A4D6-4187-81E4-CEF29CD79D5A}"/>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A4D6-4187-81E4-CEF29CD79D5A}"/>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A4D6-4187-81E4-CEF29CD79D5A}"/>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A4D6-4187-81E4-CEF29CD79D5A}"/>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A4D6-4187-81E4-CEF29CD79D5A}"/>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A4D6-4187-81E4-CEF29CD79D5A}"/>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A4D6-4187-81E4-CEF29CD79D5A}"/>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A4D6-4187-81E4-CEF29CD79D5A}"/>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A4D6-4187-81E4-CEF29CD79D5A}"/>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A4D6-4187-81E4-CEF29CD79D5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a-DK"/>
              </a:p>
            </c:txPr>
            <c:dLblPos val="bestFit"/>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Track_record_country_end_23!$A$2:$A$89</c:f>
              <c:strCache>
                <c:ptCount val="88"/>
                <c:pt idx="0">
                  <c:v>Argentina</c:v>
                </c:pt>
                <c:pt idx="1">
                  <c:v>Aruba</c:v>
                </c:pt>
                <c:pt idx="2">
                  <c:v>Australia</c:v>
                </c:pt>
                <c:pt idx="3">
                  <c:v>Austria</c:v>
                </c:pt>
                <c:pt idx="4">
                  <c:v>Azerbaijan</c:v>
                </c:pt>
                <c:pt idx="5">
                  <c:v>Bahrain</c:v>
                </c:pt>
                <c:pt idx="6">
                  <c:v>Belarus</c:v>
                </c:pt>
                <c:pt idx="7">
                  <c:v>Belgium</c:v>
                </c:pt>
                <c:pt idx="8">
                  <c:v>Bolivia</c:v>
                </c:pt>
                <c:pt idx="9">
                  <c:v>Brazil</c:v>
                </c:pt>
                <c:pt idx="10">
                  <c:v>Bulgaria</c:v>
                </c:pt>
                <c:pt idx="11">
                  <c:v>Canada</c:v>
                </c:pt>
                <c:pt idx="12">
                  <c:v>Cape Verde</c:v>
                </c:pt>
                <c:pt idx="13">
                  <c:v>Chile</c:v>
                </c:pt>
                <c:pt idx="14">
                  <c:v>China</c:v>
                </c:pt>
                <c:pt idx="15">
                  <c:v>Colombia</c:v>
                </c:pt>
                <c:pt idx="16">
                  <c:v>Costa Rica</c:v>
                </c:pt>
                <c:pt idx="17">
                  <c:v>Croatia</c:v>
                </c:pt>
                <c:pt idx="18">
                  <c:v>Cuba</c:v>
                </c:pt>
                <c:pt idx="19">
                  <c:v>Curaçao</c:v>
                </c:pt>
                <c:pt idx="20">
                  <c:v>Cyprus</c:v>
                </c:pt>
                <c:pt idx="21">
                  <c:v>Czech Republic</c:v>
                </c:pt>
                <c:pt idx="22">
                  <c:v>Denmark</c:v>
                </c:pt>
                <c:pt idx="23">
                  <c:v>Dominican Republic</c:v>
                </c:pt>
                <c:pt idx="24">
                  <c:v>Egypt</c:v>
                </c:pt>
                <c:pt idx="25">
                  <c:v>El Salvador</c:v>
                </c:pt>
                <c:pt idx="26">
                  <c:v>Estonia</c:v>
                </c:pt>
                <c:pt idx="27">
                  <c:v>Faroe Islands</c:v>
                </c:pt>
                <c:pt idx="28">
                  <c:v>Finland</c:v>
                </c:pt>
                <c:pt idx="29">
                  <c:v>France</c:v>
                </c:pt>
                <c:pt idx="30">
                  <c:v>Georgia</c:v>
                </c:pt>
                <c:pt idx="31">
                  <c:v>Germany</c:v>
                </c:pt>
                <c:pt idx="32">
                  <c:v>Greece</c:v>
                </c:pt>
                <c:pt idx="33">
                  <c:v>Guatemala</c:v>
                </c:pt>
                <c:pt idx="34">
                  <c:v>Honduras</c:v>
                </c:pt>
                <c:pt idx="35">
                  <c:v>Hungary</c:v>
                </c:pt>
                <c:pt idx="36">
                  <c:v>India</c:v>
                </c:pt>
                <c:pt idx="37">
                  <c:v>Iran</c:v>
                </c:pt>
                <c:pt idx="38">
                  <c:v>Israel</c:v>
                </c:pt>
                <c:pt idx="39">
                  <c:v>Italy</c:v>
                </c:pt>
                <c:pt idx="40">
                  <c:v>Jamaica</c:v>
                </c:pt>
                <c:pt idx="41">
                  <c:v>Japan</c:v>
                </c:pt>
                <c:pt idx="42">
                  <c:v>Jordan</c:v>
                </c:pt>
                <c:pt idx="43">
                  <c:v>Kazakhstan</c:v>
                </c:pt>
                <c:pt idx="44">
                  <c:v>Kenya</c:v>
                </c:pt>
                <c:pt idx="45">
                  <c:v>Latvia</c:v>
                </c:pt>
                <c:pt idx="46">
                  <c:v>Lithuania</c:v>
                </c:pt>
                <c:pt idx="47">
                  <c:v>Luxemburg</c:v>
                </c:pt>
                <c:pt idx="48">
                  <c:v>Malaysia</c:v>
                </c:pt>
                <c:pt idx="49">
                  <c:v>Mauritius</c:v>
                </c:pt>
                <c:pt idx="50">
                  <c:v>Mexico</c:v>
                </c:pt>
                <c:pt idx="51">
                  <c:v>Mongolia</c:v>
                </c:pt>
                <c:pt idx="52">
                  <c:v>Montserrat</c:v>
                </c:pt>
                <c:pt idx="53">
                  <c:v>Morocco</c:v>
                </c:pt>
                <c:pt idx="54">
                  <c:v>Netherlands</c:v>
                </c:pt>
                <c:pt idx="55">
                  <c:v>New Caledonia</c:v>
                </c:pt>
                <c:pt idx="56">
                  <c:v>New Zealand</c:v>
                </c:pt>
                <c:pt idx="57">
                  <c:v>Nicaragua</c:v>
                </c:pt>
                <c:pt idx="58">
                  <c:v>North Korea</c:v>
                </c:pt>
                <c:pt idx="59">
                  <c:v>Norway</c:v>
                </c:pt>
                <c:pt idx="60">
                  <c:v>Pakistan</c:v>
                </c:pt>
                <c:pt idx="61">
                  <c:v>Panama</c:v>
                </c:pt>
                <c:pt idx="62">
                  <c:v>Peru</c:v>
                </c:pt>
                <c:pt idx="63">
                  <c:v>Philippines</c:v>
                </c:pt>
                <c:pt idx="64">
                  <c:v>Poland</c:v>
                </c:pt>
                <c:pt idx="65">
                  <c:v>Portugal</c:v>
                </c:pt>
                <c:pt idx="66">
                  <c:v>Puerto Rico</c:v>
                </c:pt>
                <c:pt idx="67">
                  <c:v>Ireland</c:v>
                </c:pt>
                <c:pt idx="68">
                  <c:v>Romania</c:v>
                </c:pt>
                <c:pt idx="69">
                  <c:v>Russia</c:v>
                </c:pt>
                <c:pt idx="70">
                  <c:v>Saudi Arabia</c:v>
                </c:pt>
                <c:pt idx="71">
                  <c:v>Senegal</c:v>
                </c:pt>
                <c:pt idx="72">
                  <c:v>Serbia</c:v>
                </c:pt>
                <c:pt idx="73">
                  <c:v>Slovakia</c:v>
                </c:pt>
                <c:pt idx="74">
                  <c:v>South Africa</c:v>
                </c:pt>
                <c:pt idx="75">
                  <c:v>South Korea</c:v>
                </c:pt>
                <c:pt idx="76">
                  <c:v>Spain</c:v>
                </c:pt>
                <c:pt idx="77">
                  <c:v>Sri Lanka</c:v>
                </c:pt>
                <c:pt idx="78">
                  <c:v>Sweden</c:v>
                </c:pt>
                <c:pt idx="79">
                  <c:v>Switzerland</c:v>
                </c:pt>
                <c:pt idx="80">
                  <c:v>Thailand</c:v>
                </c:pt>
                <c:pt idx="81">
                  <c:v>Türkiye</c:v>
                </c:pt>
                <c:pt idx="82">
                  <c:v>Ukraine</c:v>
                </c:pt>
                <c:pt idx="83">
                  <c:v>UAE</c:v>
                </c:pt>
                <c:pt idx="84">
                  <c:v>UK</c:v>
                </c:pt>
                <c:pt idx="85">
                  <c:v>Uruguay</c:v>
                </c:pt>
                <c:pt idx="86">
                  <c:v>USA</c:v>
                </c:pt>
                <c:pt idx="87">
                  <c:v>Vietnam</c:v>
                </c:pt>
              </c:strCache>
            </c:strRef>
          </c:cat>
          <c:val>
            <c:numRef>
              <c:f>Track_record_country_end_23!$B$2:$B$89</c:f>
              <c:numCache>
                <c:formatCode>General</c:formatCode>
                <c:ptCount val="88"/>
                <c:pt idx="0">
                  <c:v>563</c:v>
                </c:pt>
                <c:pt idx="1">
                  <c:v>10</c:v>
                </c:pt>
                <c:pt idx="2" formatCode="#,##0">
                  <c:v>1774</c:v>
                </c:pt>
                <c:pt idx="3">
                  <c:v>542</c:v>
                </c:pt>
                <c:pt idx="4">
                  <c:v>2</c:v>
                </c:pt>
                <c:pt idx="5">
                  <c:v>2</c:v>
                </c:pt>
                <c:pt idx="6">
                  <c:v>2</c:v>
                </c:pt>
                <c:pt idx="7">
                  <c:v>605</c:v>
                </c:pt>
                <c:pt idx="8">
                  <c:v>30</c:v>
                </c:pt>
                <c:pt idx="9" formatCode="#,##0">
                  <c:v>2267</c:v>
                </c:pt>
                <c:pt idx="10">
                  <c:v>126</c:v>
                </c:pt>
                <c:pt idx="11" formatCode="#,##0">
                  <c:v>2210</c:v>
                </c:pt>
                <c:pt idx="12">
                  <c:v>39</c:v>
                </c:pt>
                <c:pt idx="13">
                  <c:v>584</c:v>
                </c:pt>
                <c:pt idx="14" formatCode="#,##0">
                  <c:v>5536</c:v>
                </c:pt>
                <c:pt idx="15">
                  <c:v>14</c:v>
                </c:pt>
                <c:pt idx="16">
                  <c:v>89</c:v>
                </c:pt>
                <c:pt idx="17">
                  <c:v>49</c:v>
                </c:pt>
                <c:pt idx="18">
                  <c:v>4</c:v>
                </c:pt>
                <c:pt idx="19">
                  <c:v>15</c:v>
                </c:pt>
                <c:pt idx="20">
                  <c:v>47</c:v>
                </c:pt>
                <c:pt idx="21">
                  <c:v>83</c:v>
                </c:pt>
                <c:pt idx="22" formatCode="#,##0">
                  <c:v>5486</c:v>
                </c:pt>
                <c:pt idx="23">
                  <c:v>77</c:v>
                </c:pt>
                <c:pt idx="24">
                  <c:v>192</c:v>
                </c:pt>
                <c:pt idx="25">
                  <c:v>15</c:v>
                </c:pt>
                <c:pt idx="26">
                  <c:v>26</c:v>
                </c:pt>
                <c:pt idx="27">
                  <c:v>9</c:v>
                </c:pt>
                <c:pt idx="28">
                  <c:v>918</c:v>
                </c:pt>
                <c:pt idx="29" formatCode="#,##0">
                  <c:v>3352</c:v>
                </c:pt>
                <c:pt idx="30">
                  <c:v>6</c:v>
                </c:pt>
                <c:pt idx="31" formatCode="#,##0">
                  <c:v>9070</c:v>
                </c:pt>
                <c:pt idx="32" formatCode="#,##0">
                  <c:v>1203</c:v>
                </c:pt>
                <c:pt idx="33">
                  <c:v>23</c:v>
                </c:pt>
                <c:pt idx="34">
                  <c:v>18</c:v>
                </c:pt>
                <c:pt idx="35">
                  <c:v>49</c:v>
                </c:pt>
                <c:pt idx="36" formatCode="#,##0">
                  <c:v>5222</c:v>
                </c:pt>
                <c:pt idx="37">
                  <c:v>37</c:v>
                </c:pt>
                <c:pt idx="38">
                  <c:v>3</c:v>
                </c:pt>
                <c:pt idx="39" formatCode="#,##0">
                  <c:v>3279</c:v>
                </c:pt>
                <c:pt idx="40">
                  <c:v>44</c:v>
                </c:pt>
                <c:pt idx="41">
                  <c:v>546</c:v>
                </c:pt>
                <c:pt idx="42">
                  <c:v>113</c:v>
                </c:pt>
                <c:pt idx="43">
                  <c:v>29</c:v>
                </c:pt>
                <c:pt idx="44">
                  <c:v>379</c:v>
                </c:pt>
                <c:pt idx="45">
                  <c:v>15</c:v>
                </c:pt>
                <c:pt idx="46">
                  <c:v>18</c:v>
                </c:pt>
                <c:pt idx="47">
                  <c:v>13</c:v>
                </c:pt>
                <c:pt idx="48">
                  <c:v>1</c:v>
                </c:pt>
                <c:pt idx="49">
                  <c:v>1</c:v>
                </c:pt>
                <c:pt idx="50">
                  <c:v>782</c:v>
                </c:pt>
                <c:pt idx="51">
                  <c:v>50</c:v>
                </c:pt>
                <c:pt idx="52">
                  <c:v>2</c:v>
                </c:pt>
                <c:pt idx="53">
                  <c:v>124</c:v>
                </c:pt>
                <c:pt idx="54" formatCode="#,##0">
                  <c:v>1854</c:v>
                </c:pt>
                <c:pt idx="55">
                  <c:v>20</c:v>
                </c:pt>
                <c:pt idx="56">
                  <c:v>301</c:v>
                </c:pt>
                <c:pt idx="57">
                  <c:v>44</c:v>
                </c:pt>
                <c:pt idx="58">
                  <c:v>2</c:v>
                </c:pt>
                <c:pt idx="59">
                  <c:v>616</c:v>
                </c:pt>
                <c:pt idx="60">
                  <c:v>28</c:v>
                </c:pt>
                <c:pt idx="61">
                  <c:v>20</c:v>
                </c:pt>
                <c:pt idx="62">
                  <c:v>63</c:v>
                </c:pt>
                <c:pt idx="63">
                  <c:v>70</c:v>
                </c:pt>
                <c:pt idx="64" formatCode="#,##0">
                  <c:v>1990</c:v>
                </c:pt>
                <c:pt idx="65">
                  <c:v>462</c:v>
                </c:pt>
                <c:pt idx="66">
                  <c:v>26</c:v>
                </c:pt>
                <c:pt idx="67">
                  <c:v>704</c:v>
                </c:pt>
                <c:pt idx="68">
                  <c:v>404</c:v>
                </c:pt>
                <c:pt idx="69">
                  <c:v>269</c:v>
                </c:pt>
                <c:pt idx="70">
                  <c:v>99</c:v>
                </c:pt>
                <c:pt idx="71">
                  <c:v>46</c:v>
                </c:pt>
                <c:pt idx="72">
                  <c:v>25</c:v>
                </c:pt>
                <c:pt idx="73">
                  <c:v>4</c:v>
                </c:pt>
                <c:pt idx="74">
                  <c:v>359</c:v>
                </c:pt>
                <c:pt idx="75">
                  <c:v>215</c:v>
                </c:pt>
                <c:pt idx="76" formatCode="#,##0">
                  <c:v>3310</c:v>
                </c:pt>
                <c:pt idx="77">
                  <c:v>35</c:v>
                </c:pt>
                <c:pt idx="78" formatCode="#,##0">
                  <c:v>2638</c:v>
                </c:pt>
                <c:pt idx="79">
                  <c:v>26</c:v>
                </c:pt>
                <c:pt idx="80">
                  <c:v>144</c:v>
                </c:pt>
                <c:pt idx="81">
                  <c:v>691</c:v>
                </c:pt>
                <c:pt idx="82">
                  <c:v>227</c:v>
                </c:pt>
                <c:pt idx="83">
                  <c:v>20</c:v>
                </c:pt>
                <c:pt idx="84" formatCode="#,##0">
                  <c:v>2695</c:v>
                </c:pt>
                <c:pt idx="85">
                  <c:v>220</c:v>
                </c:pt>
                <c:pt idx="86" formatCode="#,##0">
                  <c:v>24493</c:v>
                </c:pt>
                <c:pt idx="87">
                  <c:v>413</c:v>
                </c:pt>
              </c:numCache>
            </c:numRef>
          </c:val>
          <c:extLst>
            <c:ext xmlns:c16="http://schemas.microsoft.com/office/drawing/2014/chart" uri="{C3380CC4-5D6E-409C-BE32-E72D297353CC}">
              <c16:uniqueId val="{00000000-4C44-4FBB-B56B-3A9E0F1F7B5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6" Type="http://schemas.openxmlformats.org/officeDocument/2006/relationships/chart" Target="../charts/chart28.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chart" Target="../charts/chart2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8.xml.rels><?xml version="1.0" encoding="UTF-8" standalone="yes"?>
<Relationships xmlns="http://schemas.openxmlformats.org/package/2006/relationships"><Relationship Id="rId8" Type="http://schemas.openxmlformats.org/officeDocument/2006/relationships/chart" Target="../charts/chart45.xml"/><Relationship Id="rId3" Type="http://schemas.openxmlformats.org/officeDocument/2006/relationships/chart" Target="../charts/chart40.xml"/><Relationship Id="rId7" Type="http://schemas.openxmlformats.org/officeDocument/2006/relationships/chart" Target="../charts/chart44.xml"/><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chart" Target="../charts/chart43.xml"/><Relationship Id="rId5" Type="http://schemas.openxmlformats.org/officeDocument/2006/relationships/chart" Target="../charts/chart42.xml"/><Relationship Id="rId4" Type="http://schemas.openxmlformats.org/officeDocument/2006/relationships/chart" Target="../charts/chart4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48.xml"/><Relationship Id="rId7" Type="http://schemas.openxmlformats.org/officeDocument/2006/relationships/chart" Target="../charts/chart52.xml"/><Relationship Id="rId2" Type="http://schemas.openxmlformats.org/officeDocument/2006/relationships/chart" Target="../charts/chart47.xml"/><Relationship Id="rId1" Type="http://schemas.openxmlformats.org/officeDocument/2006/relationships/chart" Target="../charts/chart46.xml"/><Relationship Id="rId6" Type="http://schemas.openxmlformats.org/officeDocument/2006/relationships/chart" Target="../charts/chart51.xml"/><Relationship Id="rId5" Type="http://schemas.openxmlformats.org/officeDocument/2006/relationships/chart" Target="../charts/chart50.xml"/><Relationship Id="rId4" Type="http://schemas.openxmlformats.org/officeDocument/2006/relationships/chart" Target="../charts/chart4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chart" Target="../charts/chart53.xml"/><Relationship Id="rId6" Type="http://schemas.openxmlformats.org/officeDocument/2006/relationships/chart" Target="../charts/chart58.xml"/><Relationship Id="rId5" Type="http://schemas.openxmlformats.org/officeDocument/2006/relationships/chart" Target="../charts/chart57.xml"/><Relationship Id="rId4" Type="http://schemas.openxmlformats.org/officeDocument/2006/relationships/chart" Target="../charts/chart56.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61.xml"/><Relationship Id="rId2" Type="http://schemas.openxmlformats.org/officeDocument/2006/relationships/chart" Target="../charts/chart60.xml"/><Relationship Id="rId1" Type="http://schemas.openxmlformats.org/officeDocument/2006/relationships/chart" Target="../charts/chart59.xml"/><Relationship Id="rId6" Type="http://schemas.openxmlformats.org/officeDocument/2006/relationships/chart" Target="../charts/chart64.xml"/><Relationship Id="rId5" Type="http://schemas.openxmlformats.org/officeDocument/2006/relationships/chart" Target="../charts/chart63.xml"/><Relationship Id="rId4" Type="http://schemas.openxmlformats.org/officeDocument/2006/relationships/chart" Target="../charts/chart62.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67.xml"/><Relationship Id="rId2" Type="http://schemas.openxmlformats.org/officeDocument/2006/relationships/chart" Target="../charts/chart66.xml"/><Relationship Id="rId1" Type="http://schemas.openxmlformats.org/officeDocument/2006/relationships/chart" Target="../charts/chart65.xml"/><Relationship Id="rId5" Type="http://schemas.openxmlformats.org/officeDocument/2006/relationships/chart" Target="../charts/chart69.xml"/><Relationship Id="rId4" Type="http://schemas.openxmlformats.org/officeDocument/2006/relationships/chart" Target="../charts/chart68.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72.xml"/><Relationship Id="rId2" Type="http://schemas.openxmlformats.org/officeDocument/2006/relationships/chart" Target="../charts/chart71.xml"/><Relationship Id="rId1" Type="http://schemas.openxmlformats.org/officeDocument/2006/relationships/chart" Target="../charts/chart70.xml"/><Relationship Id="rId5" Type="http://schemas.openxmlformats.org/officeDocument/2006/relationships/chart" Target="../charts/chart74.xml"/><Relationship Id="rId4" Type="http://schemas.openxmlformats.org/officeDocument/2006/relationships/chart" Target="../charts/chart73.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77.xml"/><Relationship Id="rId2" Type="http://schemas.openxmlformats.org/officeDocument/2006/relationships/chart" Target="../charts/chart76.xml"/><Relationship Id="rId1" Type="http://schemas.openxmlformats.org/officeDocument/2006/relationships/chart" Target="../charts/chart75.xml"/><Relationship Id="rId5" Type="http://schemas.openxmlformats.org/officeDocument/2006/relationships/chart" Target="../charts/chart79.xml"/><Relationship Id="rId4" Type="http://schemas.openxmlformats.org/officeDocument/2006/relationships/chart" Target="../charts/chart78.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82.xml"/><Relationship Id="rId2" Type="http://schemas.openxmlformats.org/officeDocument/2006/relationships/chart" Target="../charts/chart81.xml"/><Relationship Id="rId1" Type="http://schemas.openxmlformats.org/officeDocument/2006/relationships/chart" Target="../charts/chart80.xml"/><Relationship Id="rId4" Type="http://schemas.openxmlformats.org/officeDocument/2006/relationships/chart" Target="../charts/chart83.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86.xml"/><Relationship Id="rId2" Type="http://schemas.openxmlformats.org/officeDocument/2006/relationships/chart" Target="../charts/chart85.xml"/><Relationship Id="rId1" Type="http://schemas.openxmlformats.org/officeDocument/2006/relationships/chart" Target="../charts/chart84.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88.xml"/><Relationship Id="rId1" Type="http://schemas.openxmlformats.org/officeDocument/2006/relationships/chart" Target="../charts/chart87.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90.xml"/><Relationship Id="rId1" Type="http://schemas.openxmlformats.org/officeDocument/2006/relationships/chart" Target="../charts/chart89.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92.xml"/><Relationship Id="rId1" Type="http://schemas.openxmlformats.org/officeDocument/2006/relationships/chart" Target="../charts/chart91.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94.xml"/><Relationship Id="rId1" Type="http://schemas.openxmlformats.org/officeDocument/2006/relationships/chart" Target="../charts/chart93.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96.xml"/><Relationship Id="rId1" Type="http://schemas.openxmlformats.org/officeDocument/2006/relationships/chart" Target="../charts/chart95.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98.xml"/><Relationship Id="rId1" Type="http://schemas.openxmlformats.org/officeDocument/2006/relationships/chart" Target="../charts/chart97.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100.xml"/><Relationship Id="rId1" Type="http://schemas.openxmlformats.org/officeDocument/2006/relationships/chart" Target="../charts/chart99.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103.xml"/><Relationship Id="rId2" Type="http://schemas.openxmlformats.org/officeDocument/2006/relationships/chart" Target="../charts/chart102.xml"/><Relationship Id="rId1" Type="http://schemas.openxmlformats.org/officeDocument/2006/relationships/chart" Target="../charts/chart101.xml"/><Relationship Id="rId6" Type="http://schemas.openxmlformats.org/officeDocument/2006/relationships/chart" Target="../charts/chart106.xml"/><Relationship Id="rId5" Type="http://schemas.openxmlformats.org/officeDocument/2006/relationships/chart" Target="../charts/chart105.xml"/><Relationship Id="rId4" Type="http://schemas.openxmlformats.org/officeDocument/2006/relationships/chart" Target="../charts/chart104.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109.xml"/><Relationship Id="rId2" Type="http://schemas.openxmlformats.org/officeDocument/2006/relationships/chart" Target="../charts/chart108.xml"/><Relationship Id="rId1" Type="http://schemas.openxmlformats.org/officeDocument/2006/relationships/chart" Target="../charts/chart107.xml"/><Relationship Id="rId5" Type="http://schemas.openxmlformats.org/officeDocument/2006/relationships/chart" Target="../charts/chart111.xml"/><Relationship Id="rId4" Type="http://schemas.openxmlformats.org/officeDocument/2006/relationships/chart" Target="../charts/chart110.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1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13.xml"/></Relationships>
</file>

<file path=xl/drawings/drawing1.xml><?xml version="1.0" encoding="utf-8"?>
<xdr:wsDr xmlns:xdr="http://schemas.openxmlformats.org/drawingml/2006/spreadsheetDrawing" xmlns:a="http://schemas.openxmlformats.org/drawingml/2006/main">
  <xdr:twoCellAnchor>
    <xdr:from>
      <xdr:col>33</xdr:col>
      <xdr:colOff>47623</xdr:colOff>
      <xdr:row>3</xdr:row>
      <xdr:rowOff>95250</xdr:rowOff>
    </xdr:from>
    <xdr:to>
      <xdr:col>46</xdr:col>
      <xdr:colOff>128181</xdr:colOff>
      <xdr:row>34</xdr:row>
      <xdr:rowOff>1905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72661</xdr:colOff>
      <xdr:row>34</xdr:row>
      <xdr:rowOff>50346</xdr:rowOff>
    </xdr:from>
    <xdr:to>
      <xdr:col>45</xdr:col>
      <xdr:colOff>598715</xdr:colOff>
      <xdr:row>54</xdr:row>
      <xdr:rowOff>50346</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60687</xdr:colOff>
      <xdr:row>54</xdr:row>
      <xdr:rowOff>122735</xdr:rowOff>
    </xdr:from>
    <xdr:to>
      <xdr:col>45</xdr:col>
      <xdr:colOff>598715</xdr:colOff>
      <xdr:row>72</xdr:row>
      <xdr:rowOff>58781</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10071</xdr:colOff>
      <xdr:row>75</xdr:row>
      <xdr:rowOff>20955</xdr:rowOff>
    </xdr:from>
    <xdr:to>
      <xdr:col>45</xdr:col>
      <xdr:colOff>244928</xdr:colOff>
      <xdr:row>90</xdr:row>
      <xdr:rowOff>95250</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78104</xdr:colOff>
      <xdr:row>43</xdr:row>
      <xdr:rowOff>126004</xdr:rowOff>
    </xdr:from>
    <xdr:to>
      <xdr:col>26</xdr:col>
      <xdr:colOff>217713</xdr:colOff>
      <xdr:row>58</xdr:row>
      <xdr:rowOff>109131</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309427</xdr:colOff>
      <xdr:row>79</xdr:row>
      <xdr:rowOff>156209</xdr:rowOff>
    </xdr:from>
    <xdr:to>
      <xdr:col>20</xdr:col>
      <xdr:colOff>122465</xdr:colOff>
      <xdr:row>94</xdr:row>
      <xdr:rowOff>118109</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266700</xdr:colOff>
      <xdr:row>94</xdr:row>
      <xdr:rowOff>82459</xdr:rowOff>
    </xdr:from>
    <xdr:to>
      <xdr:col>20</xdr:col>
      <xdr:colOff>40822</xdr:colOff>
      <xdr:row>109</xdr:row>
      <xdr:rowOff>149678</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326570</xdr:colOff>
      <xdr:row>58</xdr:row>
      <xdr:rowOff>190499</xdr:rowOff>
    </xdr:from>
    <xdr:to>
      <xdr:col>31</xdr:col>
      <xdr:colOff>612320</xdr:colOff>
      <xdr:row>80</xdr:row>
      <xdr:rowOff>40822</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371746</xdr:colOff>
      <xdr:row>114</xdr:row>
      <xdr:rowOff>56333</xdr:rowOff>
    </xdr:from>
    <xdr:to>
      <xdr:col>32</xdr:col>
      <xdr:colOff>299357</xdr:colOff>
      <xdr:row>146</xdr:row>
      <xdr:rowOff>85451</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151582</xdr:colOff>
      <xdr:row>79</xdr:row>
      <xdr:rowOff>161390</xdr:rowOff>
    </xdr:from>
    <xdr:to>
      <xdr:col>30</xdr:col>
      <xdr:colOff>256630</xdr:colOff>
      <xdr:row>94</xdr:row>
      <xdr:rowOff>163286</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596810</xdr:colOff>
      <xdr:row>90</xdr:row>
      <xdr:rowOff>126274</xdr:rowOff>
    </xdr:from>
    <xdr:to>
      <xdr:col>45</xdr:col>
      <xdr:colOff>285750</xdr:colOff>
      <xdr:row>109</xdr:row>
      <xdr:rowOff>54429</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36</xdr:col>
      <xdr:colOff>380999</xdr:colOff>
      <xdr:row>74</xdr:row>
      <xdr:rowOff>40822</xdr:rowOff>
    </xdr:from>
    <xdr:to>
      <xdr:col>44</xdr:col>
      <xdr:colOff>367393</xdr:colOff>
      <xdr:row>89</xdr:row>
      <xdr:rowOff>40822</xdr:rowOff>
    </xdr:to>
    <xdr:graphicFrame macro="">
      <xdr:nvGraphicFramePr>
        <xdr:cNvPr id="13" name="Chart 12">
          <a:extLst>
            <a:ext uri="{FF2B5EF4-FFF2-40B4-BE49-F238E27FC236}">
              <a16:creationId xmlns:a16="http://schemas.microsoft.com/office/drawing/2014/main" id="{00000000-0008-0000-00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37</xdr:col>
      <xdr:colOff>329837</xdr:colOff>
      <xdr:row>2</xdr:row>
      <xdr:rowOff>107225</xdr:rowOff>
    </xdr:from>
    <xdr:to>
      <xdr:col>56</xdr:col>
      <xdr:colOff>312963</xdr:colOff>
      <xdr:row>23</xdr:row>
      <xdr:rowOff>43543</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281395</xdr:colOff>
      <xdr:row>23</xdr:row>
      <xdr:rowOff>142057</xdr:rowOff>
    </xdr:from>
    <xdr:to>
      <xdr:col>56</xdr:col>
      <xdr:colOff>285749</xdr:colOff>
      <xdr:row>45</xdr:row>
      <xdr:rowOff>13606</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305887</xdr:colOff>
      <xdr:row>11</xdr:row>
      <xdr:rowOff>274</xdr:rowOff>
    </xdr:from>
    <xdr:to>
      <xdr:col>23</xdr:col>
      <xdr:colOff>154577</xdr:colOff>
      <xdr:row>31</xdr:row>
      <xdr:rowOff>2</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272</xdr:colOff>
      <xdr:row>38</xdr:row>
      <xdr:rowOff>27214</xdr:rowOff>
    </xdr:from>
    <xdr:to>
      <xdr:col>37</xdr:col>
      <xdr:colOff>285750</xdr:colOff>
      <xdr:row>66</xdr:row>
      <xdr:rowOff>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473528</xdr:colOff>
      <xdr:row>68</xdr:row>
      <xdr:rowOff>27214</xdr:rowOff>
    </xdr:from>
    <xdr:to>
      <xdr:col>8</xdr:col>
      <xdr:colOff>429985</xdr:colOff>
      <xdr:row>82</xdr:row>
      <xdr:rowOff>185057</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511627</xdr:colOff>
      <xdr:row>48</xdr:row>
      <xdr:rowOff>40821</xdr:rowOff>
    </xdr:from>
    <xdr:to>
      <xdr:col>6</xdr:col>
      <xdr:colOff>468084</xdr:colOff>
      <xdr:row>60</xdr:row>
      <xdr:rowOff>168729</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139065</xdr:colOff>
      <xdr:row>34</xdr:row>
      <xdr:rowOff>157570</xdr:rowOff>
    </xdr:from>
    <xdr:to>
      <xdr:col>28</xdr:col>
      <xdr:colOff>219619</xdr:colOff>
      <xdr:row>49</xdr:row>
      <xdr:rowOff>163285</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568779</xdr:colOff>
      <xdr:row>86</xdr:row>
      <xdr:rowOff>46261</xdr:rowOff>
    </xdr:from>
    <xdr:to>
      <xdr:col>36</xdr:col>
      <xdr:colOff>27215</xdr:colOff>
      <xdr:row>104</xdr:row>
      <xdr:rowOff>163285</xdr:rowOff>
    </xdr:to>
    <xdr:graphicFrame macro="">
      <xdr:nvGraphicFramePr>
        <xdr:cNvPr id="13" name="Chart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506189</xdr:colOff>
      <xdr:row>65</xdr:row>
      <xdr:rowOff>122464</xdr:rowOff>
    </xdr:from>
    <xdr:to>
      <xdr:col>31</xdr:col>
      <xdr:colOff>353788</xdr:colOff>
      <xdr:row>75</xdr:row>
      <xdr:rowOff>100691</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209550</xdr:colOff>
      <xdr:row>89</xdr:row>
      <xdr:rowOff>166007</xdr:rowOff>
    </xdr:from>
    <xdr:to>
      <xdr:col>8</xdr:col>
      <xdr:colOff>166007</xdr:colOff>
      <xdr:row>104</xdr:row>
      <xdr:rowOff>133350</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37</xdr:col>
      <xdr:colOff>212269</xdr:colOff>
      <xdr:row>64</xdr:row>
      <xdr:rowOff>155120</xdr:rowOff>
    </xdr:from>
    <xdr:to>
      <xdr:col>44</xdr:col>
      <xdr:colOff>519790</xdr:colOff>
      <xdr:row>79</xdr:row>
      <xdr:rowOff>122463</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44</xdr:col>
      <xdr:colOff>511629</xdr:colOff>
      <xdr:row>64</xdr:row>
      <xdr:rowOff>144237</xdr:rowOff>
    </xdr:from>
    <xdr:to>
      <xdr:col>52</xdr:col>
      <xdr:colOff>206828</xdr:colOff>
      <xdr:row>79</xdr:row>
      <xdr:rowOff>111580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27</xdr:col>
      <xdr:colOff>34562</xdr:colOff>
      <xdr:row>15</xdr:row>
      <xdr:rowOff>31840</xdr:rowOff>
    </xdr:from>
    <xdr:to>
      <xdr:col>37</xdr:col>
      <xdr:colOff>186962</xdr:colOff>
      <xdr:row>38</xdr:row>
      <xdr:rowOff>39732</xdr:rowOff>
    </xdr:to>
    <xdr:graphicFrame macro="">
      <xdr:nvGraphicFramePr>
        <xdr:cNvPr id="16" name="Chart 15">
          <a:extLst>
            <a:ext uri="{FF2B5EF4-FFF2-40B4-BE49-F238E27FC236}">
              <a16:creationId xmlns:a16="http://schemas.microsoft.com/office/drawing/2014/main" id="{00000000-0008-0000-01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39</xdr:col>
      <xdr:colOff>429983</xdr:colOff>
      <xdr:row>47</xdr:row>
      <xdr:rowOff>106137</xdr:rowOff>
    </xdr:from>
    <xdr:to>
      <xdr:col>49</xdr:col>
      <xdr:colOff>369023</xdr:colOff>
      <xdr:row>64</xdr:row>
      <xdr:rowOff>106137</xdr:rowOff>
    </xdr:to>
    <xdr:graphicFrame macro="">
      <xdr:nvGraphicFramePr>
        <xdr:cNvPr id="18" name="Chart 17">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591911</xdr:colOff>
      <xdr:row>118</xdr:row>
      <xdr:rowOff>163285</xdr:rowOff>
    </xdr:from>
    <xdr:to>
      <xdr:col>36</xdr:col>
      <xdr:colOff>122464</xdr:colOff>
      <xdr:row>142</xdr:row>
      <xdr:rowOff>122463</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333374</xdr:colOff>
      <xdr:row>107</xdr:row>
      <xdr:rowOff>57150</xdr:rowOff>
    </xdr:from>
    <xdr:to>
      <xdr:col>12</xdr:col>
      <xdr:colOff>149679</xdr:colOff>
      <xdr:row>124</xdr:row>
      <xdr:rowOff>190499</xdr:rowOff>
    </xdr:to>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0.5117</cdr:x>
      <cdr:y>0.12518</cdr:y>
    </cdr:from>
    <cdr:to>
      <cdr:x>0.7117</cdr:x>
      <cdr:y>0.45851</cdr:y>
    </cdr:to>
    <cdr:sp macro="" textlink="">
      <cdr:nvSpPr>
        <cdr:cNvPr id="2" name="TextBox 1"/>
        <cdr:cNvSpPr txBox="1"/>
      </cdr:nvSpPr>
      <cdr:spPr>
        <a:xfrm xmlns:a="http://schemas.openxmlformats.org/drawingml/2006/main">
          <a:off x="3460359" y="751192"/>
          <a:ext cx="1352496" cy="200023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000"/>
            <a:t>2020</a:t>
          </a:r>
        </a:p>
        <a:p xmlns:a="http://schemas.openxmlformats.org/drawingml/2006/main">
          <a:r>
            <a:rPr lang="en-US" sz="1000"/>
            <a:t>2019</a:t>
          </a:r>
        </a:p>
        <a:p xmlns:a="http://schemas.openxmlformats.org/drawingml/2006/main">
          <a:r>
            <a:rPr lang="en-US" sz="1000"/>
            <a:t>2018</a:t>
          </a:r>
        </a:p>
        <a:p xmlns:a="http://schemas.openxmlformats.org/drawingml/2006/main">
          <a:r>
            <a:rPr lang="en-US" sz="1000"/>
            <a:t>2017</a:t>
          </a:r>
        </a:p>
        <a:p xmlns:a="http://schemas.openxmlformats.org/drawingml/2006/main">
          <a:r>
            <a:rPr lang="en-US" sz="1000"/>
            <a:t>2016</a:t>
          </a:r>
        </a:p>
        <a:p xmlns:a="http://schemas.openxmlformats.org/drawingml/2006/main">
          <a:r>
            <a:rPr lang="en-US" sz="1000"/>
            <a:t>2015</a:t>
          </a:r>
        </a:p>
        <a:p xmlns:a="http://schemas.openxmlformats.org/drawingml/2006/main">
          <a:r>
            <a:rPr lang="en-US" sz="1000"/>
            <a:t>2014</a:t>
          </a:r>
        </a:p>
      </cdr:txBody>
    </cdr:sp>
  </cdr:relSizeAnchor>
</c:userShapes>
</file>

<file path=xl/drawings/drawing4.xml><?xml version="1.0" encoding="utf-8"?>
<c:userShapes xmlns:c="http://schemas.openxmlformats.org/drawingml/2006/chart">
  <cdr:relSizeAnchor xmlns:cdr="http://schemas.openxmlformats.org/drawingml/2006/chartDrawing">
    <cdr:from>
      <cdr:x>0.45086</cdr:x>
      <cdr:y>0.17304</cdr:y>
    </cdr:from>
    <cdr:to>
      <cdr:x>0.65086</cdr:x>
      <cdr:y>0.50637</cdr:y>
    </cdr:to>
    <cdr:sp macro="" textlink="">
      <cdr:nvSpPr>
        <cdr:cNvPr id="2" name="TextBox 1"/>
        <cdr:cNvSpPr txBox="1"/>
      </cdr:nvSpPr>
      <cdr:spPr>
        <a:xfrm xmlns:a="http://schemas.openxmlformats.org/drawingml/2006/main">
          <a:off x="2817153" y="737538"/>
          <a:ext cx="1249680" cy="142075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900"/>
            <a:t>2018</a:t>
          </a:r>
        </a:p>
        <a:p xmlns:a="http://schemas.openxmlformats.org/drawingml/2006/main">
          <a:r>
            <a:rPr lang="en-US" sz="900"/>
            <a:t>2017</a:t>
          </a:r>
        </a:p>
        <a:p xmlns:a="http://schemas.openxmlformats.org/drawingml/2006/main">
          <a:r>
            <a:rPr lang="en-US" sz="900"/>
            <a:t>2016</a:t>
          </a:r>
        </a:p>
        <a:p xmlns:a="http://schemas.openxmlformats.org/drawingml/2006/main">
          <a:r>
            <a:rPr lang="en-US" sz="900"/>
            <a:t>2015</a:t>
          </a:r>
        </a:p>
        <a:p xmlns:a="http://schemas.openxmlformats.org/drawingml/2006/main">
          <a:r>
            <a:rPr lang="en-US" sz="900"/>
            <a:t>2014</a:t>
          </a:r>
        </a:p>
      </cdr:txBody>
    </cdr:sp>
  </cdr:relSizeAnchor>
</c:userShapes>
</file>

<file path=xl/drawings/drawing5.xml><?xml version="1.0" encoding="utf-8"?>
<xdr:wsDr xmlns:xdr="http://schemas.openxmlformats.org/drawingml/2006/spreadsheetDrawing" xmlns:a="http://schemas.openxmlformats.org/drawingml/2006/main">
  <xdr:twoCellAnchor>
    <xdr:from>
      <xdr:col>2</xdr:col>
      <xdr:colOff>266699</xdr:colOff>
      <xdr:row>16</xdr:row>
      <xdr:rowOff>42862</xdr:rowOff>
    </xdr:from>
    <xdr:to>
      <xdr:col>24</xdr:col>
      <xdr:colOff>161924</xdr:colOff>
      <xdr:row>37</xdr:row>
      <xdr:rowOff>95250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89125</xdr:colOff>
      <xdr:row>226</xdr:row>
      <xdr:rowOff>21201</xdr:rowOff>
    </xdr:from>
    <xdr:to>
      <xdr:col>15</xdr:col>
      <xdr:colOff>293688</xdr:colOff>
      <xdr:row>240</xdr:row>
      <xdr:rowOff>181070</xdr:rowOff>
    </xdr:to>
    <xdr:graphicFrame macro="">
      <xdr:nvGraphicFramePr>
        <xdr:cNvPr id="2" name="Chart 2">
          <a:extLst>
            <a:ext uri="{FF2B5EF4-FFF2-40B4-BE49-F238E27FC236}">
              <a16:creationId xmlns:a16="http://schemas.microsoft.com/office/drawing/2014/main" id="{C9FE9086-22A6-4A7B-965D-B911FA95B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4054</xdr:colOff>
      <xdr:row>211</xdr:row>
      <xdr:rowOff>183812</xdr:rowOff>
    </xdr:from>
    <xdr:to>
      <xdr:col>15</xdr:col>
      <xdr:colOff>289804</xdr:colOff>
      <xdr:row>226</xdr:row>
      <xdr:rowOff>39113</xdr:rowOff>
    </xdr:to>
    <xdr:graphicFrame macro="">
      <xdr:nvGraphicFramePr>
        <xdr:cNvPr id="3" name="Chart 6">
          <a:extLst>
            <a:ext uri="{FF2B5EF4-FFF2-40B4-BE49-F238E27FC236}">
              <a16:creationId xmlns:a16="http://schemas.microsoft.com/office/drawing/2014/main" id="{5C7AE769-6628-4E44-962B-CC901D8E0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25</xdr:col>
      <xdr:colOff>543417</xdr:colOff>
      <xdr:row>109</xdr:row>
      <xdr:rowOff>26114</xdr:rowOff>
    </xdr:from>
    <xdr:to>
      <xdr:col>34</xdr:col>
      <xdr:colOff>95771</xdr:colOff>
      <xdr:row>170</xdr:row>
      <xdr:rowOff>139256</xdr:rowOff>
    </xdr:to>
    <xdr:graphicFrame macro="">
      <xdr:nvGraphicFramePr>
        <xdr:cNvPr id="2" name="Chart 1">
          <a:extLst>
            <a:ext uri="{FF2B5EF4-FFF2-40B4-BE49-F238E27FC236}">
              <a16:creationId xmlns:a16="http://schemas.microsoft.com/office/drawing/2014/main" id="{221A557E-BCB1-493B-AB75-25A08C132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89125</xdr:colOff>
      <xdr:row>226</xdr:row>
      <xdr:rowOff>21201</xdr:rowOff>
    </xdr:from>
    <xdr:to>
      <xdr:col>15</xdr:col>
      <xdr:colOff>293688</xdr:colOff>
      <xdr:row>241</xdr:row>
      <xdr:rowOff>181070</xdr:rowOff>
    </xdr:to>
    <xdr:graphicFrame macro="">
      <xdr:nvGraphicFramePr>
        <xdr:cNvPr id="3" name="Chart 2">
          <a:extLst>
            <a:ext uri="{FF2B5EF4-FFF2-40B4-BE49-F238E27FC236}">
              <a16:creationId xmlns:a16="http://schemas.microsoft.com/office/drawing/2014/main" id="{B77302BB-BB25-48E2-8476-D81927E56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594197</xdr:colOff>
      <xdr:row>170</xdr:row>
      <xdr:rowOff>45801</xdr:rowOff>
    </xdr:from>
    <xdr:to>
      <xdr:col>41</xdr:col>
      <xdr:colOff>389280</xdr:colOff>
      <xdr:row>197</xdr:row>
      <xdr:rowOff>89344</xdr:rowOff>
    </xdr:to>
    <xdr:graphicFrame macro="">
      <xdr:nvGraphicFramePr>
        <xdr:cNvPr id="4" name="Chart 3">
          <a:extLst>
            <a:ext uri="{FF2B5EF4-FFF2-40B4-BE49-F238E27FC236}">
              <a16:creationId xmlns:a16="http://schemas.microsoft.com/office/drawing/2014/main" id="{AF67B5F9-4C3C-4899-9857-5909B985E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656844</xdr:colOff>
      <xdr:row>205</xdr:row>
      <xdr:rowOff>68625</xdr:rowOff>
    </xdr:from>
    <xdr:to>
      <xdr:col>32</xdr:col>
      <xdr:colOff>381000</xdr:colOff>
      <xdr:row>238</xdr:row>
      <xdr:rowOff>124205</xdr:rowOff>
    </xdr:to>
    <xdr:graphicFrame macro="">
      <xdr:nvGraphicFramePr>
        <xdr:cNvPr id="5" name="Chart 4">
          <a:extLst>
            <a:ext uri="{FF2B5EF4-FFF2-40B4-BE49-F238E27FC236}">
              <a16:creationId xmlns:a16="http://schemas.microsoft.com/office/drawing/2014/main" id="{B0C6462B-C182-4434-A919-1BC41F1D9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70932</xdr:colOff>
      <xdr:row>175</xdr:row>
      <xdr:rowOff>131729</xdr:rowOff>
    </xdr:from>
    <xdr:to>
      <xdr:col>25</xdr:col>
      <xdr:colOff>28604</xdr:colOff>
      <xdr:row>194</xdr:row>
      <xdr:rowOff>82743</xdr:rowOff>
    </xdr:to>
    <xdr:graphicFrame macro="">
      <xdr:nvGraphicFramePr>
        <xdr:cNvPr id="6" name="Chart 5">
          <a:extLst>
            <a:ext uri="{FF2B5EF4-FFF2-40B4-BE49-F238E27FC236}">
              <a16:creationId xmlns:a16="http://schemas.microsoft.com/office/drawing/2014/main" id="{5A4DACCE-D3C3-445B-8360-16895F650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4054</xdr:colOff>
      <xdr:row>211</xdr:row>
      <xdr:rowOff>183812</xdr:rowOff>
    </xdr:from>
    <xdr:to>
      <xdr:col>15</xdr:col>
      <xdr:colOff>289804</xdr:colOff>
      <xdr:row>226</xdr:row>
      <xdr:rowOff>39113</xdr:rowOff>
    </xdr:to>
    <xdr:graphicFrame macro="">
      <xdr:nvGraphicFramePr>
        <xdr:cNvPr id="7" name="Chart 6">
          <a:extLst>
            <a:ext uri="{FF2B5EF4-FFF2-40B4-BE49-F238E27FC236}">
              <a16:creationId xmlns:a16="http://schemas.microsoft.com/office/drawing/2014/main" id="{63F963EB-F6E9-45EC-9E46-536F44468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25</xdr:col>
      <xdr:colOff>16502</xdr:colOff>
      <xdr:row>86</xdr:row>
      <xdr:rowOff>188241</xdr:rowOff>
    </xdr:from>
    <xdr:to>
      <xdr:col>33</xdr:col>
      <xdr:colOff>176835</xdr:colOff>
      <xdr:row>148</xdr:row>
      <xdr:rowOff>108858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271519</xdr:colOff>
      <xdr:row>196</xdr:row>
      <xdr:rowOff>122531</xdr:rowOff>
    </xdr:from>
    <xdr:to>
      <xdr:col>14</xdr:col>
      <xdr:colOff>212624</xdr:colOff>
      <xdr:row>211</xdr:row>
      <xdr:rowOff>89874</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594197</xdr:colOff>
      <xdr:row>151</xdr:row>
      <xdr:rowOff>45801</xdr:rowOff>
    </xdr:from>
    <xdr:to>
      <xdr:col>41</xdr:col>
      <xdr:colOff>389280</xdr:colOff>
      <xdr:row>177</xdr:row>
      <xdr:rowOff>89344</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656844</xdr:colOff>
      <xdr:row>185</xdr:row>
      <xdr:rowOff>68625</xdr:rowOff>
    </xdr:from>
    <xdr:to>
      <xdr:col>32</xdr:col>
      <xdr:colOff>381000</xdr:colOff>
      <xdr:row>218</xdr:row>
      <xdr:rowOff>124205</xdr:rowOff>
    </xdr:to>
    <xdr:graphicFrame macro="">
      <xdr:nvGraphicFramePr>
        <xdr:cNvPr id="5" name="Chart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557315</xdr:colOff>
      <xdr:row>159</xdr:row>
      <xdr:rowOff>131728</xdr:rowOff>
    </xdr:from>
    <xdr:to>
      <xdr:col>24</xdr:col>
      <xdr:colOff>109667</xdr:colOff>
      <xdr:row>177</xdr:row>
      <xdr:rowOff>72609</xdr:rowOff>
    </xdr:to>
    <xdr:graphicFrame macro="">
      <xdr:nvGraphicFramePr>
        <xdr:cNvPr id="7" name="Chart 6">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297910</xdr:colOff>
      <xdr:row>182</xdr:row>
      <xdr:rowOff>163546</xdr:rowOff>
    </xdr:from>
    <xdr:to>
      <xdr:col>15</xdr:col>
      <xdr:colOff>46612</xdr:colOff>
      <xdr:row>197</xdr:row>
      <xdr:rowOff>18847</xdr:rowOff>
    </xdr:to>
    <xdr:graphicFrame macro="">
      <xdr:nvGraphicFramePr>
        <xdr:cNvPr id="6" name="Chart 5">
          <a:extLst>
            <a:ext uri="{FF2B5EF4-FFF2-40B4-BE49-F238E27FC236}">
              <a16:creationId xmlns:a16="http://schemas.microsoft.com/office/drawing/2014/main" id="{D47B5347-BFB7-88A6-34E6-D7AFD4022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510704</xdr:colOff>
      <xdr:row>86</xdr:row>
      <xdr:rowOff>183812</xdr:rowOff>
    </xdr:from>
    <xdr:to>
      <xdr:col>24</xdr:col>
      <xdr:colOff>97278</xdr:colOff>
      <xdr:row>135</xdr:row>
      <xdr:rowOff>8714</xdr:rowOff>
    </xdr:to>
    <xdr:graphicFrame macro="">
      <xdr:nvGraphicFramePr>
        <xdr:cNvPr id="8" name="Chart 7">
          <a:extLst>
            <a:ext uri="{FF2B5EF4-FFF2-40B4-BE49-F238E27FC236}">
              <a16:creationId xmlns:a16="http://schemas.microsoft.com/office/drawing/2014/main" id="{3497B77E-FFEF-CB02-CEFC-127CA64FA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495502</xdr:colOff>
      <xdr:row>135</xdr:row>
      <xdr:rowOff>62215</xdr:rowOff>
    </xdr:from>
    <xdr:to>
      <xdr:col>24</xdr:col>
      <xdr:colOff>82076</xdr:colOff>
      <xdr:row>159</xdr:row>
      <xdr:rowOff>99910</xdr:rowOff>
    </xdr:to>
    <xdr:graphicFrame macro="">
      <xdr:nvGraphicFramePr>
        <xdr:cNvPr id="9" name="Chart 8">
          <a:extLst>
            <a:ext uri="{FF2B5EF4-FFF2-40B4-BE49-F238E27FC236}">
              <a16:creationId xmlns:a16="http://schemas.microsoft.com/office/drawing/2014/main" id="{4247AE14-BBA5-9778-F2E8-F6D19BDCF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15</xdr:col>
      <xdr:colOff>239430</xdr:colOff>
      <xdr:row>133</xdr:row>
      <xdr:rowOff>20267</xdr:rowOff>
    </xdr:from>
    <xdr:to>
      <xdr:col>23</xdr:col>
      <xdr:colOff>227501</xdr:colOff>
      <xdr:row>156</xdr:row>
      <xdr:rowOff>58192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220854</xdr:colOff>
      <xdr:row>191</xdr:row>
      <xdr:rowOff>61731</xdr:rowOff>
    </xdr:from>
    <xdr:to>
      <xdr:col>12</xdr:col>
      <xdr:colOff>719273</xdr:colOff>
      <xdr:row>206</xdr:row>
      <xdr:rowOff>29074</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280075</xdr:colOff>
      <xdr:row>178</xdr:row>
      <xdr:rowOff>76200</xdr:rowOff>
    </xdr:from>
    <xdr:to>
      <xdr:col>53</xdr:col>
      <xdr:colOff>75158</xdr:colOff>
      <xdr:row>204</xdr:row>
      <xdr:rowOff>160275</xdr:rowOff>
    </xdr:to>
    <xdr:graphicFrame macro="">
      <xdr:nvGraphicFramePr>
        <xdr:cNvPr id="4" name="Chart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131729</xdr:colOff>
      <xdr:row>155</xdr:row>
      <xdr:rowOff>182393</xdr:rowOff>
    </xdr:from>
    <xdr:to>
      <xdr:col>43</xdr:col>
      <xdr:colOff>158075</xdr:colOff>
      <xdr:row>174</xdr:row>
      <xdr:rowOff>131728</xdr:rowOff>
    </xdr:to>
    <xdr:graphicFrame macro="">
      <xdr:nvGraphicFramePr>
        <xdr:cNvPr id="5" name="Chart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354655</xdr:colOff>
      <xdr:row>156</xdr:row>
      <xdr:rowOff>101329</xdr:rowOff>
    </xdr:from>
    <xdr:to>
      <xdr:col>23</xdr:col>
      <xdr:colOff>342726</xdr:colOff>
      <xdr:row>174</xdr:row>
      <xdr:rowOff>52343</xdr:rowOff>
    </xdr:to>
    <xdr:graphicFrame macro="">
      <xdr:nvGraphicFramePr>
        <xdr:cNvPr id="7" name="Chart 6">
          <a:extLst>
            <a:ext uri="{FF2B5EF4-FFF2-40B4-BE49-F238E27FC236}">
              <a16:creationId xmlns:a16="http://schemas.microsoft.com/office/drawing/2014/main" id="{00000000-0008-0000-0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50664</xdr:colOff>
      <xdr:row>155</xdr:row>
      <xdr:rowOff>172261</xdr:rowOff>
    </xdr:from>
    <xdr:to>
      <xdr:col>33</xdr:col>
      <xdr:colOff>202660</xdr:colOff>
      <xdr:row>175</xdr:row>
      <xdr:rowOff>15048</xdr:rowOff>
    </xdr:to>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4053</xdr:colOff>
      <xdr:row>97</xdr:row>
      <xdr:rowOff>70932</xdr:rowOff>
    </xdr:from>
    <xdr:to>
      <xdr:col>32</xdr:col>
      <xdr:colOff>50664</xdr:colOff>
      <xdr:row>155</xdr:row>
      <xdr:rowOff>70930</xdr:rowOff>
    </xdr:to>
    <xdr:graphicFrame macro="">
      <xdr:nvGraphicFramePr>
        <xdr:cNvPr id="6" name="Chart 5">
          <a:extLst>
            <a:ext uri="{FF2B5EF4-FFF2-40B4-BE49-F238E27FC236}">
              <a16:creationId xmlns:a16="http://schemas.microsoft.com/office/drawing/2014/main" id="{CB6C9C2E-0C2E-CA2A-275A-425A542F1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269421</xdr:colOff>
      <xdr:row>88</xdr:row>
      <xdr:rowOff>5442</xdr:rowOff>
    </xdr:from>
    <xdr:to>
      <xdr:col>22</xdr:col>
      <xdr:colOff>321128</xdr:colOff>
      <xdr:row>144</xdr:row>
      <xdr:rowOff>127906</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332317</xdr:colOff>
      <xdr:row>173</xdr:row>
      <xdr:rowOff>173195</xdr:rowOff>
    </xdr:from>
    <xdr:to>
      <xdr:col>14</xdr:col>
      <xdr:colOff>273422</xdr:colOff>
      <xdr:row>188</xdr:row>
      <xdr:rowOff>140538</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190500</xdr:colOff>
      <xdr:row>166</xdr:row>
      <xdr:rowOff>171450</xdr:rowOff>
    </xdr:from>
    <xdr:to>
      <xdr:col>39</xdr:col>
      <xdr:colOff>186418</xdr:colOff>
      <xdr:row>193</xdr:row>
      <xdr:rowOff>43543</xdr:rowOff>
    </xdr:to>
    <xdr:graphicFrame macro="">
      <xdr:nvGraphicFramePr>
        <xdr:cNvPr id="4" name="Chart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504825</xdr:colOff>
      <xdr:row>145</xdr:row>
      <xdr:rowOff>38099</xdr:rowOff>
    </xdr:from>
    <xdr:to>
      <xdr:col>38</xdr:col>
      <xdr:colOff>571499</xdr:colOff>
      <xdr:row>163</xdr:row>
      <xdr:rowOff>66675</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145</xdr:row>
      <xdr:rowOff>0</xdr:rowOff>
    </xdr:from>
    <xdr:to>
      <xdr:col>22</xdr:col>
      <xdr:colOff>327932</xdr:colOff>
      <xdr:row>162</xdr:row>
      <xdr:rowOff>141514</xdr:rowOff>
    </xdr:to>
    <xdr:graphicFrame macro="">
      <xdr:nvGraphicFramePr>
        <xdr:cNvPr id="7" name="Chart 6">
          <a:extLst>
            <a:ext uri="{FF2B5EF4-FFF2-40B4-BE49-F238E27FC236}">
              <a16:creationId xmlns:a16="http://schemas.microsoft.com/office/drawing/2014/main" id="{00000000-0008-0000-0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314325</xdr:colOff>
      <xdr:row>144</xdr:row>
      <xdr:rowOff>180974</xdr:rowOff>
    </xdr:from>
    <xdr:to>
      <xdr:col>30</xdr:col>
      <xdr:colOff>504825</xdr:colOff>
      <xdr:row>163</xdr:row>
      <xdr:rowOff>28575</xdr:rowOff>
    </xdr:to>
    <xdr:graphicFrame macro="">
      <xdr:nvGraphicFramePr>
        <xdr:cNvPr id="8" name="Chart 7">
          <a:extLst>
            <a:ext uri="{FF2B5EF4-FFF2-40B4-BE49-F238E27FC236}">
              <a16:creationId xmlns:a16="http://schemas.microsoft.com/office/drawing/2014/main" id="{00000000-0008-0000-0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155121</xdr:colOff>
      <xdr:row>125</xdr:row>
      <xdr:rowOff>62592</xdr:rowOff>
    </xdr:from>
    <xdr:to>
      <xdr:col>23</xdr:col>
      <xdr:colOff>149678</xdr:colOff>
      <xdr:row>142</xdr:row>
      <xdr:rowOff>185056</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332317</xdr:colOff>
      <xdr:row>171</xdr:row>
      <xdr:rowOff>173195</xdr:rowOff>
    </xdr:from>
    <xdr:to>
      <xdr:col>14</xdr:col>
      <xdr:colOff>273422</xdr:colOff>
      <xdr:row>186</xdr:row>
      <xdr:rowOff>140538</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504825</xdr:colOff>
      <xdr:row>168</xdr:row>
      <xdr:rowOff>161925</xdr:rowOff>
    </xdr:from>
    <xdr:to>
      <xdr:col>42</xdr:col>
      <xdr:colOff>129268</xdr:colOff>
      <xdr:row>195</xdr:row>
      <xdr:rowOff>14968</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172811</xdr:colOff>
      <xdr:row>125</xdr:row>
      <xdr:rowOff>59871</xdr:rowOff>
    </xdr:from>
    <xdr:to>
      <xdr:col>32</xdr:col>
      <xdr:colOff>542925</xdr:colOff>
      <xdr:row>143</xdr:row>
      <xdr:rowOff>38100</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114300</xdr:colOff>
      <xdr:row>143</xdr:row>
      <xdr:rowOff>19050</xdr:rowOff>
    </xdr:from>
    <xdr:to>
      <xdr:col>23</xdr:col>
      <xdr:colOff>108857</xdr:colOff>
      <xdr:row>160</xdr:row>
      <xdr:rowOff>160564</xdr:rowOff>
    </xdr:to>
    <xdr:graphicFrame macro="">
      <xdr:nvGraphicFramePr>
        <xdr:cNvPr id="7" name="Chart 6">
          <a:extLst>
            <a:ext uri="{FF2B5EF4-FFF2-40B4-BE49-F238E27FC236}">
              <a16:creationId xmlns:a16="http://schemas.microsoft.com/office/drawing/2014/main" id="{00000000-0008-0000-0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161925</xdr:colOff>
      <xdr:row>143</xdr:row>
      <xdr:rowOff>57150</xdr:rowOff>
    </xdr:from>
    <xdr:to>
      <xdr:col>32</xdr:col>
      <xdr:colOff>532039</xdr:colOff>
      <xdr:row>161</xdr:row>
      <xdr:rowOff>54429</xdr:rowOff>
    </xdr:to>
    <xdr:graphicFrame macro="">
      <xdr:nvGraphicFramePr>
        <xdr:cNvPr id="8" name="Chart 7">
          <a:extLst>
            <a:ext uri="{FF2B5EF4-FFF2-40B4-BE49-F238E27FC236}">
              <a16:creationId xmlns:a16="http://schemas.microsoft.com/office/drawing/2014/main" id="{00000000-0008-0000-09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707572</xdr:colOff>
      <xdr:row>111</xdr:row>
      <xdr:rowOff>1906</xdr:rowOff>
    </xdr:from>
    <xdr:to>
      <xdr:col>25</xdr:col>
      <xdr:colOff>384266</xdr:colOff>
      <xdr:row>125</xdr:row>
      <xdr:rowOff>31024</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483598</xdr:colOff>
      <xdr:row>155</xdr:row>
      <xdr:rowOff>121649</xdr:rowOff>
    </xdr:from>
    <xdr:to>
      <xdr:col>13</xdr:col>
      <xdr:colOff>634092</xdr:colOff>
      <xdr:row>170</xdr:row>
      <xdr:rowOff>88991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55245</xdr:colOff>
      <xdr:row>139</xdr:row>
      <xdr:rowOff>45177</xdr:rowOff>
    </xdr:from>
    <xdr:to>
      <xdr:col>35</xdr:col>
      <xdr:colOff>57423</xdr:colOff>
      <xdr:row>165</xdr:row>
      <xdr:rowOff>92530</xdr:rowOff>
    </xdr:to>
    <xdr:graphicFrame macro="">
      <xdr:nvGraphicFramePr>
        <xdr:cNvPr id="4" name="Chart 3">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447404</xdr:colOff>
      <xdr:row>101</xdr:row>
      <xdr:rowOff>109399</xdr:rowOff>
    </xdr:from>
    <xdr:to>
      <xdr:col>36</xdr:col>
      <xdr:colOff>441416</xdr:colOff>
      <xdr:row>133</xdr:row>
      <xdr:rowOff>160562</xdr:rowOff>
    </xdr:to>
    <xdr:graphicFrame macro="">
      <xdr:nvGraphicFramePr>
        <xdr:cNvPr id="5" name="Chart 4">
          <a:extLst>
            <a:ext uri="{FF2B5EF4-FFF2-40B4-BE49-F238E27FC236}">
              <a16:creationId xmlns:a16="http://schemas.microsoft.com/office/drawing/2014/main" id="{00000000-0008-0000-0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283573</xdr:colOff>
      <xdr:row>125</xdr:row>
      <xdr:rowOff>38916</xdr:rowOff>
    </xdr:from>
    <xdr:to>
      <xdr:col>25</xdr:col>
      <xdr:colOff>396240</xdr:colOff>
      <xdr:row>137</xdr:row>
      <xdr:rowOff>143419</xdr:rowOff>
    </xdr:to>
    <xdr:graphicFrame macro="">
      <xdr:nvGraphicFramePr>
        <xdr:cNvPr id="7" name="Chart 6">
          <a:extLst>
            <a:ext uri="{FF2B5EF4-FFF2-40B4-BE49-F238E27FC236}">
              <a16:creationId xmlns:a16="http://schemas.microsoft.com/office/drawing/2014/main" id="{00000000-0008-0000-0A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12</xdr:col>
      <xdr:colOff>1012371</xdr:colOff>
      <xdr:row>110</xdr:row>
      <xdr:rowOff>157842</xdr:rowOff>
    </xdr:from>
    <xdr:to>
      <xdr:col>21</xdr:col>
      <xdr:colOff>359228</xdr:colOff>
      <xdr:row>128</xdr:row>
      <xdr:rowOff>108856</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440871</xdr:colOff>
      <xdr:row>144</xdr:row>
      <xdr:rowOff>125185</xdr:rowOff>
    </xdr:from>
    <xdr:to>
      <xdr:col>12</xdr:col>
      <xdr:colOff>527957</xdr:colOff>
      <xdr:row>159</xdr:row>
      <xdr:rowOff>92529</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261257</xdr:colOff>
      <xdr:row>102</xdr:row>
      <xdr:rowOff>76201</xdr:rowOff>
    </xdr:from>
    <xdr:to>
      <xdr:col>37</xdr:col>
      <xdr:colOff>94433</xdr:colOff>
      <xdr:row>128</xdr:row>
      <xdr:rowOff>121648</xdr:rowOff>
    </xdr:to>
    <xdr:graphicFrame macro="">
      <xdr:nvGraphicFramePr>
        <xdr:cNvPr id="4" name="Chart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391069</xdr:colOff>
      <xdr:row>133</xdr:row>
      <xdr:rowOff>113211</xdr:rowOff>
    </xdr:from>
    <xdr:to>
      <xdr:col>34</xdr:col>
      <xdr:colOff>394607</xdr:colOff>
      <xdr:row>165</xdr:row>
      <xdr:rowOff>158659</xdr:rowOff>
    </xdr:to>
    <xdr:graphicFrame macro="">
      <xdr:nvGraphicFramePr>
        <xdr:cNvPr id="5" name="Chart 4">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79740</xdr:colOff>
      <xdr:row>110</xdr:row>
      <xdr:rowOff>1088</xdr:rowOff>
    </xdr:from>
    <xdr:to>
      <xdr:col>26</xdr:col>
      <xdr:colOff>202204</xdr:colOff>
      <xdr:row>124</xdr:row>
      <xdr:rowOff>137704</xdr:rowOff>
    </xdr:to>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12</xdr:col>
      <xdr:colOff>304800</xdr:colOff>
      <xdr:row>110</xdr:row>
      <xdr:rowOff>16328</xdr:rowOff>
    </xdr:from>
    <xdr:to>
      <xdr:col>19</xdr:col>
      <xdr:colOff>783771</xdr:colOff>
      <xdr:row>127</xdr:row>
      <xdr:rowOff>152399</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386442</xdr:colOff>
      <xdr:row>136</xdr:row>
      <xdr:rowOff>81643</xdr:rowOff>
    </xdr:from>
    <xdr:to>
      <xdr:col>15</xdr:col>
      <xdr:colOff>38099</xdr:colOff>
      <xdr:row>151</xdr:row>
      <xdr:rowOff>48986</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130628</xdr:colOff>
      <xdr:row>110</xdr:row>
      <xdr:rowOff>65315</xdr:rowOff>
    </xdr:from>
    <xdr:to>
      <xdr:col>29</xdr:col>
      <xdr:colOff>185057</xdr:colOff>
      <xdr:row>136</xdr:row>
      <xdr:rowOff>108857</xdr:rowOff>
    </xdr:to>
    <xdr:graphicFrame macro="">
      <xdr:nvGraphicFramePr>
        <xdr:cNvPr id="5" name="Chart 4">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326570</xdr:colOff>
      <xdr:row>152</xdr:row>
      <xdr:rowOff>27214</xdr:rowOff>
    </xdr:from>
    <xdr:to>
      <xdr:col>14</xdr:col>
      <xdr:colOff>261256</xdr:colOff>
      <xdr:row>166</xdr:row>
      <xdr:rowOff>179614</xdr:rowOff>
    </xdr:to>
    <xdr:graphicFrame macro="">
      <xdr:nvGraphicFramePr>
        <xdr:cNvPr id="4" name="Chart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751113</xdr:colOff>
      <xdr:row>128</xdr:row>
      <xdr:rowOff>119743</xdr:rowOff>
    </xdr:from>
    <xdr:to>
      <xdr:col>19</xdr:col>
      <xdr:colOff>283028</xdr:colOff>
      <xdr:row>140</xdr:row>
      <xdr:rowOff>136071</xdr:rowOff>
    </xdr:to>
    <xdr:graphicFrame macro="">
      <xdr:nvGraphicFramePr>
        <xdr:cNvPr id="7" name="Chart 6">
          <a:extLst>
            <a:ext uri="{FF2B5EF4-FFF2-40B4-BE49-F238E27FC236}">
              <a16:creationId xmlns:a16="http://schemas.microsoft.com/office/drawing/2014/main" id="{00000000-0008-0000-0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12</xdr:col>
      <xdr:colOff>380999</xdr:colOff>
      <xdr:row>85</xdr:row>
      <xdr:rowOff>16328</xdr:rowOff>
    </xdr:from>
    <xdr:to>
      <xdr:col>19</xdr:col>
      <xdr:colOff>783772</xdr:colOff>
      <xdr:row>98</xdr:row>
      <xdr:rowOff>174171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669471</xdr:colOff>
      <xdr:row>100</xdr:row>
      <xdr:rowOff>59872</xdr:rowOff>
    </xdr:from>
    <xdr:to>
      <xdr:col>20</xdr:col>
      <xdr:colOff>212271</xdr:colOff>
      <xdr:row>115</xdr:row>
      <xdr:rowOff>27215</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76198</xdr:colOff>
      <xdr:row>76</xdr:row>
      <xdr:rowOff>163286</xdr:rowOff>
    </xdr:from>
    <xdr:to>
      <xdr:col>30</xdr:col>
      <xdr:colOff>250371</xdr:colOff>
      <xdr:row>99</xdr:row>
      <xdr:rowOff>130629</xdr:rowOff>
    </xdr:to>
    <xdr:graphicFrame macro="">
      <xdr:nvGraphicFramePr>
        <xdr:cNvPr id="4" name="Chart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500744</xdr:colOff>
      <xdr:row>107</xdr:row>
      <xdr:rowOff>38100</xdr:rowOff>
    </xdr:from>
    <xdr:to>
      <xdr:col>12</xdr:col>
      <xdr:colOff>391886</xdr:colOff>
      <xdr:row>122</xdr:row>
      <xdr:rowOff>5443</xdr:rowOff>
    </xdr:to>
    <xdr:graphicFrame macro="">
      <xdr:nvGraphicFramePr>
        <xdr:cNvPr id="5" name="Chart 4">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12</xdr:col>
      <xdr:colOff>206828</xdr:colOff>
      <xdr:row>85</xdr:row>
      <xdr:rowOff>48986</xdr:rowOff>
    </xdr:from>
    <xdr:to>
      <xdr:col>19</xdr:col>
      <xdr:colOff>740229</xdr:colOff>
      <xdr:row>101</xdr:row>
      <xdr:rowOff>21772</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332014</xdr:colOff>
      <xdr:row>103</xdr:row>
      <xdr:rowOff>70757</xdr:rowOff>
    </xdr:from>
    <xdr:to>
      <xdr:col>21</xdr:col>
      <xdr:colOff>473528</xdr:colOff>
      <xdr:row>118</xdr:row>
      <xdr:rowOff>38100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250371</xdr:colOff>
      <xdr:row>84</xdr:row>
      <xdr:rowOff>43542</xdr:rowOff>
    </xdr:from>
    <xdr:to>
      <xdr:col>29</xdr:col>
      <xdr:colOff>576943</xdr:colOff>
      <xdr:row>107</xdr:row>
      <xdr:rowOff>87085</xdr:rowOff>
    </xdr:to>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12</xdr:col>
      <xdr:colOff>206828</xdr:colOff>
      <xdr:row>85</xdr:row>
      <xdr:rowOff>48986</xdr:rowOff>
    </xdr:from>
    <xdr:to>
      <xdr:col>19</xdr:col>
      <xdr:colOff>740229</xdr:colOff>
      <xdr:row>101</xdr:row>
      <xdr:rowOff>21772</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734785</xdr:colOff>
      <xdr:row>107</xdr:row>
      <xdr:rowOff>48986</xdr:rowOff>
    </xdr:from>
    <xdr:to>
      <xdr:col>15</xdr:col>
      <xdr:colOff>386442</xdr:colOff>
      <xdr:row>122</xdr:row>
      <xdr:rowOff>16329</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12</xdr:col>
      <xdr:colOff>206828</xdr:colOff>
      <xdr:row>85</xdr:row>
      <xdr:rowOff>48986</xdr:rowOff>
    </xdr:from>
    <xdr:to>
      <xdr:col>19</xdr:col>
      <xdr:colOff>740229</xdr:colOff>
      <xdr:row>101</xdr:row>
      <xdr:rowOff>21772</xdr:rowOff>
    </xdr:to>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734785</xdr:colOff>
      <xdr:row>107</xdr:row>
      <xdr:rowOff>48986</xdr:rowOff>
    </xdr:from>
    <xdr:to>
      <xdr:col>15</xdr:col>
      <xdr:colOff>386442</xdr:colOff>
      <xdr:row>122</xdr:row>
      <xdr:rowOff>16329</xdr:rowOff>
    </xdr:to>
    <xdr:graphicFrame macro="">
      <xdr:nvGraphicFramePr>
        <xdr:cNvPr id="3" name="Chart 2">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12</xdr:col>
      <xdr:colOff>206828</xdr:colOff>
      <xdr:row>85</xdr:row>
      <xdr:rowOff>48986</xdr:rowOff>
    </xdr:from>
    <xdr:to>
      <xdr:col>19</xdr:col>
      <xdr:colOff>740229</xdr:colOff>
      <xdr:row>101</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266699</xdr:colOff>
      <xdr:row>83</xdr:row>
      <xdr:rowOff>81643</xdr:rowOff>
    </xdr:from>
    <xdr:to>
      <xdr:col>27</xdr:col>
      <xdr:colOff>440871</xdr:colOff>
      <xdr:row>98</xdr:row>
      <xdr:rowOff>48985</xdr:rowOff>
    </xdr:to>
    <xdr:graphicFrame macro="">
      <xdr:nvGraphicFramePr>
        <xdr:cNvPr id="3" name="Chart 2">
          <a:extLst>
            <a:ext uri="{FF2B5EF4-FFF2-40B4-BE49-F238E27FC236}">
              <a16:creationId xmlns:a16="http://schemas.microsoft.com/office/drawing/2014/main" id="{00000000-0008-0000-1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12</xdr:col>
      <xdr:colOff>206828</xdr:colOff>
      <xdr:row>93</xdr:row>
      <xdr:rowOff>48986</xdr:rowOff>
    </xdr:from>
    <xdr:to>
      <xdr:col>19</xdr:col>
      <xdr:colOff>740229</xdr:colOff>
      <xdr:row>109</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266699</xdr:colOff>
      <xdr:row>91</xdr:row>
      <xdr:rowOff>81643</xdr:rowOff>
    </xdr:from>
    <xdr:to>
      <xdr:col>27</xdr:col>
      <xdr:colOff>440871</xdr:colOff>
      <xdr:row>106</xdr:row>
      <xdr:rowOff>48985</xdr:rowOff>
    </xdr:to>
    <xdr:graphicFrame macro="">
      <xdr:nvGraphicFramePr>
        <xdr:cNvPr id="3" name="Chart 2">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12</xdr:col>
      <xdr:colOff>692603</xdr:colOff>
      <xdr:row>93</xdr:row>
      <xdr:rowOff>1361</xdr:rowOff>
    </xdr:from>
    <xdr:to>
      <xdr:col>21</xdr:col>
      <xdr:colOff>102054</xdr:colOff>
      <xdr:row>108</xdr:row>
      <xdr:rowOff>133350</xdr:rowOff>
    </xdr:to>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266699</xdr:colOff>
      <xdr:row>91</xdr:row>
      <xdr:rowOff>81643</xdr:rowOff>
    </xdr:from>
    <xdr:to>
      <xdr:col>27</xdr:col>
      <xdr:colOff>440871</xdr:colOff>
      <xdr:row>106</xdr:row>
      <xdr:rowOff>48985</xdr:rowOff>
    </xdr:to>
    <xdr:graphicFrame macro="">
      <xdr:nvGraphicFramePr>
        <xdr:cNvPr id="3" name="Chart 2">
          <a:extLst>
            <a:ext uri="{FF2B5EF4-FFF2-40B4-BE49-F238E27FC236}">
              <a16:creationId xmlns:a16="http://schemas.microsoft.com/office/drawing/2014/main" id="{00000000-0008-0000-1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12</xdr:col>
      <xdr:colOff>206828</xdr:colOff>
      <xdr:row>93</xdr:row>
      <xdr:rowOff>48986</xdr:rowOff>
    </xdr:from>
    <xdr:to>
      <xdr:col>19</xdr:col>
      <xdr:colOff>740229</xdr:colOff>
      <xdr:row>109</xdr:row>
      <xdr:rowOff>0</xdr:rowOff>
    </xdr:to>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266699</xdr:colOff>
      <xdr:row>91</xdr:row>
      <xdr:rowOff>81643</xdr:rowOff>
    </xdr:from>
    <xdr:to>
      <xdr:col>27</xdr:col>
      <xdr:colOff>440871</xdr:colOff>
      <xdr:row>106</xdr:row>
      <xdr:rowOff>48985</xdr:rowOff>
    </xdr:to>
    <xdr:graphicFrame macro="">
      <xdr:nvGraphicFramePr>
        <xdr:cNvPr id="3" name="Chart 2">
          <a:extLst>
            <a:ext uri="{FF2B5EF4-FFF2-40B4-BE49-F238E27FC236}">
              <a16:creationId xmlns:a16="http://schemas.microsoft.com/office/drawing/2014/main" id="{00000000-0008-0000-1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12</xdr:col>
      <xdr:colOff>206828</xdr:colOff>
      <xdr:row>93</xdr:row>
      <xdr:rowOff>48986</xdr:rowOff>
    </xdr:from>
    <xdr:to>
      <xdr:col>19</xdr:col>
      <xdr:colOff>740229</xdr:colOff>
      <xdr:row>109</xdr:row>
      <xdr:rowOff>0</xdr:rowOff>
    </xdr:to>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266699</xdr:colOff>
      <xdr:row>91</xdr:row>
      <xdr:rowOff>81643</xdr:rowOff>
    </xdr:from>
    <xdr:to>
      <xdr:col>27</xdr:col>
      <xdr:colOff>440871</xdr:colOff>
      <xdr:row>106</xdr:row>
      <xdr:rowOff>48985</xdr:rowOff>
    </xdr:to>
    <xdr:graphicFrame macro="">
      <xdr:nvGraphicFramePr>
        <xdr:cNvPr id="3" name="Chart 2">
          <a:extLst>
            <a:ext uri="{FF2B5EF4-FFF2-40B4-BE49-F238E27FC236}">
              <a16:creationId xmlns:a16="http://schemas.microsoft.com/office/drawing/2014/main" id="{00000000-0008-0000-1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26</xdr:col>
      <xdr:colOff>171926</xdr:colOff>
      <xdr:row>116</xdr:row>
      <xdr:rowOff>122985</xdr:rowOff>
    </xdr:from>
    <xdr:to>
      <xdr:col>41</xdr:col>
      <xdr:colOff>581024</xdr:colOff>
      <xdr:row>143</xdr:row>
      <xdr:rowOff>77265</xdr:rowOff>
    </xdr:to>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392205</xdr:colOff>
      <xdr:row>6</xdr:row>
      <xdr:rowOff>56029</xdr:rowOff>
    </xdr:from>
    <xdr:to>
      <xdr:col>58</xdr:col>
      <xdr:colOff>437029</xdr:colOff>
      <xdr:row>74</xdr:row>
      <xdr:rowOff>22411</xdr:rowOff>
    </xdr:to>
    <xdr:graphicFrame macro="">
      <xdr:nvGraphicFramePr>
        <xdr:cNvPr id="3" name="Chart 2">
          <a:extLst>
            <a:ext uri="{FF2B5EF4-FFF2-40B4-BE49-F238E27FC236}">
              <a16:creationId xmlns:a16="http://schemas.microsoft.com/office/drawing/2014/main" id="{00000000-0008-0000-1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90711</xdr:colOff>
      <xdr:row>117</xdr:row>
      <xdr:rowOff>138672</xdr:rowOff>
    </xdr:from>
    <xdr:to>
      <xdr:col>25</xdr:col>
      <xdr:colOff>397416</xdr:colOff>
      <xdr:row>148</xdr:row>
      <xdr:rowOff>35802</xdr:rowOff>
    </xdr:to>
    <xdr:graphicFrame macro="">
      <xdr:nvGraphicFramePr>
        <xdr:cNvPr id="4" name="Chart 3">
          <a:extLst>
            <a:ext uri="{FF2B5EF4-FFF2-40B4-BE49-F238E27FC236}">
              <a16:creationId xmlns:a16="http://schemas.microsoft.com/office/drawing/2014/main" id="{00000000-0008-0000-1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43983</xdr:colOff>
      <xdr:row>146</xdr:row>
      <xdr:rowOff>38408</xdr:rowOff>
    </xdr:from>
    <xdr:to>
      <xdr:col>25</xdr:col>
      <xdr:colOff>429971</xdr:colOff>
      <xdr:row>176</xdr:row>
      <xdr:rowOff>133658</xdr:rowOff>
    </xdr:to>
    <xdr:graphicFrame macro="">
      <xdr:nvGraphicFramePr>
        <xdr:cNvPr id="5" name="Chart 4">
          <a:extLst>
            <a:ext uri="{FF2B5EF4-FFF2-40B4-BE49-F238E27FC236}">
              <a16:creationId xmlns:a16="http://schemas.microsoft.com/office/drawing/2014/main" id="{00000000-0008-0000-1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392205</xdr:colOff>
      <xdr:row>75</xdr:row>
      <xdr:rowOff>56029</xdr:rowOff>
    </xdr:from>
    <xdr:to>
      <xdr:col>50</xdr:col>
      <xdr:colOff>48970</xdr:colOff>
      <xdr:row>105</xdr:row>
      <xdr:rowOff>188482</xdr:rowOff>
    </xdr:to>
    <xdr:graphicFrame macro="">
      <xdr:nvGraphicFramePr>
        <xdr:cNvPr id="6" name="Chart 5">
          <a:extLst>
            <a:ext uri="{FF2B5EF4-FFF2-40B4-BE49-F238E27FC236}">
              <a16:creationId xmlns:a16="http://schemas.microsoft.com/office/drawing/2014/main" id="{00000000-0008-0000-1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190499</xdr:colOff>
      <xdr:row>108</xdr:row>
      <xdr:rowOff>123264</xdr:rowOff>
    </xdr:from>
    <xdr:to>
      <xdr:col>55</xdr:col>
      <xdr:colOff>452381</xdr:colOff>
      <xdr:row>139</xdr:row>
      <xdr:rowOff>20394</xdr:rowOff>
    </xdr:to>
    <xdr:graphicFrame macro="">
      <xdr:nvGraphicFramePr>
        <xdr:cNvPr id="7" name="Chart 6">
          <a:extLst>
            <a:ext uri="{FF2B5EF4-FFF2-40B4-BE49-F238E27FC236}">
              <a16:creationId xmlns:a16="http://schemas.microsoft.com/office/drawing/2014/main" id="{00000000-0008-0000-1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32</xdr:col>
      <xdr:colOff>68102</xdr:colOff>
      <xdr:row>82</xdr:row>
      <xdr:rowOff>952</xdr:rowOff>
    </xdr:from>
    <xdr:to>
      <xdr:col>50</xdr:col>
      <xdr:colOff>250029</xdr:colOff>
      <xdr:row>126</xdr:row>
      <xdr:rowOff>154781</xdr:rowOff>
    </xdr:to>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201930</xdr:colOff>
      <xdr:row>7</xdr:row>
      <xdr:rowOff>101917</xdr:rowOff>
    </xdr:from>
    <xdr:to>
      <xdr:col>49</xdr:col>
      <xdr:colOff>345281</xdr:colOff>
      <xdr:row>82</xdr:row>
      <xdr:rowOff>6667</xdr:rowOff>
    </xdr:to>
    <xdr:graphicFrame macro="">
      <xdr:nvGraphicFramePr>
        <xdr:cNvPr id="3" name="Chart 2">
          <a:extLst>
            <a:ext uri="{FF2B5EF4-FFF2-40B4-BE49-F238E27FC236}">
              <a16:creationId xmlns:a16="http://schemas.microsoft.com/office/drawing/2014/main" id="{00000000-0008-0000-1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111442</xdr:colOff>
      <xdr:row>128</xdr:row>
      <xdr:rowOff>130969</xdr:rowOff>
    </xdr:from>
    <xdr:to>
      <xdr:col>21</xdr:col>
      <xdr:colOff>27622</xdr:colOff>
      <xdr:row>159</xdr:row>
      <xdr:rowOff>28099</xdr:rowOff>
    </xdr:to>
    <xdr:graphicFrame macro="">
      <xdr:nvGraphicFramePr>
        <xdr:cNvPr id="4" name="Chart 3">
          <a:extLst>
            <a:ext uri="{FF2B5EF4-FFF2-40B4-BE49-F238E27FC236}">
              <a16:creationId xmlns:a16="http://schemas.microsoft.com/office/drawing/2014/main" id="{00000000-0008-0000-1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440532</xdr:colOff>
      <xdr:row>130</xdr:row>
      <xdr:rowOff>119063</xdr:rowOff>
    </xdr:from>
    <xdr:to>
      <xdr:col>34</xdr:col>
      <xdr:colOff>416243</xdr:colOff>
      <xdr:row>161</xdr:row>
      <xdr:rowOff>16193</xdr:rowOff>
    </xdr:to>
    <xdr:graphicFrame macro="">
      <xdr:nvGraphicFramePr>
        <xdr:cNvPr id="5" name="Chart 4">
          <a:extLst>
            <a:ext uri="{FF2B5EF4-FFF2-40B4-BE49-F238E27FC236}">
              <a16:creationId xmlns:a16="http://schemas.microsoft.com/office/drawing/2014/main" id="{00000000-0008-0000-1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595312</xdr:colOff>
      <xdr:row>130</xdr:row>
      <xdr:rowOff>35719</xdr:rowOff>
    </xdr:from>
    <xdr:to>
      <xdr:col>46</xdr:col>
      <xdr:colOff>571023</xdr:colOff>
      <xdr:row>160</xdr:row>
      <xdr:rowOff>123349</xdr:rowOff>
    </xdr:to>
    <xdr:graphicFrame macro="">
      <xdr:nvGraphicFramePr>
        <xdr:cNvPr id="6" name="Chart 5">
          <a:extLst>
            <a:ext uri="{FF2B5EF4-FFF2-40B4-BE49-F238E27FC236}">
              <a16:creationId xmlns:a16="http://schemas.microsoft.com/office/drawing/2014/main" id="{00000000-0008-0000-1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19</xdr:col>
      <xdr:colOff>112394</xdr:colOff>
      <xdr:row>3</xdr:row>
      <xdr:rowOff>129540</xdr:rowOff>
    </xdr:from>
    <xdr:to>
      <xdr:col>31</xdr:col>
      <xdr:colOff>188595</xdr:colOff>
      <xdr:row>40</xdr:row>
      <xdr:rowOff>38100</xdr:rowOff>
    </xdr:to>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71436</xdr:colOff>
      <xdr:row>0</xdr:row>
      <xdr:rowOff>190499</xdr:rowOff>
    </xdr:from>
    <xdr:to>
      <xdr:col>18</xdr:col>
      <xdr:colOff>600075</xdr:colOff>
      <xdr:row>43</xdr:row>
      <xdr:rowOff>66674</xdr:rowOff>
    </xdr:to>
    <xdr:graphicFrame macro="">
      <xdr:nvGraphicFramePr>
        <xdr:cNvPr id="2" name="Chart 1">
          <a:extLst>
            <a:ext uri="{FF2B5EF4-FFF2-40B4-BE49-F238E27FC236}">
              <a16:creationId xmlns:a16="http://schemas.microsoft.com/office/drawing/2014/main" id="{13655FCB-ED15-B499-C6FE-E18469A8D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material_prices\steel_price.xlsx" TargetMode="External"/><Relationship Id="rId1" Type="http://schemas.openxmlformats.org/officeDocument/2006/relationships/externalLinkPath" Target="/data/material_prices/steel_pri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eel_price"/>
      <sheetName val="Sheet1"/>
    </sheetNames>
    <sheetDataSet>
      <sheetData sheetId="0">
        <row r="1">
          <cell r="B1" t="str">
            <v>steel price  CNY/t</v>
          </cell>
        </row>
        <row r="2">
          <cell r="C2" t="str">
            <v>2013-02-18</v>
          </cell>
          <cell r="E2">
            <v>577.19999999999993</v>
          </cell>
        </row>
        <row r="3">
          <cell r="C3" t="str">
            <v>2013-02-25</v>
          </cell>
          <cell r="E3">
            <v>565.5</v>
          </cell>
        </row>
        <row r="4">
          <cell r="C4" t="str">
            <v>2013-03-04</v>
          </cell>
          <cell r="E4">
            <v>558</v>
          </cell>
        </row>
        <row r="5">
          <cell r="C5" t="str">
            <v>2013-03-11</v>
          </cell>
          <cell r="E5">
            <v>551.1</v>
          </cell>
        </row>
        <row r="6">
          <cell r="C6" t="str">
            <v>2013-03-18</v>
          </cell>
          <cell r="E6">
            <v>568.19999999999993</v>
          </cell>
        </row>
        <row r="7">
          <cell r="C7" t="str">
            <v>2013-03-25</v>
          </cell>
          <cell r="E7">
            <v>560.1</v>
          </cell>
        </row>
        <row r="8">
          <cell r="C8" t="str">
            <v>2013-04-01</v>
          </cell>
          <cell r="E8">
            <v>556.5</v>
          </cell>
        </row>
        <row r="9">
          <cell r="C9" t="str">
            <v>2013-04-08</v>
          </cell>
          <cell r="E9">
            <v>555.75</v>
          </cell>
        </row>
        <row r="10">
          <cell r="C10" t="str">
            <v>2013-04-15</v>
          </cell>
          <cell r="E10">
            <v>526.65</v>
          </cell>
        </row>
        <row r="11">
          <cell r="C11" t="str">
            <v>2013-04-22</v>
          </cell>
          <cell r="E11">
            <v>517.65</v>
          </cell>
        </row>
        <row r="12">
          <cell r="C12" t="str">
            <v>2013-05-02</v>
          </cell>
          <cell r="E12">
            <v>519.15</v>
          </cell>
        </row>
        <row r="13">
          <cell r="C13" t="str">
            <v>2013-05-06</v>
          </cell>
          <cell r="E13">
            <v>515.85</v>
          </cell>
        </row>
        <row r="14">
          <cell r="C14" t="str">
            <v>2013-05-13</v>
          </cell>
          <cell r="E14">
            <v>517.5</v>
          </cell>
        </row>
        <row r="15">
          <cell r="C15" t="str">
            <v>2013-05-20</v>
          </cell>
          <cell r="E15">
            <v>514.19999999999993</v>
          </cell>
        </row>
        <row r="16">
          <cell r="C16" t="str">
            <v>2013-05-27</v>
          </cell>
          <cell r="E16">
            <v>486.59999999999997</v>
          </cell>
        </row>
        <row r="17">
          <cell r="C17" t="str">
            <v>2013-06-03</v>
          </cell>
          <cell r="E17">
            <v>484.65</v>
          </cell>
        </row>
        <row r="18">
          <cell r="C18" t="str">
            <v>2013-06-13</v>
          </cell>
          <cell r="E18">
            <v>481.5</v>
          </cell>
        </row>
        <row r="19">
          <cell r="C19" t="str">
            <v>2013-06-17</v>
          </cell>
          <cell r="E19">
            <v>494.4</v>
          </cell>
        </row>
        <row r="20">
          <cell r="C20" t="str">
            <v>2013-06-24</v>
          </cell>
          <cell r="E20">
            <v>474.75</v>
          </cell>
        </row>
        <row r="21">
          <cell r="C21" t="str">
            <v>2013-07-01</v>
          </cell>
          <cell r="E21">
            <v>474.29999999999995</v>
          </cell>
        </row>
        <row r="22">
          <cell r="C22" t="str">
            <v>2013-07-08</v>
          </cell>
          <cell r="E22">
            <v>474.29999999999995</v>
          </cell>
        </row>
        <row r="23">
          <cell r="C23" t="str">
            <v>2013-07-15</v>
          </cell>
          <cell r="E23">
            <v>530.4</v>
          </cell>
        </row>
        <row r="24">
          <cell r="C24" t="str">
            <v>2013-07-22</v>
          </cell>
          <cell r="E24">
            <v>514.19999999999993</v>
          </cell>
        </row>
        <row r="25">
          <cell r="C25" t="str">
            <v>2013-07-29</v>
          </cell>
          <cell r="E25">
            <v>507.15</v>
          </cell>
        </row>
        <row r="26">
          <cell r="C26" t="str">
            <v>2013-08-05</v>
          </cell>
          <cell r="E26">
            <v>507.15</v>
          </cell>
        </row>
        <row r="27">
          <cell r="C27" t="str">
            <v>2013-08-12</v>
          </cell>
          <cell r="E27">
            <v>525.75</v>
          </cell>
        </row>
        <row r="28">
          <cell r="C28" t="str">
            <v>2013-08-19</v>
          </cell>
          <cell r="E28">
            <v>518.1</v>
          </cell>
        </row>
        <row r="29">
          <cell r="C29" t="str">
            <v>2013-08-26</v>
          </cell>
          <cell r="E29">
            <v>508.79999999999995</v>
          </cell>
        </row>
        <row r="30">
          <cell r="C30" t="str">
            <v>2013-09-02</v>
          </cell>
          <cell r="E30">
            <v>512.69999999999993</v>
          </cell>
        </row>
        <row r="31">
          <cell r="C31" t="str">
            <v>2013-09-09</v>
          </cell>
          <cell r="E31">
            <v>509.09999999999997</v>
          </cell>
        </row>
        <row r="32">
          <cell r="C32" t="str">
            <v>2013-09-16</v>
          </cell>
          <cell r="E32">
            <v>525.9</v>
          </cell>
        </row>
        <row r="33">
          <cell r="C33" t="str">
            <v>2013-09-23</v>
          </cell>
          <cell r="E33">
            <v>519.15</v>
          </cell>
        </row>
        <row r="34">
          <cell r="C34" t="str">
            <v>2013-09-30</v>
          </cell>
          <cell r="E34">
            <v>517.5</v>
          </cell>
        </row>
        <row r="35">
          <cell r="C35" t="str">
            <v>2013-10-08</v>
          </cell>
          <cell r="E35">
            <v>509.4</v>
          </cell>
        </row>
        <row r="36">
          <cell r="C36" t="str">
            <v>2013-10-14</v>
          </cell>
          <cell r="E36">
            <v>495.15</v>
          </cell>
        </row>
        <row r="37">
          <cell r="C37" t="str">
            <v>2013-10-21</v>
          </cell>
          <cell r="E37">
            <v>484.95</v>
          </cell>
        </row>
        <row r="38">
          <cell r="C38" t="str">
            <v>2013-10-28</v>
          </cell>
          <cell r="E38">
            <v>494.4</v>
          </cell>
        </row>
        <row r="39">
          <cell r="C39" t="str">
            <v>2013-11-04</v>
          </cell>
          <cell r="E39">
            <v>510</v>
          </cell>
        </row>
        <row r="40">
          <cell r="C40" t="str">
            <v>2013-11-11</v>
          </cell>
          <cell r="E40">
            <v>510</v>
          </cell>
        </row>
        <row r="41">
          <cell r="C41" t="str">
            <v>2013-11-18</v>
          </cell>
          <cell r="E41">
            <v>519.6</v>
          </cell>
        </row>
        <row r="42">
          <cell r="C42" t="str">
            <v>2013-11-25</v>
          </cell>
          <cell r="E42">
            <v>523.04999999999995</v>
          </cell>
        </row>
        <row r="43">
          <cell r="C43" t="str">
            <v>2013-12-02</v>
          </cell>
          <cell r="E43">
            <v>525</v>
          </cell>
        </row>
        <row r="44">
          <cell r="C44" t="str">
            <v>2013-12-09</v>
          </cell>
          <cell r="E44">
            <v>525</v>
          </cell>
        </row>
        <row r="45">
          <cell r="C45" t="str">
            <v>2013-12-16</v>
          </cell>
          <cell r="E45">
            <v>530.54999999999995</v>
          </cell>
        </row>
        <row r="46">
          <cell r="C46" t="str">
            <v>2013-12-23</v>
          </cell>
          <cell r="E46">
            <v>515.85</v>
          </cell>
        </row>
        <row r="47">
          <cell r="C47" t="str">
            <v>2013-12-30</v>
          </cell>
          <cell r="E47">
            <v>497.25</v>
          </cell>
        </row>
        <row r="48">
          <cell r="C48" t="str">
            <v>2014-01-06</v>
          </cell>
          <cell r="E48">
            <v>483.29999999999995</v>
          </cell>
        </row>
        <row r="49">
          <cell r="C49" t="str">
            <v>2014-01-13</v>
          </cell>
          <cell r="E49">
            <v>490.04999999999995</v>
          </cell>
        </row>
        <row r="50">
          <cell r="C50" t="str">
            <v>2014-01-20</v>
          </cell>
          <cell r="E50">
            <v>490.34999999999997</v>
          </cell>
        </row>
        <row r="51">
          <cell r="C51" t="str">
            <v>2014-01-27</v>
          </cell>
          <cell r="E51">
            <v>486.75</v>
          </cell>
        </row>
        <row r="52">
          <cell r="C52" t="str">
            <v>2014-02-07</v>
          </cell>
          <cell r="E52">
            <v>479.25</v>
          </cell>
        </row>
        <row r="53">
          <cell r="C53" t="str">
            <v>2014-02-10</v>
          </cell>
          <cell r="E53">
            <v>474.75</v>
          </cell>
        </row>
        <row r="54">
          <cell r="C54" t="str">
            <v>2014-02-17</v>
          </cell>
          <cell r="E54">
            <v>476.4</v>
          </cell>
        </row>
        <row r="55">
          <cell r="C55" t="str">
            <v>2014-02-24</v>
          </cell>
          <cell r="E55">
            <v>455.7</v>
          </cell>
        </row>
        <row r="56">
          <cell r="C56" t="str">
            <v>2014-03-03</v>
          </cell>
          <cell r="E56">
            <v>469.79999999999995</v>
          </cell>
        </row>
        <row r="57">
          <cell r="C57" t="str">
            <v>2014-03-10</v>
          </cell>
          <cell r="E57">
            <v>465</v>
          </cell>
        </row>
        <row r="58">
          <cell r="C58" t="str">
            <v>2014-03-17</v>
          </cell>
          <cell r="E58">
            <v>484.04999999999995</v>
          </cell>
        </row>
        <row r="59">
          <cell r="C59" t="str">
            <v>2014-03-24</v>
          </cell>
          <cell r="E59">
            <v>489.59999999999997</v>
          </cell>
        </row>
        <row r="60">
          <cell r="C60" t="str">
            <v>2014-03-31</v>
          </cell>
          <cell r="E60">
            <v>495</v>
          </cell>
        </row>
        <row r="61">
          <cell r="C61" t="str">
            <v>2014-04-08</v>
          </cell>
          <cell r="E61">
            <v>495</v>
          </cell>
        </row>
        <row r="62">
          <cell r="C62" t="str">
            <v>2014-04-14</v>
          </cell>
          <cell r="E62">
            <v>484.95</v>
          </cell>
        </row>
        <row r="63">
          <cell r="C63" t="str">
            <v>2014-04-21</v>
          </cell>
          <cell r="E63">
            <v>491.54999999999995</v>
          </cell>
        </row>
        <row r="64">
          <cell r="C64" t="str">
            <v>2014-04-28</v>
          </cell>
          <cell r="E64">
            <v>497.54999999999995</v>
          </cell>
        </row>
        <row r="65">
          <cell r="C65" t="str">
            <v>2014-05-05</v>
          </cell>
          <cell r="E65">
            <v>498.59999999999997</v>
          </cell>
        </row>
        <row r="66">
          <cell r="C66" t="str">
            <v>2014-05-12</v>
          </cell>
          <cell r="E66">
            <v>477.59999999999997</v>
          </cell>
        </row>
        <row r="67">
          <cell r="C67" t="str">
            <v>2014-05-19</v>
          </cell>
          <cell r="E67">
            <v>449.25</v>
          </cell>
        </row>
        <row r="68">
          <cell r="C68" t="str">
            <v>2014-05-26</v>
          </cell>
          <cell r="E68">
            <v>447.45</v>
          </cell>
        </row>
        <row r="69">
          <cell r="C69" t="str">
            <v>2014-06-03</v>
          </cell>
          <cell r="E69">
            <v>434.09999999999997</v>
          </cell>
        </row>
        <row r="70">
          <cell r="C70" t="str">
            <v>2014-06-09</v>
          </cell>
          <cell r="E70">
            <v>427.5</v>
          </cell>
        </row>
        <row r="71">
          <cell r="C71" t="str">
            <v>2014-06-16</v>
          </cell>
          <cell r="E71">
            <v>430.05</v>
          </cell>
        </row>
        <row r="72">
          <cell r="C72" t="str">
            <v>2014-06-23</v>
          </cell>
          <cell r="E72">
            <v>429.9</v>
          </cell>
        </row>
        <row r="73">
          <cell r="C73" t="str">
            <v>2014-06-30</v>
          </cell>
          <cell r="E73">
            <v>428.4</v>
          </cell>
        </row>
        <row r="74">
          <cell r="C74" t="str">
            <v>2014-07-07</v>
          </cell>
          <cell r="E74">
            <v>435</v>
          </cell>
        </row>
        <row r="75">
          <cell r="C75" t="str">
            <v>2014-07-14</v>
          </cell>
          <cell r="E75">
            <v>485.84999999999997</v>
          </cell>
        </row>
        <row r="76">
          <cell r="C76" t="str">
            <v>2014-07-21</v>
          </cell>
          <cell r="E76">
            <v>485.7</v>
          </cell>
        </row>
        <row r="77">
          <cell r="C77" t="str">
            <v>2014-07-28</v>
          </cell>
          <cell r="E77">
            <v>457.95</v>
          </cell>
        </row>
        <row r="78">
          <cell r="C78" t="str">
            <v>2014-08-04</v>
          </cell>
          <cell r="E78">
            <v>459</v>
          </cell>
        </row>
        <row r="79">
          <cell r="C79" t="str">
            <v>2014-08-11</v>
          </cell>
          <cell r="E79">
            <v>459</v>
          </cell>
        </row>
        <row r="80">
          <cell r="C80" t="str">
            <v>2014-08-18</v>
          </cell>
          <cell r="E80">
            <v>455.4</v>
          </cell>
        </row>
        <row r="81">
          <cell r="C81" t="str">
            <v>2014-08-25</v>
          </cell>
          <cell r="E81">
            <v>435</v>
          </cell>
        </row>
        <row r="82">
          <cell r="C82" t="str">
            <v>2014-09-01</v>
          </cell>
          <cell r="E82">
            <v>424.2</v>
          </cell>
        </row>
        <row r="83">
          <cell r="C83" t="str">
            <v>2014-09-09</v>
          </cell>
          <cell r="E83">
            <v>428.25</v>
          </cell>
        </row>
        <row r="84">
          <cell r="C84" t="str">
            <v>2014-09-15</v>
          </cell>
          <cell r="E84">
            <v>391.65</v>
          </cell>
        </row>
        <row r="85">
          <cell r="C85" t="str">
            <v>2014-09-22</v>
          </cell>
          <cell r="E85">
            <v>379.95</v>
          </cell>
        </row>
        <row r="86">
          <cell r="C86" t="str">
            <v>2014-09-29</v>
          </cell>
          <cell r="E86">
            <v>375.3</v>
          </cell>
        </row>
        <row r="87">
          <cell r="C87" t="str">
            <v>2014-10-08</v>
          </cell>
          <cell r="E87">
            <v>373.34999999999997</v>
          </cell>
        </row>
        <row r="88">
          <cell r="C88" t="str">
            <v>2014-10-13</v>
          </cell>
          <cell r="E88">
            <v>387.75</v>
          </cell>
        </row>
        <row r="89">
          <cell r="C89" t="str">
            <v>2014-10-20</v>
          </cell>
          <cell r="E89">
            <v>389.55</v>
          </cell>
        </row>
        <row r="90">
          <cell r="C90" t="str">
            <v>2014-10-27</v>
          </cell>
          <cell r="E90">
            <v>398.09999999999997</v>
          </cell>
        </row>
        <row r="91">
          <cell r="C91" t="str">
            <v>2014-11-03</v>
          </cell>
          <cell r="E91">
            <v>397.8</v>
          </cell>
        </row>
        <row r="92">
          <cell r="C92" t="str">
            <v>2014-11-10</v>
          </cell>
          <cell r="E92">
            <v>397.5</v>
          </cell>
        </row>
        <row r="93">
          <cell r="C93" t="str">
            <v>2014-11-17</v>
          </cell>
          <cell r="E93">
            <v>389.55</v>
          </cell>
        </row>
        <row r="94">
          <cell r="C94" t="str">
            <v>2014-11-24</v>
          </cell>
          <cell r="E94">
            <v>396.59999999999997</v>
          </cell>
        </row>
        <row r="95">
          <cell r="C95" t="str">
            <v>2014-12-01</v>
          </cell>
          <cell r="E95">
            <v>400.5</v>
          </cell>
        </row>
        <row r="96">
          <cell r="C96" t="str">
            <v>2014-12-08</v>
          </cell>
          <cell r="E96">
            <v>394.5</v>
          </cell>
        </row>
        <row r="97">
          <cell r="C97" t="str">
            <v>2014-12-15</v>
          </cell>
          <cell r="E97">
            <v>396.59999999999997</v>
          </cell>
        </row>
        <row r="98">
          <cell r="C98" t="str">
            <v>2014-12-22</v>
          </cell>
          <cell r="E98">
            <v>386.09999999999997</v>
          </cell>
        </row>
        <row r="99">
          <cell r="C99" t="str">
            <v>2014-12-29</v>
          </cell>
          <cell r="E99">
            <v>391.05</v>
          </cell>
        </row>
        <row r="100">
          <cell r="C100" t="str">
            <v>2015-01-05</v>
          </cell>
          <cell r="E100">
            <v>384.59999999999997</v>
          </cell>
        </row>
        <row r="101">
          <cell r="C101" t="str">
            <v>2015-01-12</v>
          </cell>
          <cell r="E101">
            <v>358.2</v>
          </cell>
        </row>
        <row r="102">
          <cell r="C102" t="str">
            <v>2015-01-19</v>
          </cell>
          <cell r="E102">
            <v>344.4</v>
          </cell>
        </row>
        <row r="103">
          <cell r="C103" t="str">
            <v>2015-01-26</v>
          </cell>
          <cell r="E103">
            <v>328.2</v>
          </cell>
        </row>
        <row r="104">
          <cell r="C104" t="str">
            <v>2015-02-02</v>
          </cell>
          <cell r="E104">
            <v>325.95</v>
          </cell>
        </row>
        <row r="105">
          <cell r="C105" t="str">
            <v>2015-02-09</v>
          </cell>
          <cell r="E105">
            <v>336</v>
          </cell>
        </row>
        <row r="106">
          <cell r="C106" t="str">
            <v>2015-02-16</v>
          </cell>
          <cell r="E106">
            <v>336.45</v>
          </cell>
        </row>
        <row r="107">
          <cell r="C107" t="str">
            <v>2015-02-25</v>
          </cell>
          <cell r="E107">
            <v>331.2</v>
          </cell>
        </row>
        <row r="108">
          <cell r="C108" t="str">
            <v>2015-03-02</v>
          </cell>
          <cell r="E108">
            <v>318.89999999999998</v>
          </cell>
        </row>
        <row r="109">
          <cell r="C109" t="str">
            <v>2015-03-09</v>
          </cell>
          <cell r="E109">
            <v>324</v>
          </cell>
        </row>
        <row r="110">
          <cell r="C110" t="str">
            <v>2015-03-16</v>
          </cell>
          <cell r="E110">
            <v>344.84999999999997</v>
          </cell>
        </row>
        <row r="111">
          <cell r="C111" t="str">
            <v>2015-03-23</v>
          </cell>
          <cell r="E111">
            <v>353.25</v>
          </cell>
        </row>
        <row r="112">
          <cell r="C112" t="str">
            <v>2015-03-30</v>
          </cell>
          <cell r="E112">
            <v>345</v>
          </cell>
        </row>
        <row r="113">
          <cell r="C113" t="str">
            <v>2015-04-07</v>
          </cell>
          <cell r="E113">
            <v>331.5</v>
          </cell>
        </row>
        <row r="114">
          <cell r="C114" t="str">
            <v>2015-04-13</v>
          </cell>
          <cell r="E114">
            <v>343.5</v>
          </cell>
        </row>
        <row r="115">
          <cell r="C115" t="str">
            <v>2015-04-20</v>
          </cell>
          <cell r="E115">
            <v>342.9</v>
          </cell>
        </row>
        <row r="116">
          <cell r="C116" t="str">
            <v>2015-04-27</v>
          </cell>
          <cell r="E116">
            <v>330.9</v>
          </cell>
        </row>
        <row r="117">
          <cell r="C117" t="str">
            <v>2015-05-04</v>
          </cell>
          <cell r="E117">
            <v>326.09999999999997</v>
          </cell>
        </row>
        <row r="118">
          <cell r="C118" t="str">
            <v>2015-05-11</v>
          </cell>
          <cell r="E118">
            <v>311.39999999999998</v>
          </cell>
        </row>
        <row r="119">
          <cell r="C119" t="str">
            <v>2015-05-18</v>
          </cell>
          <cell r="E119">
            <v>315.3</v>
          </cell>
        </row>
        <row r="120">
          <cell r="C120" t="str">
            <v>2015-05-25</v>
          </cell>
          <cell r="E120">
            <v>308.25</v>
          </cell>
        </row>
        <row r="121">
          <cell r="C121" t="str">
            <v>2015-06-01</v>
          </cell>
          <cell r="E121">
            <v>314.55</v>
          </cell>
        </row>
        <row r="122">
          <cell r="C122" t="str">
            <v>2015-06-08</v>
          </cell>
          <cell r="E122">
            <v>303.14999999999998</v>
          </cell>
        </row>
        <row r="123">
          <cell r="C123" t="str">
            <v>2015-06-15</v>
          </cell>
          <cell r="E123">
            <v>304.2</v>
          </cell>
        </row>
        <row r="124">
          <cell r="C124" t="str">
            <v>2015-06-23</v>
          </cell>
          <cell r="E124">
            <v>294.45</v>
          </cell>
        </row>
        <row r="125">
          <cell r="C125" t="str">
            <v>2015-06-29</v>
          </cell>
          <cell r="E125">
            <v>277.8</v>
          </cell>
        </row>
        <row r="126">
          <cell r="C126" t="str">
            <v>2015-07-06</v>
          </cell>
          <cell r="E126">
            <v>258</v>
          </cell>
        </row>
        <row r="127">
          <cell r="C127" t="str">
            <v>2015-07-13</v>
          </cell>
          <cell r="E127">
            <v>288.3</v>
          </cell>
        </row>
        <row r="128">
          <cell r="C128" t="str">
            <v>2015-07-20</v>
          </cell>
          <cell r="E128">
            <v>290.55</v>
          </cell>
        </row>
        <row r="129">
          <cell r="C129" t="str">
            <v>2015-07-27</v>
          </cell>
          <cell r="E129">
            <v>306.45</v>
          </cell>
        </row>
        <row r="130">
          <cell r="C130" t="str">
            <v>2015-08-03</v>
          </cell>
          <cell r="E130">
            <v>334.95</v>
          </cell>
        </row>
        <row r="131">
          <cell r="C131" t="str">
            <v>2015-08-10</v>
          </cell>
          <cell r="E131">
            <v>322.5</v>
          </cell>
        </row>
        <row r="132">
          <cell r="C132" t="str">
            <v>2015-08-17</v>
          </cell>
          <cell r="E132">
            <v>306</v>
          </cell>
        </row>
        <row r="133">
          <cell r="C133" t="str">
            <v>2015-08-24</v>
          </cell>
          <cell r="E133">
            <v>295.34999999999997</v>
          </cell>
        </row>
        <row r="134">
          <cell r="C134" t="str">
            <v>2015-08-31</v>
          </cell>
          <cell r="E134">
            <v>297</v>
          </cell>
        </row>
        <row r="135">
          <cell r="C135" t="str">
            <v>2015-09-07</v>
          </cell>
          <cell r="E135">
            <v>295.5</v>
          </cell>
        </row>
        <row r="136">
          <cell r="C136" t="str">
            <v>2015-09-14</v>
          </cell>
          <cell r="E136">
            <v>294.59999999999997</v>
          </cell>
        </row>
        <row r="137">
          <cell r="C137" t="str">
            <v>2015-09-21</v>
          </cell>
          <cell r="E137">
            <v>290.09999999999997</v>
          </cell>
        </row>
        <row r="138">
          <cell r="C138" t="str">
            <v>2015-09-28</v>
          </cell>
          <cell r="E138">
            <v>269.39999999999998</v>
          </cell>
        </row>
        <row r="139">
          <cell r="C139" t="str">
            <v>2015-10-08</v>
          </cell>
          <cell r="E139">
            <v>267.45</v>
          </cell>
        </row>
        <row r="140">
          <cell r="C140" t="str">
            <v>2015-10-12</v>
          </cell>
          <cell r="E140">
            <v>266.25</v>
          </cell>
        </row>
        <row r="141">
          <cell r="C141" t="str">
            <v>2015-10-19</v>
          </cell>
          <cell r="E141">
            <v>264.89999999999998</v>
          </cell>
        </row>
        <row r="142">
          <cell r="C142" t="str">
            <v>2015-10-26</v>
          </cell>
          <cell r="E142">
            <v>264.59999999999997</v>
          </cell>
        </row>
        <row r="143">
          <cell r="C143" t="str">
            <v>2015-11-02</v>
          </cell>
          <cell r="E143">
            <v>270.89999999999998</v>
          </cell>
        </row>
        <row r="144">
          <cell r="C144" t="str">
            <v>2015-11-09</v>
          </cell>
          <cell r="E144">
            <v>267</v>
          </cell>
        </row>
        <row r="145">
          <cell r="C145" t="str">
            <v>2015-11-16</v>
          </cell>
          <cell r="E145">
            <v>264</v>
          </cell>
        </row>
        <row r="146">
          <cell r="C146" t="str">
            <v>2015-11-23</v>
          </cell>
          <cell r="E146">
            <v>258.14999999999998</v>
          </cell>
        </row>
        <row r="147">
          <cell r="C147" t="str">
            <v>2015-11-30</v>
          </cell>
          <cell r="E147">
            <v>252</v>
          </cell>
        </row>
        <row r="148">
          <cell r="C148" t="str">
            <v>2015-12-07</v>
          </cell>
          <cell r="E148">
            <v>240</v>
          </cell>
        </row>
        <row r="149">
          <cell r="C149" t="str">
            <v>2015-12-14</v>
          </cell>
          <cell r="E149">
            <v>255</v>
          </cell>
        </row>
        <row r="150">
          <cell r="C150" t="str">
            <v>2015-12-21</v>
          </cell>
          <cell r="E150">
            <v>272.55</v>
          </cell>
        </row>
        <row r="151">
          <cell r="C151" t="str">
            <v>2015-12-28</v>
          </cell>
          <cell r="E151">
            <v>276.14999999999998</v>
          </cell>
        </row>
        <row r="152">
          <cell r="C152" t="str">
            <v>2016-01-04</v>
          </cell>
          <cell r="E152">
            <v>274.34999999999997</v>
          </cell>
        </row>
        <row r="153">
          <cell r="C153" t="str">
            <v>2016-01-11</v>
          </cell>
          <cell r="E153">
            <v>255.89999999999998</v>
          </cell>
        </row>
        <row r="154">
          <cell r="C154" t="str">
            <v>2016-01-18</v>
          </cell>
          <cell r="E154">
            <v>270.45</v>
          </cell>
        </row>
        <row r="155">
          <cell r="C155" t="str">
            <v>2016-01-25</v>
          </cell>
          <cell r="E155">
            <v>264.45</v>
          </cell>
        </row>
        <row r="156">
          <cell r="C156" t="str">
            <v>2016-02-01</v>
          </cell>
          <cell r="E156">
            <v>265.95</v>
          </cell>
        </row>
        <row r="157">
          <cell r="C157" t="str">
            <v>2016-02-15</v>
          </cell>
          <cell r="E157">
            <v>273</v>
          </cell>
        </row>
        <row r="158">
          <cell r="C158" t="str">
            <v>2016-02-22</v>
          </cell>
          <cell r="E158">
            <v>276.59999999999997</v>
          </cell>
        </row>
        <row r="159">
          <cell r="C159" t="str">
            <v>2016-02-29</v>
          </cell>
          <cell r="E159">
            <v>278.84999999999997</v>
          </cell>
        </row>
        <row r="160">
          <cell r="C160" t="str">
            <v>2016-03-07</v>
          </cell>
          <cell r="E160">
            <v>301.2</v>
          </cell>
        </row>
        <row r="161">
          <cell r="C161" t="str">
            <v>2016-03-14</v>
          </cell>
          <cell r="E161">
            <v>320.84999999999997</v>
          </cell>
        </row>
        <row r="162">
          <cell r="C162" t="str">
            <v>2016-03-21</v>
          </cell>
          <cell r="E162">
            <v>344.25</v>
          </cell>
        </row>
        <row r="163">
          <cell r="C163" t="str">
            <v>2016-03-28</v>
          </cell>
          <cell r="E163">
            <v>343.8</v>
          </cell>
        </row>
        <row r="164">
          <cell r="C164" t="str">
            <v>2016-04-05</v>
          </cell>
          <cell r="E164">
            <v>363.9</v>
          </cell>
        </row>
        <row r="165">
          <cell r="C165" t="str">
            <v>2016-04-11</v>
          </cell>
          <cell r="E165">
            <v>367.5</v>
          </cell>
        </row>
        <row r="166">
          <cell r="C166" t="str">
            <v>2016-04-18</v>
          </cell>
          <cell r="E166">
            <v>419.4</v>
          </cell>
        </row>
        <row r="167">
          <cell r="C167" t="str">
            <v>2016-04-25</v>
          </cell>
          <cell r="E167">
            <v>409.05</v>
          </cell>
        </row>
        <row r="168">
          <cell r="C168" t="str">
            <v>2016-05-03</v>
          </cell>
          <cell r="E168">
            <v>379.05</v>
          </cell>
        </row>
        <row r="169">
          <cell r="C169" t="str">
            <v>2016-05-09</v>
          </cell>
          <cell r="E169">
            <v>385.8</v>
          </cell>
        </row>
        <row r="170">
          <cell r="C170" t="str">
            <v>2016-05-16</v>
          </cell>
          <cell r="E170">
            <v>316.05</v>
          </cell>
        </row>
        <row r="171">
          <cell r="C171" t="str">
            <v>2016-05-23</v>
          </cell>
          <cell r="E171">
            <v>303.3</v>
          </cell>
        </row>
        <row r="172">
          <cell r="C172" t="str">
            <v>2016-05-30</v>
          </cell>
          <cell r="E172">
            <v>285.59999999999997</v>
          </cell>
        </row>
        <row r="173">
          <cell r="C173" t="str">
            <v>2016-06-06</v>
          </cell>
          <cell r="E173">
            <v>300</v>
          </cell>
        </row>
        <row r="174">
          <cell r="C174" t="str">
            <v>2016-06-13</v>
          </cell>
          <cell r="E174">
            <v>306.89999999999998</v>
          </cell>
        </row>
        <row r="175">
          <cell r="C175" t="str">
            <v>2016-06-20</v>
          </cell>
          <cell r="E175">
            <v>314.84999999999997</v>
          </cell>
        </row>
        <row r="176">
          <cell r="C176" t="str">
            <v>2016-06-27</v>
          </cell>
          <cell r="E176">
            <v>331.2</v>
          </cell>
        </row>
        <row r="177">
          <cell r="C177" t="str">
            <v>2016-07-04</v>
          </cell>
          <cell r="E177">
            <v>330.3</v>
          </cell>
        </row>
        <row r="178">
          <cell r="C178" t="str">
            <v>2016-07-11</v>
          </cell>
          <cell r="E178">
            <v>339.9</v>
          </cell>
        </row>
        <row r="179">
          <cell r="C179" t="str">
            <v>2016-07-18</v>
          </cell>
          <cell r="E179">
            <v>350.25</v>
          </cell>
        </row>
        <row r="180">
          <cell r="C180" t="str">
            <v>2016-07-25</v>
          </cell>
          <cell r="E180">
            <v>351.45</v>
          </cell>
        </row>
        <row r="181">
          <cell r="C181" t="str">
            <v>2016-08-01</v>
          </cell>
          <cell r="E181">
            <v>357.15</v>
          </cell>
        </row>
        <row r="182">
          <cell r="C182" t="str">
            <v>2016-08-08</v>
          </cell>
          <cell r="E182">
            <v>376.34999999999997</v>
          </cell>
        </row>
        <row r="183">
          <cell r="C183" t="str">
            <v>2016-08-15</v>
          </cell>
          <cell r="E183">
            <v>377.84999999999997</v>
          </cell>
        </row>
        <row r="184">
          <cell r="C184" t="str">
            <v>2016-08-22</v>
          </cell>
          <cell r="E184">
            <v>375.15</v>
          </cell>
        </row>
        <row r="185">
          <cell r="C185" t="str">
            <v>2016-08-29</v>
          </cell>
          <cell r="E185">
            <v>362.4</v>
          </cell>
        </row>
        <row r="186">
          <cell r="C186" t="str">
            <v>2016-09-05</v>
          </cell>
          <cell r="E186">
            <v>345.15</v>
          </cell>
        </row>
        <row r="187">
          <cell r="C187" t="str">
            <v>2016-09-12</v>
          </cell>
          <cell r="E187">
            <v>335.7</v>
          </cell>
        </row>
        <row r="188">
          <cell r="C188" t="str">
            <v>2016-09-19</v>
          </cell>
          <cell r="E188">
            <v>341.84999999999997</v>
          </cell>
        </row>
        <row r="189">
          <cell r="C189" t="str">
            <v>2016-09-26</v>
          </cell>
          <cell r="E189">
            <v>325.2</v>
          </cell>
        </row>
        <row r="190">
          <cell r="C190" t="str">
            <v>2016-10-10</v>
          </cell>
          <cell r="E190">
            <v>339</v>
          </cell>
        </row>
        <row r="191">
          <cell r="C191" t="str">
            <v>2016-10-17</v>
          </cell>
          <cell r="E191">
            <v>363.45</v>
          </cell>
        </row>
        <row r="192">
          <cell r="C192" t="str">
            <v>2016-10-24</v>
          </cell>
          <cell r="E192">
            <v>359.7</v>
          </cell>
        </row>
        <row r="193">
          <cell r="C193" t="str">
            <v>2016-10-31</v>
          </cell>
          <cell r="E193">
            <v>385.8</v>
          </cell>
        </row>
        <row r="194">
          <cell r="C194" t="str">
            <v>2016-11-07</v>
          </cell>
          <cell r="E194">
            <v>418.5</v>
          </cell>
        </row>
        <row r="195">
          <cell r="C195" t="str">
            <v>2016-11-14</v>
          </cell>
          <cell r="E195">
            <v>430.95</v>
          </cell>
        </row>
        <row r="196">
          <cell r="C196" t="str">
            <v>2016-11-21</v>
          </cell>
          <cell r="E196">
            <v>467.84999999999997</v>
          </cell>
        </row>
        <row r="197">
          <cell r="C197" t="str">
            <v>2016-11-28</v>
          </cell>
          <cell r="E197">
            <v>457.95</v>
          </cell>
        </row>
        <row r="198">
          <cell r="C198" t="str">
            <v>2016-12-05</v>
          </cell>
          <cell r="E198">
            <v>479.7</v>
          </cell>
        </row>
        <row r="199">
          <cell r="C199" t="str">
            <v>2016-12-12</v>
          </cell>
          <cell r="E199">
            <v>496.34999999999997</v>
          </cell>
        </row>
        <row r="200">
          <cell r="C200" t="str">
            <v>2016-12-19</v>
          </cell>
          <cell r="E200">
            <v>464.84999999999997</v>
          </cell>
        </row>
        <row r="201">
          <cell r="C201" t="str">
            <v>2016-12-26</v>
          </cell>
          <cell r="E201">
            <v>443.09999999999997</v>
          </cell>
        </row>
        <row r="202">
          <cell r="C202" t="str">
            <v>2017-01-03</v>
          </cell>
          <cell r="E202">
            <v>448.05</v>
          </cell>
        </row>
        <row r="203">
          <cell r="C203" t="str">
            <v>2017-01-09</v>
          </cell>
          <cell r="E203">
            <v>474.75</v>
          </cell>
        </row>
        <row r="204">
          <cell r="C204" t="str">
            <v>2017-01-16</v>
          </cell>
          <cell r="E204">
            <v>491.09999999999997</v>
          </cell>
        </row>
        <row r="205">
          <cell r="C205" t="str">
            <v>2017-01-23</v>
          </cell>
          <cell r="E205">
            <v>496.04999999999995</v>
          </cell>
        </row>
        <row r="206">
          <cell r="C206" t="str">
            <v>2017-02-03</v>
          </cell>
          <cell r="E206">
            <v>487.5</v>
          </cell>
        </row>
        <row r="207">
          <cell r="C207" t="str">
            <v>2017-02-06</v>
          </cell>
          <cell r="E207">
            <v>491.25</v>
          </cell>
        </row>
        <row r="208">
          <cell r="C208" t="str">
            <v>2017-02-13</v>
          </cell>
          <cell r="E208">
            <v>535.65</v>
          </cell>
        </row>
        <row r="209">
          <cell r="C209" t="str">
            <v>2017-02-20</v>
          </cell>
          <cell r="E209">
            <v>534.44999999999993</v>
          </cell>
        </row>
        <row r="210">
          <cell r="C210" t="str">
            <v>2017-02-27</v>
          </cell>
          <cell r="E210">
            <v>557.25</v>
          </cell>
        </row>
        <row r="211">
          <cell r="C211" t="str">
            <v>2017-03-06</v>
          </cell>
          <cell r="E211">
            <v>544.79999999999995</v>
          </cell>
        </row>
        <row r="212">
          <cell r="C212" t="str">
            <v>2017-03-13</v>
          </cell>
          <cell r="E212">
            <v>566.85</v>
          </cell>
        </row>
        <row r="213">
          <cell r="C213" t="str">
            <v>2017-03-20</v>
          </cell>
          <cell r="E213">
            <v>542.85</v>
          </cell>
        </row>
        <row r="214">
          <cell r="C214" t="str">
            <v>2017-03-27</v>
          </cell>
          <cell r="E214">
            <v>566.1</v>
          </cell>
        </row>
        <row r="215">
          <cell r="C215" t="str">
            <v>2017-04-05</v>
          </cell>
          <cell r="E215">
            <v>526.5</v>
          </cell>
        </row>
        <row r="216">
          <cell r="C216" t="str">
            <v>2017-04-10</v>
          </cell>
          <cell r="E216">
            <v>522</v>
          </cell>
        </row>
        <row r="217">
          <cell r="C217" t="str">
            <v>2017-04-17</v>
          </cell>
          <cell r="E217">
            <v>470.09999999999997</v>
          </cell>
        </row>
        <row r="218">
          <cell r="C218" t="str">
            <v>2017-04-24</v>
          </cell>
          <cell r="E218">
            <v>506.25</v>
          </cell>
        </row>
        <row r="219">
          <cell r="C219" t="str">
            <v>2017-05-02</v>
          </cell>
          <cell r="E219">
            <v>522.44999999999993</v>
          </cell>
        </row>
        <row r="220">
          <cell r="C220" t="str">
            <v>2017-05-08</v>
          </cell>
          <cell r="E220">
            <v>546.44999999999993</v>
          </cell>
        </row>
        <row r="221">
          <cell r="C221" t="str">
            <v>2017-05-15</v>
          </cell>
          <cell r="E221">
            <v>527.4</v>
          </cell>
        </row>
        <row r="222">
          <cell r="C222" t="str">
            <v>2017-05-22</v>
          </cell>
          <cell r="E222">
            <v>557.85</v>
          </cell>
        </row>
        <row r="223">
          <cell r="C223" t="str">
            <v>2017-05-31</v>
          </cell>
          <cell r="E223">
            <v>570</v>
          </cell>
        </row>
        <row r="224">
          <cell r="C224" t="str">
            <v>2017-06-05</v>
          </cell>
          <cell r="E224">
            <v>569.25</v>
          </cell>
        </row>
        <row r="225">
          <cell r="C225" t="str">
            <v>2017-06-12</v>
          </cell>
          <cell r="E225">
            <v>539.69999999999993</v>
          </cell>
        </row>
        <row r="226">
          <cell r="C226" t="str">
            <v>2017-06-19</v>
          </cell>
          <cell r="E226">
            <v>536.4</v>
          </cell>
        </row>
        <row r="227">
          <cell r="C227" t="str">
            <v>2017-06-26</v>
          </cell>
          <cell r="E227">
            <v>553.79999999999995</v>
          </cell>
        </row>
        <row r="228">
          <cell r="C228" t="str">
            <v>2017-07-03</v>
          </cell>
          <cell r="E228">
            <v>547.5</v>
          </cell>
        </row>
        <row r="229">
          <cell r="C229" t="str">
            <v>2017-07-10</v>
          </cell>
          <cell r="E229">
            <v>547.5</v>
          </cell>
        </row>
        <row r="230">
          <cell r="C230" t="str">
            <v>2017-07-17</v>
          </cell>
          <cell r="E230">
            <v>566.4</v>
          </cell>
        </row>
        <row r="231">
          <cell r="C231" t="str">
            <v>2017-07-24</v>
          </cell>
          <cell r="E231">
            <v>585.15</v>
          </cell>
        </row>
        <row r="232">
          <cell r="C232" t="str">
            <v>2017-07-31</v>
          </cell>
          <cell r="E232">
            <v>592.5</v>
          </cell>
        </row>
        <row r="233">
          <cell r="C233" t="str">
            <v>2017-08-07</v>
          </cell>
          <cell r="E233">
            <v>631.35</v>
          </cell>
        </row>
        <row r="234">
          <cell r="C234" t="str">
            <v>2017-08-14</v>
          </cell>
          <cell r="E234">
            <v>610.5</v>
          </cell>
        </row>
        <row r="235">
          <cell r="C235" t="str">
            <v>2017-08-21</v>
          </cell>
          <cell r="E235">
            <v>622.5</v>
          </cell>
        </row>
        <row r="236">
          <cell r="C236" t="str">
            <v>2017-08-28</v>
          </cell>
          <cell r="E236">
            <v>634.94999999999993</v>
          </cell>
        </row>
        <row r="237">
          <cell r="C237" t="str">
            <v>2017-09-04</v>
          </cell>
          <cell r="E237">
            <v>645</v>
          </cell>
        </row>
        <row r="238">
          <cell r="C238" t="str">
            <v>2017-09-11</v>
          </cell>
          <cell r="E238">
            <v>670.05</v>
          </cell>
        </row>
        <row r="239">
          <cell r="C239" t="str">
            <v>2017-09-18</v>
          </cell>
          <cell r="E239">
            <v>590.4</v>
          </cell>
        </row>
        <row r="240">
          <cell r="C240" t="str">
            <v>2017-09-25</v>
          </cell>
          <cell r="E240">
            <v>586.94999999999993</v>
          </cell>
        </row>
        <row r="241">
          <cell r="C241" t="str">
            <v>2017-10-09</v>
          </cell>
          <cell r="E241">
            <v>580.65</v>
          </cell>
        </row>
        <row r="242">
          <cell r="C242" t="str">
            <v>2017-10-16</v>
          </cell>
          <cell r="E242">
            <v>565.19999999999993</v>
          </cell>
        </row>
        <row r="243">
          <cell r="C243" t="str">
            <v>2017-10-23</v>
          </cell>
          <cell r="E243">
            <v>552</v>
          </cell>
        </row>
        <row r="244">
          <cell r="C244" t="str">
            <v>2017-10-30</v>
          </cell>
          <cell r="E244">
            <v>561.44999999999993</v>
          </cell>
        </row>
        <row r="245">
          <cell r="C245" t="str">
            <v>2017-11-06</v>
          </cell>
          <cell r="E245">
            <v>583.65</v>
          </cell>
        </row>
        <row r="246">
          <cell r="C246" t="str">
            <v>2017-11-13</v>
          </cell>
          <cell r="E246">
            <v>600</v>
          </cell>
        </row>
        <row r="247">
          <cell r="C247" t="str">
            <v>2017-11-20</v>
          </cell>
          <cell r="E247">
            <v>610.19999999999993</v>
          </cell>
        </row>
        <row r="248">
          <cell r="C248" t="str">
            <v>2017-11-27</v>
          </cell>
          <cell r="E248">
            <v>652.65</v>
          </cell>
        </row>
        <row r="249">
          <cell r="C249" t="str">
            <v>2017-12-04</v>
          </cell>
          <cell r="E249">
            <v>649.5</v>
          </cell>
        </row>
        <row r="250">
          <cell r="C250" t="str">
            <v>2017-12-11</v>
          </cell>
          <cell r="E250">
            <v>715.8</v>
          </cell>
        </row>
        <row r="251">
          <cell r="C251" t="str">
            <v>2017-12-18</v>
          </cell>
          <cell r="E251">
            <v>636.15</v>
          </cell>
        </row>
        <row r="252">
          <cell r="C252" t="str">
            <v>2017-12-25</v>
          </cell>
          <cell r="E252">
            <v>632.25</v>
          </cell>
        </row>
        <row r="253">
          <cell r="C253" t="str">
            <v>2018-01-02</v>
          </cell>
          <cell r="E253">
            <v>628.79999999999995</v>
          </cell>
        </row>
        <row r="254">
          <cell r="C254" t="str">
            <v>2018-01-08</v>
          </cell>
          <cell r="E254">
            <v>658.8</v>
          </cell>
        </row>
        <row r="255">
          <cell r="C255" t="str">
            <v>2018-01-15</v>
          </cell>
          <cell r="E255">
            <v>585</v>
          </cell>
        </row>
        <row r="256">
          <cell r="C256" t="str">
            <v>2018-01-22</v>
          </cell>
          <cell r="E256">
            <v>593.4</v>
          </cell>
        </row>
        <row r="257">
          <cell r="C257" t="str">
            <v>2018-01-29</v>
          </cell>
          <cell r="E257">
            <v>589.5</v>
          </cell>
        </row>
        <row r="258">
          <cell r="C258" t="str">
            <v>2018-02-05</v>
          </cell>
          <cell r="E258">
            <v>595.5</v>
          </cell>
        </row>
        <row r="259">
          <cell r="C259" t="str">
            <v>2018-02-12</v>
          </cell>
          <cell r="E259">
            <v>590.25</v>
          </cell>
        </row>
        <row r="260">
          <cell r="C260" t="str">
            <v>2018-02-22</v>
          </cell>
          <cell r="E260">
            <v>585.6</v>
          </cell>
        </row>
        <row r="261">
          <cell r="C261" t="str">
            <v>2018-02-26</v>
          </cell>
          <cell r="E261">
            <v>617.85</v>
          </cell>
        </row>
        <row r="262">
          <cell r="C262" t="str">
            <v>2018-03-05</v>
          </cell>
          <cell r="E262">
            <v>583.5</v>
          </cell>
        </row>
        <row r="263">
          <cell r="C263" t="str">
            <v>2018-03-12</v>
          </cell>
          <cell r="E263">
            <v>576.29999999999995</v>
          </cell>
        </row>
        <row r="264">
          <cell r="C264" t="str">
            <v>2018-03-19</v>
          </cell>
          <cell r="E264">
            <v>528.75</v>
          </cell>
        </row>
        <row r="265">
          <cell r="C265" t="str">
            <v>2018-03-26</v>
          </cell>
          <cell r="E265">
            <v>529.5</v>
          </cell>
        </row>
        <row r="266">
          <cell r="C266" t="str">
            <v>2018-04-02</v>
          </cell>
          <cell r="E266">
            <v>548.4</v>
          </cell>
        </row>
        <row r="267">
          <cell r="C267" t="str">
            <v>2018-04-09</v>
          </cell>
          <cell r="E267">
            <v>555</v>
          </cell>
        </row>
        <row r="268">
          <cell r="C268" t="str">
            <v>2018-04-16</v>
          </cell>
          <cell r="E268">
            <v>562.19999999999993</v>
          </cell>
        </row>
        <row r="269">
          <cell r="C269" t="str">
            <v>2018-04-23</v>
          </cell>
          <cell r="E269">
            <v>590.69999999999993</v>
          </cell>
        </row>
        <row r="270">
          <cell r="C270" t="str">
            <v>2018-05-01</v>
          </cell>
          <cell r="E270">
            <v>606</v>
          </cell>
        </row>
        <row r="271">
          <cell r="C271" t="str">
            <v>2018-05-07</v>
          </cell>
          <cell r="E271">
            <v>601.5</v>
          </cell>
        </row>
        <row r="272">
          <cell r="C272" t="str">
            <v>2018-05-14</v>
          </cell>
          <cell r="E272">
            <v>612</v>
          </cell>
        </row>
        <row r="273">
          <cell r="C273" t="str">
            <v>2018-05-21</v>
          </cell>
          <cell r="E273">
            <v>604.35</v>
          </cell>
        </row>
        <row r="274">
          <cell r="C274" t="str">
            <v>2018-05-28</v>
          </cell>
          <cell r="E274">
            <v>626.1</v>
          </cell>
        </row>
        <row r="275">
          <cell r="C275" t="str">
            <v>2018-06-04</v>
          </cell>
          <cell r="E275">
            <v>640.94999999999993</v>
          </cell>
        </row>
        <row r="276">
          <cell r="C276" t="str">
            <v>2018-06-11</v>
          </cell>
          <cell r="E276">
            <v>675</v>
          </cell>
        </row>
        <row r="277">
          <cell r="C277" t="str">
            <v>2018-06-18</v>
          </cell>
          <cell r="E277">
            <v>618.15</v>
          </cell>
        </row>
        <row r="278">
          <cell r="C278" t="str">
            <v>2018-06-25</v>
          </cell>
          <cell r="E278">
            <v>627.6</v>
          </cell>
        </row>
        <row r="279">
          <cell r="C279" t="str">
            <v>2018-07-02</v>
          </cell>
          <cell r="E279">
            <v>603.9</v>
          </cell>
        </row>
        <row r="280">
          <cell r="C280" t="str">
            <v>2018-07-09</v>
          </cell>
          <cell r="E280">
            <v>604.5</v>
          </cell>
        </row>
        <row r="281">
          <cell r="C281" t="str">
            <v>2018-07-16</v>
          </cell>
          <cell r="E281">
            <v>610.19999999999993</v>
          </cell>
        </row>
        <row r="282">
          <cell r="C282" t="str">
            <v>2018-07-23</v>
          </cell>
          <cell r="E282">
            <v>624.6</v>
          </cell>
        </row>
        <row r="283">
          <cell r="C283" t="str">
            <v>2018-07-30</v>
          </cell>
          <cell r="E283">
            <v>623.54999999999995</v>
          </cell>
        </row>
        <row r="284">
          <cell r="C284" t="str">
            <v>2018-08-06</v>
          </cell>
          <cell r="E284">
            <v>630</v>
          </cell>
        </row>
        <row r="285">
          <cell r="C285" t="str">
            <v>2018-08-13</v>
          </cell>
          <cell r="E285">
            <v>670.35</v>
          </cell>
        </row>
        <row r="286">
          <cell r="C286" t="str">
            <v>2018-08-20</v>
          </cell>
          <cell r="E286">
            <v>665.69999999999993</v>
          </cell>
        </row>
        <row r="287">
          <cell r="C287" t="str">
            <v>2018-08-27</v>
          </cell>
          <cell r="E287">
            <v>686.85</v>
          </cell>
        </row>
        <row r="288">
          <cell r="C288" t="str">
            <v>2018-09-03</v>
          </cell>
          <cell r="E288">
            <v>716.55</v>
          </cell>
        </row>
        <row r="289">
          <cell r="C289" t="str">
            <v>2018-09-10</v>
          </cell>
          <cell r="E289">
            <v>699.15</v>
          </cell>
        </row>
        <row r="290">
          <cell r="C290" t="str">
            <v>2018-09-17</v>
          </cell>
          <cell r="E290">
            <v>684.6</v>
          </cell>
        </row>
        <row r="291">
          <cell r="C291" t="str">
            <v>2018-09-24</v>
          </cell>
          <cell r="E291">
            <v>679.05</v>
          </cell>
        </row>
        <row r="292">
          <cell r="C292" t="str">
            <v>2018-10-01</v>
          </cell>
          <cell r="E292">
            <v>679.05</v>
          </cell>
        </row>
        <row r="293">
          <cell r="C293" t="str">
            <v>2018-10-08</v>
          </cell>
          <cell r="E293">
            <v>702.6</v>
          </cell>
        </row>
        <row r="294">
          <cell r="C294" t="str">
            <v>2018-10-15</v>
          </cell>
          <cell r="E294">
            <v>676.19999999999993</v>
          </cell>
        </row>
        <row r="295">
          <cell r="C295" t="str">
            <v>2018-10-22</v>
          </cell>
          <cell r="E295">
            <v>685.5</v>
          </cell>
        </row>
        <row r="296">
          <cell r="C296" t="str">
            <v>2018-10-29</v>
          </cell>
          <cell r="E296">
            <v>681</v>
          </cell>
        </row>
        <row r="297">
          <cell r="C297" t="str">
            <v>2018-11-05</v>
          </cell>
          <cell r="E297">
            <v>673.5</v>
          </cell>
        </row>
        <row r="298">
          <cell r="C298" t="str">
            <v>2018-11-12</v>
          </cell>
          <cell r="E298">
            <v>647.54999999999995</v>
          </cell>
        </row>
        <row r="299">
          <cell r="C299" t="str">
            <v>2018-11-19</v>
          </cell>
          <cell r="E299">
            <v>586.35</v>
          </cell>
        </row>
        <row r="300">
          <cell r="C300" t="str">
            <v>2018-11-26</v>
          </cell>
          <cell r="E300">
            <v>526.79999999999995</v>
          </cell>
        </row>
        <row r="301">
          <cell r="C301" t="str">
            <v>2018-12-03</v>
          </cell>
          <cell r="E301">
            <v>538.79999999999995</v>
          </cell>
        </row>
        <row r="302">
          <cell r="C302" t="str">
            <v>2018-12-10</v>
          </cell>
          <cell r="E302">
            <v>531.29999999999995</v>
          </cell>
        </row>
        <row r="303">
          <cell r="C303" t="str">
            <v>2018-12-17</v>
          </cell>
          <cell r="E303">
            <v>574.35</v>
          </cell>
        </row>
        <row r="304">
          <cell r="C304" t="str">
            <v>2018-12-24</v>
          </cell>
          <cell r="E304">
            <v>580.5</v>
          </cell>
        </row>
        <row r="305">
          <cell r="C305" t="str">
            <v>2018-12-31</v>
          </cell>
          <cell r="E305">
            <v>579.44999999999993</v>
          </cell>
        </row>
        <row r="306">
          <cell r="C306" t="str">
            <v>2019-01-07</v>
          </cell>
          <cell r="E306">
            <v>546.6</v>
          </cell>
        </row>
        <row r="307">
          <cell r="C307" t="str">
            <v>2019-01-14</v>
          </cell>
          <cell r="E307">
            <v>551.85</v>
          </cell>
        </row>
        <row r="308">
          <cell r="C308" t="str">
            <v>2019-01-21</v>
          </cell>
          <cell r="E308">
            <v>564.9</v>
          </cell>
        </row>
        <row r="309">
          <cell r="C309" t="str">
            <v>2019-01-28</v>
          </cell>
          <cell r="E309">
            <v>573.9</v>
          </cell>
        </row>
        <row r="310">
          <cell r="C310" t="str">
            <v>2019-02-04</v>
          </cell>
          <cell r="E310">
            <v>568.94999999999993</v>
          </cell>
        </row>
        <row r="311">
          <cell r="C311" t="str">
            <v>2019-02-11</v>
          </cell>
          <cell r="E311">
            <v>558.15</v>
          </cell>
        </row>
        <row r="312">
          <cell r="C312" t="str">
            <v>2019-02-18</v>
          </cell>
          <cell r="E312">
            <v>567.44999999999993</v>
          </cell>
        </row>
        <row r="313">
          <cell r="C313" t="str">
            <v>2019-02-25</v>
          </cell>
          <cell r="E313">
            <v>575.54999999999995</v>
          </cell>
        </row>
        <row r="314">
          <cell r="C314" t="str">
            <v>2019-03-04</v>
          </cell>
          <cell r="E314">
            <v>573.75</v>
          </cell>
        </row>
        <row r="315">
          <cell r="C315" t="str">
            <v>2019-03-11</v>
          </cell>
          <cell r="E315">
            <v>575.54999999999995</v>
          </cell>
        </row>
        <row r="316">
          <cell r="C316" t="str">
            <v>2019-03-18</v>
          </cell>
          <cell r="E316">
            <v>566.69999999999993</v>
          </cell>
        </row>
        <row r="317">
          <cell r="C317" t="str">
            <v>2019-03-25</v>
          </cell>
          <cell r="E317">
            <v>559.79999999999995</v>
          </cell>
        </row>
        <row r="318">
          <cell r="C318" t="str">
            <v>2019-04-01</v>
          </cell>
          <cell r="E318">
            <v>581.54999999999995</v>
          </cell>
        </row>
        <row r="319">
          <cell r="C319" t="str">
            <v>2019-04-08</v>
          </cell>
          <cell r="E319">
            <v>618</v>
          </cell>
        </row>
        <row r="320">
          <cell r="C320" t="str">
            <v>2019-04-15</v>
          </cell>
          <cell r="E320">
            <v>616.19999999999993</v>
          </cell>
        </row>
        <row r="321">
          <cell r="C321" t="str">
            <v>2019-04-22</v>
          </cell>
          <cell r="E321">
            <v>621.75</v>
          </cell>
        </row>
        <row r="322">
          <cell r="C322" t="str">
            <v>2019-04-29</v>
          </cell>
          <cell r="E322">
            <v>628.79999999999995</v>
          </cell>
        </row>
        <row r="323">
          <cell r="C323" t="str">
            <v>2019-05-06</v>
          </cell>
          <cell r="E323">
            <v>620.85</v>
          </cell>
        </row>
        <row r="324">
          <cell r="C324" t="str">
            <v>2019-05-13</v>
          </cell>
          <cell r="E324">
            <v>592.65</v>
          </cell>
        </row>
        <row r="325">
          <cell r="C325" t="str">
            <v>2019-05-20</v>
          </cell>
          <cell r="E325">
            <v>594.44999999999993</v>
          </cell>
        </row>
        <row r="326">
          <cell r="C326" t="str">
            <v>2019-05-27</v>
          </cell>
          <cell r="E326">
            <v>575.1</v>
          </cell>
        </row>
        <row r="327">
          <cell r="C327" t="str">
            <v>2019-06-03</v>
          </cell>
          <cell r="E327">
            <v>562.19999999999993</v>
          </cell>
        </row>
        <row r="328">
          <cell r="C328" t="str">
            <v>2019-06-10</v>
          </cell>
          <cell r="E328">
            <v>559.5</v>
          </cell>
        </row>
        <row r="329">
          <cell r="C329" t="str">
            <v>2019-06-17</v>
          </cell>
          <cell r="E329">
            <v>562.65</v>
          </cell>
        </row>
        <row r="330">
          <cell r="C330" t="str">
            <v>2019-06-24</v>
          </cell>
          <cell r="E330">
            <v>567</v>
          </cell>
        </row>
        <row r="331">
          <cell r="C331" t="str">
            <v>2019-07-01</v>
          </cell>
          <cell r="E331">
            <v>577.35</v>
          </cell>
        </row>
        <row r="332">
          <cell r="C332" t="str">
            <v>2019-07-08</v>
          </cell>
          <cell r="E332">
            <v>564</v>
          </cell>
        </row>
        <row r="333">
          <cell r="C333" t="str">
            <v>2019-07-15</v>
          </cell>
          <cell r="E333">
            <v>609</v>
          </cell>
        </row>
        <row r="334">
          <cell r="C334" t="str">
            <v>2019-07-22</v>
          </cell>
          <cell r="E334">
            <v>612.75</v>
          </cell>
        </row>
        <row r="335">
          <cell r="C335" t="str">
            <v>2019-07-29</v>
          </cell>
          <cell r="E335">
            <v>608.54999999999995</v>
          </cell>
        </row>
        <row r="336">
          <cell r="C336" t="str">
            <v>2019-08-05</v>
          </cell>
          <cell r="E336">
            <v>598.5</v>
          </cell>
        </row>
        <row r="337">
          <cell r="C337" t="str">
            <v>2019-08-12</v>
          </cell>
          <cell r="E337">
            <v>567.75</v>
          </cell>
        </row>
        <row r="338">
          <cell r="C338" t="str">
            <v>2019-08-19</v>
          </cell>
          <cell r="E338">
            <v>565.5</v>
          </cell>
        </row>
        <row r="339">
          <cell r="C339" t="str">
            <v>2019-08-26</v>
          </cell>
          <cell r="E339">
            <v>543.75</v>
          </cell>
        </row>
        <row r="340">
          <cell r="C340" t="str">
            <v>2019-09-02</v>
          </cell>
          <cell r="E340">
            <v>565.5</v>
          </cell>
        </row>
        <row r="341">
          <cell r="C341" t="str">
            <v>2019-09-09</v>
          </cell>
          <cell r="E341">
            <v>572.4</v>
          </cell>
        </row>
        <row r="342">
          <cell r="C342" t="str">
            <v>2019-09-16</v>
          </cell>
          <cell r="E342">
            <v>555.9</v>
          </cell>
        </row>
        <row r="343">
          <cell r="C343" t="str">
            <v>2019-09-23</v>
          </cell>
          <cell r="E343">
            <v>553.79999999999995</v>
          </cell>
        </row>
        <row r="344">
          <cell r="C344" t="str">
            <v>2019-09-30</v>
          </cell>
          <cell r="E344">
            <v>553.65</v>
          </cell>
        </row>
        <row r="345">
          <cell r="C345" t="str">
            <v>2019-10-07</v>
          </cell>
          <cell r="E345">
            <v>540.75</v>
          </cell>
        </row>
        <row r="346">
          <cell r="C346" t="str">
            <v>2019-10-14</v>
          </cell>
          <cell r="E346">
            <v>516</v>
          </cell>
        </row>
        <row r="347">
          <cell r="C347" t="str">
            <v>2019-10-21</v>
          </cell>
          <cell r="E347">
            <v>522.75</v>
          </cell>
        </row>
        <row r="348">
          <cell r="C348" t="str">
            <v>2019-10-28</v>
          </cell>
          <cell r="E348">
            <v>524.1</v>
          </cell>
        </row>
        <row r="349">
          <cell r="C349" t="str">
            <v>2019-11-04</v>
          </cell>
          <cell r="E349">
            <v>555</v>
          </cell>
        </row>
        <row r="350">
          <cell r="C350" t="str">
            <v>2019-11-11</v>
          </cell>
          <cell r="E350">
            <v>555</v>
          </cell>
        </row>
        <row r="351">
          <cell r="C351" t="str">
            <v>2019-11-18</v>
          </cell>
          <cell r="E351">
            <v>571.5</v>
          </cell>
        </row>
        <row r="352">
          <cell r="C352" t="str">
            <v>2019-11-25</v>
          </cell>
          <cell r="E352">
            <v>590.69999999999993</v>
          </cell>
        </row>
        <row r="353">
          <cell r="C353" t="str">
            <v>2019-12-02</v>
          </cell>
          <cell r="E353">
            <v>570</v>
          </cell>
        </row>
        <row r="354">
          <cell r="C354" t="str">
            <v>2019-12-09</v>
          </cell>
          <cell r="E354">
            <v>636</v>
          </cell>
        </row>
        <row r="355">
          <cell r="C355" t="str">
            <v>2019-12-16</v>
          </cell>
          <cell r="E355">
            <v>558.29999999999995</v>
          </cell>
        </row>
        <row r="356">
          <cell r="C356" t="str">
            <v>2019-12-23</v>
          </cell>
          <cell r="E356">
            <v>562.19999999999993</v>
          </cell>
        </row>
        <row r="357">
          <cell r="C357" t="str">
            <v>2019-12-30</v>
          </cell>
          <cell r="E357">
            <v>562.04999999999995</v>
          </cell>
        </row>
        <row r="358">
          <cell r="C358" t="str">
            <v>2020-01-06</v>
          </cell>
          <cell r="E358">
            <v>577.19999999999993</v>
          </cell>
        </row>
        <row r="359">
          <cell r="C359" t="str">
            <v>2020-01-13</v>
          </cell>
          <cell r="E359">
            <v>552.9</v>
          </cell>
        </row>
        <row r="360">
          <cell r="C360" t="str">
            <v>2020-01-20</v>
          </cell>
          <cell r="E360">
            <v>543.9</v>
          </cell>
        </row>
        <row r="361">
          <cell r="C361" t="str">
            <v>2020-01-27</v>
          </cell>
          <cell r="E361">
            <v>543.9</v>
          </cell>
        </row>
        <row r="362">
          <cell r="C362" t="str">
            <v>2020-02-03</v>
          </cell>
          <cell r="E362">
            <v>505.2</v>
          </cell>
        </row>
        <row r="363">
          <cell r="C363" t="str">
            <v>2020-02-10</v>
          </cell>
          <cell r="E363">
            <v>506.7</v>
          </cell>
        </row>
        <row r="364">
          <cell r="C364" t="str">
            <v>2020-02-17</v>
          </cell>
          <cell r="E364">
            <v>513.44999999999993</v>
          </cell>
        </row>
        <row r="365">
          <cell r="C365" t="str">
            <v>2020-02-24</v>
          </cell>
          <cell r="E365">
            <v>508.5</v>
          </cell>
        </row>
        <row r="366">
          <cell r="C366" t="str">
            <v>2020-03-02</v>
          </cell>
          <cell r="E366">
            <v>519.9</v>
          </cell>
        </row>
        <row r="367">
          <cell r="C367" t="str">
            <v>2020-03-09</v>
          </cell>
          <cell r="E367">
            <v>517.79999999999995</v>
          </cell>
        </row>
        <row r="368">
          <cell r="C368" t="str">
            <v>2020-03-16</v>
          </cell>
          <cell r="E368">
            <v>516</v>
          </cell>
        </row>
        <row r="369">
          <cell r="C369" t="str">
            <v>2020-03-23</v>
          </cell>
          <cell r="E369">
            <v>515.69999999999993</v>
          </cell>
        </row>
        <row r="370">
          <cell r="C370" t="str">
            <v>2020-03-30</v>
          </cell>
          <cell r="E370">
            <v>494.54999999999995</v>
          </cell>
        </row>
        <row r="371">
          <cell r="C371" t="str">
            <v>2020-04-06</v>
          </cell>
          <cell r="E371">
            <v>517.5</v>
          </cell>
        </row>
        <row r="372">
          <cell r="C372" t="str">
            <v>2020-04-13</v>
          </cell>
          <cell r="E372">
            <v>533.4</v>
          </cell>
        </row>
        <row r="373">
          <cell r="C373" t="str">
            <v>2020-04-20</v>
          </cell>
          <cell r="E373">
            <v>526.79999999999995</v>
          </cell>
        </row>
        <row r="374">
          <cell r="C374" t="str">
            <v>2020-04-27</v>
          </cell>
          <cell r="E374">
            <v>525.9</v>
          </cell>
        </row>
        <row r="375">
          <cell r="C375" t="str">
            <v>2020-05-04</v>
          </cell>
          <cell r="E375">
            <v>536.25</v>
          </cell>
        </row>
        <row r="376">
          <cell r="C376" t="str">
            <v>2020-05-11</v>
          </cell>
          <cell r="E376">
            <v>509.84999999999997</v>
          </cell>
        </row>
        <row r="377">
          <cell r="C377" t="str">
            <v>2020-05-18</v>
          </cell>
          <cell r="E377">
            <v>539.85</v>
          </cell>
        </row>
        <row r="378">
          <cell r="C378" t="str">
            <v>2020-05-25</v>
          </cell>
          <cell r="E378">
            <v>525.6</v>
          </cell>
        </row>
        <row r="379">
          <cell r="C379" t="str">
            <v>2020-06-01</v>
          </cell>
          <cell r="E379">
            <v>530.54999999999995</v>
          </cell>
        </row>
        <row r="380">
          <cell r="C380" t="str">
            <v>2020-06-08</v>
          </cell>
          <cell r="E380">
            <v>540</v>
          </cell>
        </row>
        <row r="381">
          <cell r="C381" t="str">
            <v>2020-06-15</v>
          </cell>
          <cell r="E381">
            <v>558</v>
          </cell>
        </row>
        <row r="382">
          <cell r="C382" t="str">
            <v>2020-06-22</v>
          </cell>
          <cell r="E382">
            <v>559.94999999999993</v>
          </cell>
        </row>
        <row r="383">
          <cell r="C383" t="str">
            <v>2020-06-29</v>
          </cell>
          <cell r="E383">
            <v>548.25</v>
          </cell>
        </row>
        <row r="384">
          <cell r="C384" t="str">
            <v>2020-07-06</v>
          </cell>
          <cell r="E384">
            <v>543</v>
          </cell>
        </row>
        <row r="385">
          <cell r="C385" t="str">
            <v>2020-07-13</v>
          </cell>
          <cell r="E385">
            <v>551.25</v>
          </cell>
        </row>
        <row r="386">
          <cell r="C386" t="str">
            <v>2020-07-20</v>
          </cell>
          <cell r="E386">
            <v>568.19999999999993</v>
          </cell>
        </row>
        <row r="387">
          <cell r="C387" t="str">
            <v>2020-07-27</v>
          </cell>
          <cell r="E387">
            <v>570.29999999999995</v>
          </cell>
        </row>
        <row r="388">
          <cell r="C388" t="str">
            <v>2020-08-03</v>
          </cell>
          <cell r="E388">
            <v>565.65</v>
          </cell>
        </row>
        <row r="389">
          <cell r="C389" t="str">
            <v>2020-08-10</v>
          </cell>
          <cell r="E389">
            <v>557.69999999999993</v>
          </cell>
        </row>
        <row r="390">
          <cell r="C390" t="str">
            <v>2020-08-17</v>
          </cell>
          <cell r="E390">
            <v>560.54999999999995</v>
          </cell>
        </row>
        <row r="391">
          <cell r="C391" t="str">
            <v>2020-08-24</v>
          </cell>
          <cell r="E391">
            <v>558.9</v>
          </cell>
        </row>
        <row r="392">
          <cell r="C392" t="str">
            <v>2020-08-31</v>
          </cell>
          <cell r="E392">
            <v>564.75</v>
          </cell>
        </row>
        <row r="393">
          <cell r="C393" t="str">
            <v>2020-09-07</v>
          </cell>
          <cell r="E393">
            <v>559.19999999999993</v>
          </cell>
        </row>
        <row r="394">
          <cell r="C394" t="str">
            <v>2020-09-14</v>
          </cell>
          <cell r="E394">
            <v>550.5</v>
          </cell>
        </row>
        <row r="395">
          <cell r="C395" t="str">
            <v>2020-09-21</v>
          </cell>
          <cell r="E395">
            <v>543.6</v>
          </cell>
        </row>
        <row r="396">
          <cell r="C396" t="str">
            <v>2020-09-28</v>
          </cell>
          <cell r="E396">
            <v>541.94999999999993</v>
          </cell>
        </row>
        <row r="397">
          <cell r="C397" t="str">
            <v>2020-10-05</v>
          </cell>
          <cell r="E397">
            <v>545.54999999999995</v>
          </cell>
        </row>
        <row r="398">
          <cell r="C398" t="str">
            <v>2020-10-12</v>
          </cell>
          <cell r="E398">
            <v>543.29999999999995</v>
          </cell>
        </row>
        <row r="399">
          <cell r="C399" t="str">
            <v>2020-10-19</v>
          </cell>
          <cell r="E399">
            <v>551.69999999999993</v>
          </cell>
        </row>
        <row r="400">
          <cell r="C400" t="str">
            <v>2020-10-26</v>
          </cell>
          <cell r="E400">
            <v>562.19999999999993</v>
          </cell>
        </row>
        <row r="401">
          <cell r="C401" t="str">
            <v>2020-11-02</v>
          </cell>
          <cell r="E401">
            <v>561.6</v>
          </cell>
        </row>
        <row r="402">
          <cell r="C402" t="str">
            <v>2020-11-09</v>
          </cell>
          <cell r="E402">
            <v>595.19999999999993</v>
          </cell>
        </row>
        <row r="403">
          <cell r="C403" t="str">
            <v>2020-11-16</v>
          </cell>
          <cell r="E403">
            <v>617.85</v>
          </cell>
        </row>
        <row r="404">
          <cell r="C404" t="str">
            <v>2020-11-23</v>
          </cell>
          <cell r="E404">
            <v>609</v>
          </cell>
        </row>
        <row r="405">
          <cell r="C405" t="str">
            <v>2020-11-30</v>
          </cell>
          <cell r="E405">
            <v>638.69999999999993</v>
          </cell>
        </row>
        <row r="406">
          <cell r="C406" t="str">
            <v>2020-12-07</v>
          </cell>
          <cell r="E406">
            <v>660</v>
          </cell>
        </row>
        <row r="407">
          <cell r="C407" t="str">
            <v>2020-12-14</v>
          </cell>
          <cell r="E407">
            <v>649.19999999999993</v>
          </cell>
        </row>
        <row r="408">
          <cell r="C408" t="str">
            <v>2020-12-21</v>
          </cell>
          <cell r="E408">
            <v>631.35</v>
          </cell>
        </row>
        <row r="409">
          <cell r="C409" t="str">
            <v>2020-12-28</v>
          </cell>
          <cell r="E409">
            <v>633</v>
          </cell>
        </row>
        <row r="410">
          <cell r="C410" t="str">
            <v>2021-01-04</v>
          </cell>
          <cell r="E410">
            <v>640.5</v>
          </cell>
        </row>
        <row r="411">
          <cell r="C411" t="str">
            <v>2021-01-11</v>
          </cell>
          <cell r="E411">
            <v>630.9</v>
          </cell>
        </row>
        <row r="412">
          <cell r="C412" t="str">
            <v>2021-01-18</v>
          </cell>
          <cell r="E412">
            <v>630</v>
          </cell>
        </row>
        <row r="413">
          <cell r="C413" t="str">
            <v>2021-01-25</v>
          </cell>
          <cell r="E413">
            <v>628.65</v>
          </cell>
        </row>
        <row r="414">
          <cell r="C414" t="str">
            <v>2021-02-01</v>
          </cell>
          <cell r="E414">
            <v>624.9</v>
          </cell>
        </row>
        <row r="415">
          <cell r="C415" t="str">
            <v>2021-02-08</v>
          </cell>
          <cell r="E415">
            <v>644.1</v>
          </cell>
        </row>
        <row r="416">
          <cell r="C416" t="str">
            <v>2021-02-15</v>
          </cell>
          <cell r="E416">
            <v>659.85</v>
          </cell>
        </row>
        <row r="417">
          <cell r="C417" t="str">
            <v>2021-02-22</v>
          </cell>
          <cell r="E417">
            <v>688.05</v>
          </cell>
        </row>
        <row r="418">
          <cell r="C418" t="str">
            <v>2021-03-01</v>
          </cell>
          <cell r="E418">
            <v>688.8</v>
          </cell>
        </row>
        <row r="419">
          <cell r="C419" t="str">
            <v>2021-03-08</v>
          </cell>
          <cell r="E419">
            <v>689.69999999999993</v>
          </cell>
        </row>
        <row r="420">
          <cell r="C420" t="str">
            <v>2021-03-15</v>
          </cell>
          <cell r="E420">
            <v>705.3</v>
          </cell>
        </row>
        <row r="421">
          <cell r="C421" t="str">
            <v>2021-03-22</v>
          </cell>
          <cell r="E421">
            <v>715.5</v>
          </cell>
        </row>
        <row r="422">
          <cell r="C422" t="str">
            <v>2021-03-29</v>
          </cell>
          <cell r="E422">
            <v>744</v>
          </cell>
        </row>
        <row r="423">
          <cell r="C423" t="str">
            <v>2021-04-05</v>
          </cell>
          <cell r="E423">
            <v>750</v>
          </cell>
        </row>
        <row r="424">
          <cell r="C424" t="str">
            <v>2021-04-12</v>
          </cell>
          <cell r="E424">
            <v>770.69999999999993</v>
          </cell>
        </row>
        <row r="425">
          <cell r="C425" t="str">
            <v>2021-04-19</v>
          </cell>
          <cell r="E425">
            <v>781.5</v>
          </cell>
        </row>
        <row r="426">
          <cell r="C426" t="str">
            <v>2021-04-26</v>
          </cell>
          <cell r="E426">
            <v>804.3</v>
          </cell>
        </row>
        <row r="427">
          <cell r="C427" t="str">
            <v>2021-05-03</v>
          </cell>
          <cell r="E427">
            <v>832.8</v>
          </cell>
        </row>
        <row r="428">
          <cell r="C428" t="str">
            <v>2021-05-10</v>
          </cell>
          <cell r="E428">
            <v>839.1</v>
          </cell>
        </row>
        <row r="429">
          <cell r="C429" t="str">
            <v>2021-05-17</v>
          </cell>
          <cell r="E429">
            <v>767.1</v>
          </cell>
        </row>
        <row r="430">
          <cell r="C430" t="str">
            <v>2021-05-24</v>
          </cell>
          <cell r="E430">
            <v>713.25</v>
          </cell>
        </row>
        <row r="431">
          <cell r="C431" t="str">
            <v>2021-05-31</v>
          </cell>
          <cell r="E431">
            <v>729</v>
          </cell>
        </row>
        <row r="432">
          <cell r="C432" t="str">
            <v>2021-06-07</v>
          </cell>
          <cell r="E432">
            <v>735</v>
          </cell>
        </row>
        <row r="433">
          <cell r="C433" t="str">
            <v>2021-06-15</v>
          </cell>
          <cell r="E433">
            <v>747.15</v>
          </cell>
        </row>
        <row r="434">
          <cell r="C434" t="str">
            <v>2021-06-21</v>
          </cell>
          <cell r="E434">
            <v>736.35</v>
          </cell>
        </row>
        <row r="435">
          <cell r="C435" t="str">
            <v>2021-06-28</v>
          </cell>
          <cell r="E435">
            <v>736.19999999999993</v>
          </cell>
        </row>
        <row r="436">
          <cell r="C436" t="str">
            <v>2021-07-05</v>
          </cell>
          <cell r="E436">
            <v>734.85</v>
          </cell>
        </row>
        <row r="437">
          <cell r="C437" t="str">
            <v>2021-07-12</v>
          </cell>
          <cell r="E437">
            <v>817.8</v>
          </cell>
        </row>
        <row r="438">
          <cell r="C438" t="str">
            <v>2021-07-19</v>
          </cell>
          <cell r="E438">
            <v>839.55</v>
          </cell>
        </row>
        <row r="439">
          <cell r="C439" t="str">
            <v>2021-07-26</v>
          </cell>
          <cell r="E439">
            <v>855.75</v>
          </cell>
        </row>
        <row r="440">
          <cell r="C440" t="str">
            <v>2021-08-02</v>
          </cell>
          <cell r="E440">
            <v>808.5</v>
          </cell>
        </row>
        <row r="441">
          <cell r="C441" t="str">
            <v>2021-08-09</v>
          </cell>
          <cell r="E441">
            <v>801.44999999999993</v>
          </cell>
        </row>
        <row r="442">
          <cell r="C442" t="str">
            <v>2021-08-16</v>
          </cell>
          <cell r="E442">
            <v>743.55</v>
          </cell>
        </row>
        <row r="443">
          <cell r="C443" t="str">
            <v>2021-08-23</v>
          </cell>
          <cell r="E443">
            <v>761.1</v>
          </cell>
        </row>
        <row r="444">
          <cell r="C444" t="str">
            <v>2021-08-30</v>
          </cell>
          <cell r="E444">
            <v>795.3</v>
          </cell>
        </row>
        <row r="445">
          <cell r="C445" t="str">
            <v>2021-09-06</v>
          </cell>
          <cell r="E445">
            <v>840.6</v>
          </cell>
        </row>
        <row r="446">
          <cell r="C446" t="str">
            <v>2021-09-13</v>
          </cell>
          <cell r="E446">
            <v>856.35</v>
          </cell>
        </row>
        <row r="447">
          <cell r="C447" t="str">
            <v>2021-09-22</v>
          </cell>
          <cell r="E447">
            <v>871.65</v>
          </cell>
        </row>
        <row r="448">
          <cell r="C448" t="str">
            <v>2021-09-27</v>
          </cell>
          <cell r="E448">
            <v>875.25</v>
          </cell>
        </row>
        <row r="449">
          <cell r="C449" t="str">
            <v>2021-10-08</v>
          </cell>
          <cell r="E449">
            <v>888.75</v>
          </cell>
        </row>
        <row r="450">
          <cell r="C450" t="str">
            <v>2021-10-11</v>
          </cell>
          <cell r="E450">
            <v>853.05</v>
          </cell>
        </row>
        <row r="451">
          <cell r="C451" t="str">
            <v>2021-10-18</v>
          </cell>
          <cell r="E451">
            <v>751.35</v>
          </cell>
        </row>
        <row r="452">
          <cell r="C452" t="str">
            <v>2021-10-25</v>
          </cell>
          <cell r="E452">
            <v>720.9</v>
          </cell>
        </row>
        <row r="453">
          <cell r="C453" t="str">
            <v>2021-11-01</v>
          </cell>
          <cell r="E453">
            <v>673.5</v>
          </cell>
        </row>
        <row r="454">
          <cell r="C454" t="str">
            <v>2021-11-08</v>
          </cell>
          <cell r="E454">
            <v>652.5</v>
          </cell>
        </row>
        <row r="455">
          <cell r="C455" t="str">
            <v>2021-11-15</v>
          </cell>
          <cell r="E455">
            <v>641.1</v>
          </cell>
        </row>
        <row r="456">
          <cell r="C456" t="str">
            <v>2021-11-22</v>
          </cell>
          <cell r="E456">
            <v>645</v>
          </cell>
        </row>
        <row r="457">
          <cell r="C457" t="str">
            <v>2021-11-29</v>
          </cell>
          <cell r="E457">
            <v>645.15</v>
          </cell>
        </row>
        <row r="458">
          <cell r="C458" t="str">
            <v>2021-12-06</v>
          </cell>
          <cell r="E458">
            <v>645.44999999999993</v>
          </cell>
        </row>
        <row r="459">
          <cell r="C459" t="str">
            <v>2021-12-13</v>
          </cell>
          <cell r="E459">
            <v>702</v>
          </cell>
        </row>
        <row r="460">
          <cell r="C460" t="str">
            <v>2021-12-20</v>
          </cell>
          <cell r="E460">
            <v>703.8</v>
          </cell>
        </row>
        <row r="461">
          <cell r="C461" t="str">
            <v>2021-12-27</v>
          </cell>
          <cell r="E461">
            <v>682.19999999999993</v>
          </cell>
        </row>
        <row r="462">
          <cell r="C462" t="str">
            <v>2022-01-04</v>
          </cell>
          <cell r="E462">
            <v>697.05</v>
          </cell>
        </row>
        <row r="463">
          <cell r="C463" t="str">
            <v>2022-01-10</v>
          </cell>
          <cell r="E463">
            <v>701.55</v>
          </cell>
        </row>
        <row r="464">
          <cell r="C464" t="str">
            <v>2022-01-17</v>
          </cell>
          <cell r="E464">
            <v>711.44999999999993</v>
          </cell>
        </row>
        <row r="465">
          <cell r="C465" t="str">
            <v>2022-01-24</v>
          </cell>
          <cell r="E465">
            <v>716.69999999999993</v>
          </cell>
        </row>
        <row r="466">
          <cell r="C466" t="str">
            <v>2022-02-07</v>
          </cell>
          <cell r="E466">
            <v>749.85</v>
          </cell>
        </row>
        <row r="467">
          <cell r="C467" t="str">
            <v>2022-02-14</v>
          </cell>
          <cell r="E467">
            <v>718.35</v>
          </cell>
        </row>
        <row r="468">
          <cell r="C468" t="str">
            <v>2022-02-21</v>
          </cell>
          <cell r="E468">
            <v>698.4</v>
          </cell>
        </row>
        <row r="469">
          <cell r="C469" t="str">
            <v>2022-02-28</v>
          </cell>
          <cell r="E469">
            <v>747.75</v>
          </cell>
        </row>
        <row r="470">
          <cell r="C470" t="str">
            <v>2022-03-07</v>
          </cell>
          <cell r="E470">
            <v>735</v>
          </cell>
        </row>
        <row r="471">
          <cell r="C471" t="str">
            <v>2022-03-14</v>
          </cell>
          <cell r="E471">
            <v>741.44999999999993</v>
          </cell>
        </row>
        <row r="472">
          <cell r="C472" t="str">
            <v>2022-03-21</v>
          </cell>
          <cell r="E472">
            <v>743.1</v>
          </cell>
        </row>
        <row r="473">
          <cell r="C473" t="str">
            <v>2022-03-28</v>
          </cell>
          <cell r="E473">
            <v>767.25</v>
          </cell>
        </row>
        <row r="474">
          <cell r="C474" t="str">
            <v>2022-04-06</v>
          </cell>
          <cell r="E474">
            <v>767.25</v>
          </cell>
        </row>
        <row r="475">
          <cell r="C475" t="str">
            <v>2022-04-11</v>
          </cell>
          <cell r="E475">
            <v>744.75</v>
          </cell>
        </row>
        <row r="476">
          <cell r="C476" t="str">
            <v>2022-04-18</v>
          </cell>
          <cell r="E476">
            <v>769.94999999999993</v>
          </cell>
        </row>
        <row r="477">
          <cell r="C477" t="str">
            <v>2022-04-25</v>
          </cell>
          <cell r="E477">
            <v>772.8</v>
          </cell>
        </row>
        <row r="478">
          <cell r="C478" t="str">
            <v>2022-05-05</v>
          </cell>
          <cell r="E478">
            <v>773.69999999999993</v>
          </cell>
        </row>
        <row r="479">
          <cell r="C479" t="str">
            <v>2022-05-09</v>
          </cell>
          <cell r="E479">
            <v>752.69999999999993</v>
          </cell>
        </row>
        <row r="480">
          <cell r="C480" t="str">
            <v>2022-05-16</v>
          </cell>
          <cell r="E480">
            <v>722.55</v>
          </cell>
        </row>
        <row r="481">
          <cell r="C481" t="str">
            <v>2022-05-23</v>
          </cell>
          <cell r="E481">
            <v>702.44999999999993</v>
          </cell>
        </row>
        <row r="482">
          <cell r="C482" t="str">
            <v>2022-05-30</v>
          </cell>
          <cell r="E482">
            <v>669.75</v>
          </cell>
        </row>
        <row r="483">
          <cell r="C483" t="str">
            <v>2022-06-06</v>
          </cell>
          <cell r="E483">
            <v>690</v>
          </cell>
        </row>
        <row r="484">
          <cell r="C484" t="str">
            <v>2022-06-13</v>
          </cell>
          <cell r="E484">
            <v>682.8</v>
          </cell>
        </row>
        <row r="485">
          <cell r="C485" t="str">
            <v>2022-06-20</v>
          </cell>
          <cell r="E485">
            <v>645.15</v>
          </cell>
        </row>
        <row r="486">
          <cell r="C486" t="str">
            <v>2022-06-27</v>
          </cell>
          <cell r="E486">
            <v>675</v>
          </cell>
        </row>
        <row r="487">
          <cell r="C487" t="str">
            <v>2022-07-04</v>
          </cell>
          <cell r="E487">
            <v>639</v>
          </cell>
        </row>
        <row r="488">
          <cell r="C488" t="str">
            <v>2022-07-11</v>
          </cell>
          <cell r="E488">
            <v>589.5</v>
          </cell>
        </row>
        <row r="489">
          <cell r="C489" t="str">
            <v>2022-07-18</v>
          </cell>
          <cell r="E489">
            <v>574.35</v>
          </cell>
        </row>
        <row r="490">
          <cell r="C490" t="str">
            <v>2022-07-25</v>
          </cell>
          <cell r="E490">
            <v>618.29999999999995</v>
          </cell>
        </row>
        <row r="491">
          <cell r="C491" t="str">
            <v>2022-08-01</v>
          </cell>
          <cell r="E491">
            <v>609.15</v>
          </cell>
        </row>
        <row r="492">
          <cell r="C492" t="str">
            <v>2022-08-08</v>
          </cell>
          <cell r="E492">
            <v>620.25</v>
          </cell>
        </row>
        <row r="493">
          <cell r="C493" t="str">
            <v>2022-08-15</v>
          </cell>
          <cell r="E493">
            <v>599.4</v>
          </cell>
        </row>
        <row r="494">
          <cell r="C494" t="str">
            <v>2022-08-22</v>
          </cell>
          <cell r="E494">
            <v>611.4</v>
          </cell>
        </row>
        <row r="495">
          <cell r="C495" t="str">
            <v>2022-08-29</v>
          </cell>
          <cell r="E495">
            <v>569.54999999999995</v>
          </cell>
        </row>
        <row r="496">
          <cell r="C496" t="str">
            <v>2022-09-05</v>
          </cell>
          <cell r="E496">
            <v>587.69999999999993</v>
          </cell>
        </row>
        <row r="497">
          <cell r="C497" t="str">
            <v>2022-09-13</v>
          </cell>
          <cell r="E497">
            <v>584.54999999999995</v>
          </cell>
        </row>
        <row r="498">
          <cell r="C498" t="str">
            <v>2022-09-19</v>
          </cell>
          <cell r="E498">
            <v>592.19999999999993</v>
          </cell>
        </row>
        <row r="499">
          <cell r="C499" t="str">
            <v>2022-09-26</v>
          </cell>
          <cell r="E499">
            <v>590.4</v>
          </cell>
        </row>
        <row r="500">
          <cell r="C500" t="str">
            <v>2022-10-10</v>
          </cell>
          <cell r="E500">
            <v>572.69999999999993</v>
          </cell>
        </row>
        <row r="501">
          <cell r="C501" t="str">
            <v>2022-10-17</v>
          </cell>
          <cell r="E501">
            <v>556.04999999999995</v>
          </cell>
        </row>
        <row r="502">
          <cell r="C502" t="str">
            <v>2022-10-24</v>
          </cell>
          <cell r="E502">
            <v>535.65</v>
          </cell>
        </row>
        <row r="503">
          <cell r="C503" t="str">
            <v>2022-10-31</v>
          </cell>
          <cell r="E503">
            <v>537.15</v>
          </cell>
        </row>
        <row r="504">
          <cell r="C504" t="str">
            <v>2022-11-07</v>
          </cell>
          <cell r="E504">
            <v>538.04999999999995</v>
          </cell>
        </row>
        <row r="505">
          <cell r="C505" t="str">
            <v>2022-11-14</v>
          </cell>
          <cell r="E505">
            <v>557.25</v>
          </cell>
        </row>
        <row r="506">
          <cell r="C506" t="str">
            <v>2022-11-21</v>
          </cell>
          <cell r="E506">
            <v>553.65</v>
          </cell>
        </row>
        <row r="507">
          <cell r="C507" t="str">
            <v>2022-11-28</v>
          </cell>
          <cell r="E507">
            <v>565.04999999999995</v>
          </cell>
        </row>
        <row r="508">
          <cell r="C508" t="str">
            <v>2022-12-05</v>
          </cell>
          <cell r="E508">
            <v>585</v>
          </cell>
        </row>
        <row r="509">
          <cell r="C509" t="str">
            <v>2022-12-12</v>
          </cell>
          <cell r="E509">
            <v>601.5</v>
          </cell>
        </row>
        <row r="510">
          <cell r="C510" t="str">
            <v>2022-12-19</v>
          </cell>
          <cell r="E510">
            <v>586.79999999999995</v>
          </cell>
        </row>
        <row r="511">
          <cell r="C511" t="str">
            <v>2022-12-26</v>
          </cell>
          <cell r="E511">
            <v>602.85</v>
          </cell>
        </row>
        <row r="512">
          <cell r="C512" t="str">
            <v>2023-01-03</v>
          </cell>
          <cell r="E512">
            <v>599.54999999999995</v>
          </cell>
        </row>
        <row r="513">
          <cell r="C513" t="str">
            <v>2023-01-09</v>
          </cell>
          <cell r="E513">
            <v>612.9</v>
          </cell>
        </row>
        <row r="514">
          <cell r="C514" t="str">
            <v>2023-01-16</v>
          </cell>
          <cell r="E514">
            <v>618.75</v>
          </cell>
        </row>
        <row r="515">
          <cell r="C515" t="str">
            <v>2023-01-30</v>
          </cell>
          <cell r="E515">
            <v>597.29999999999995</v>
          </cell>
        </row>
        <row r="516">
          <cell r="C516" t="str">
            <v>2023-02-06</v>
          </cell>
          <cell r="E516">
            <v>603.15</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10.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6.xml"/><Relationship Id="rId1" Type="http://schemas.openxmlformats.org/officeDocument/2006/relationships/printerSettings" Target="../printerSettings/printerSettings16.bin"/><Relationship Id="rId4" Type="http://schemas.openxmlformats.org/officeDocument/2006/relationships/comments" Target="../comments13.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7.xml"/><Relationship Id="rId1" Type="http://schemas.openxmlformats.org/officeDocument/2006/relationships/printerSettings" Target="../printerSettings/printerSettings17.bin"/><Relationship Id="rId4" Type="http://schemas.openxmlformats.org/officeDocument/2006/relationships/comments" Target="../comments14.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8.xml"/><Relationship Id="rId1" Type="http://schemas.openxmlformats.org/officeDocument/2006/relationships/printerSettings" Target="../printerSettings/printerSettings18.bin"/><Relationship Id="rId4" Type="http://schemas.openxmlformats.org/officeDocument/2006/relationships/comments" Target="../comments15.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9.xml"/><Relationship Id="rId1" Type="http://schemas.openxmlformats.org/officeDocument/2006/relationships/printerSettings" Target="../printerSettings/printerSettings19.bin"/><Relationship Id="rId4" Type="http://schemas.openxmlformats.org/officeDocument/2006/relationships/comments" Target="../comments16.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0.xml"/><Relationship Id="rId1" Type="http://schemas.openxmlformats.org/officeDocument/2006/relationships/printerSettings" Target="../printerSettings/printerSettings20.bin"/><Relationship Id="rId4" Type="http://schemas.openxmlformats.org/officeDocument/2006/relationships/comments" Target="../comments17.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1.xml"/><Relationship Id="rId1" Type="http://schemas.openxmlformats.org/officeDocument/2006/relationships/printerSettings" Target="../printerSettings/printerSettings21.bin"/><Relationship Id="rId4" Type="http://schemas.openxmlformats.org/officeDocument/2006/relationships/comments" Target="../comments18.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2.xml"/><Relationship Id="rId1" Type="http://schemas.openxmlformats.org/officeDocument/2006/relationships/printerSettings" Target="../printerSettings/printerSettings22.bin"/><Relationship Id="rId4" Type="http://schemas.openxmlformats.org/officeDocument/2006/relationships/comments" Target="../comments19.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3.xml"/><Relationship Id="rId1" Type="http://schemas.openxmlformats.org/officeDocument/2006/relationships/printerSettings" Target="../printerSettings/printerSettings23.bin"/><Relationship Id="rId4" Type="http://schemas.openxmlformats.org/officeDocument/2006/relationships/comments" Target="../comments20.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05BDB-DE0D-4A47-957A-53B5288F2AD9}">
  <dimension ref="B4:B36"/>
  <sheetViews>
    <sheetView tabSelected="1" topLeftCell="A14" workbookViewId="0">
      <selection activeCell="F25" sqref="F25"/>
    </sheetView>
  </sheetViews>
  <sheetFormatPr defaultRowHeight="15" x14ac:dyDescent="0.25"/>
  <cols>
    <col min="2" max="2" width="91.7109375" customWidth="1"/>
  </cols>
  <sheetData>
    <row r="4" spans="2:2" x14ac:dyDescent="0.25">
      <c r="B4" s="165" t="s">
        <v>2071</v>
      </c>
    </row>
    <row r="5" spans="2:2" x14ac:dyDescent="0.25">
      <c r="B5" s="165"/>
    </row>
    <row r="6" spans="2:2" x14ac:dyDescent="0.25">
      <c r="B6" s="165" t="s">
        <v>2072</v>
      </c>
    </row>
    <row r="7" spans="2:2" x14ac:dyDescent="0.25">
      <c r="B7" s="164"/>
    </row>
    <row r="8" spans="2:2" x14ac:dyDescent="0.25">
      <c r="B8" s="164" t="s">
        <v>2073</v>
      </c>
    </row>
    <row r="9" spans="2:2" x14ac:dyDescent="0.25">
      <c r="B9" s="164"/>
    </row>
    <row r="10" spans="2:2" ht="30" x14ac:dyDescent="0.25">
      <c r="B10" s="164" t="s">
        <v>2074</v>
      </c>
    </row>
    <row r="11" spans="2:2" x14ac:dyDescent="0.25">
      <c r="B11" s="164"/>
    </row>
    <row r="12" spans="2:2" ht="30" x14ac:dyDescent="0.25">
      <c r="B12" s="164" t="s">
        <v>2075</v>
      </c>
    </row>
    <row r="13" spans="2:2" x14ac:dyDescent="0.25">
      <c r="B13" s="164" t="s">
        <v>2076</v>
      </c>
    </row>
    <row r="14" spans="2:2" x14ac:dyDescent="0.25">
      <c r="B14" s="164"/>
    </row>
    <row r="15" spans="2:2" ht="15.75" thickBot="1" x14ac:dyDescent="0.3">
      <c r="B15" s="164"/>
    </row>
    <row r="16" spans="2:2" x14ac:dyDescent="0.25">
      <c r="B16" s="166" t="s">
        <v>2077</v>
      </c>
    </row>
    <row r="17" spans="2:2" ht="45" x14ac:dyDescent="0.25">
      <c r="B17" s="167" t="s">
        <v>2078</v>
      </c>
    </row>
    <row r="18" spans="2:2" x14ac:dyDescent="0.25">
      <c r="B18" s="167"/>
    </row>
    <row r="19" spans="2:2" x14ac:dyDescent="0.25">
      <c r="B19" s="167" t="s">
        <v>2079</v>
      </c>
    </row>
    <row r="20" spans="2:2" ht="60" x14ac:dyDescent="0.25">
      <c r="B20" s="167" t="s">
        <v>2080</v>
      </c>
    </row>
    <row r="21" spans="2:2" x14ac:dyDescent="0.25">
      <c r="B21" s="168"/>
    </row>
    <row r="22" spans="2:2" ht="45" x14ac:dyDescent="0.25">
      <c r="B22" s="167" t="s">
        <v>2081</v>
      </c>
    </row>
    <row r="23" spans="2:2" x14ac:dyDescent="0.25">
      <c r="B23" s="168"/>
    </row>
    <row r="24" spans="2:2" x14ac:dyDescent="0.25">
      <c r="B24" s="167" t="s">
        <v>2082</v>
      </c>
    </row>
    <row r="25" spans="2:2" ht="30" x14ac:dyDescent="0.25">
      <c r="B25" s="167" t="s">
        <v>2083</v>
      </c>
    </row>
    <row r="26" spans="2:2" x14ac:dyDescent="0.25">
      <c r="B26" s="167" t="s">
        <v>2084</v>
      </c>
    </row>
    <row r="27" spans="2:2" x14ac:dyDescent="0.25">
      <c r="B27" s="167"/>
    </row>
    <row r="28" spans="2:2" x14ac:dyDescent="0.25">
      <c r="B28" s="167" t="s">
        <v>2085</v>
      </c>
    </row>
    <row r="29" spans="2:2" ht="30" x14ac:dyDescent="0.25">
      <c r="B29" s="167" t="s">
        <v>2086</v>
      </c>
    </row>
    <row r="30" spans="2:2" x14ac:dyDescent="0.25">
      <c r="B30" s="167"/>
    </row>
    <row r="31" spans="2:2" x14ac:dyDescent="0.25">
      <c r="B31" s="167" t="s">
        <v>2087</v>
      </c>
    </row>
    <row r="32" spans="2:2" ht="30" x14ac:dyDescent="0.25">
      <c r="B32" s="167" t="s">
        <v>2088</v>
      </c>
    </row>
    <row r="33" spans="2:2" x14ac:dyDescent="0.25">
      <c r="B33" s="167" t="s">
        <v>2089</v>
      </c>
    </row>
    <row r="34" spans="2:2" x14ac:dyDescent="0.25">
      <c r="B34" s="167"/>
    </row>
    <row r="35" spans="2:2" x14ac:dyDescent="0.25">
      <c r="B35" s="167" t="s">
        <v>2090</v>
      </c>
    </row>
    <row r="36" spans="2:2" ht="45.75" thickBot="1" x14ac:dyDescent="0.3">
      <c r="B36" s="169" t="s">
        <v>2091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50"/>
  <sheetViews>
    <sheetView zoomScale="90" zoomScaleNormal="90" workbookViewId="0">
      <pane xSplit="1" ySplit="1" topLeftCell="K2" activePane="bottomRight" state="frozen"/>
      <selection pane="topRight" activeCell="B1" sqref="B1"/>
      <selection pane="bottomLeft" activeCell="A2" sqref="A2"/>
      <selection pane="bottomRight" activeCell="A39" sqref="A39"/>
    </sheetView>
  </sheetViews>
  <sheetFormatPr defaultRowHeight="15" x14ac:dyDescent="0.25"/>
  <cols>
    <col min="1" max="1" width="38.42578125" customWidth="1"/>
    <col min="2" max="8" width="10.28515625" customWidth="1"/>
    <col min="9" max="10" width="9.28515625" customWidth="1"/>
    <col min="11" max="11" width="11.28515625" customWidth="1"/>
    <col min="12" max="12" width="10.140625" customWidth="1"/>
    <col min="13" max="13" width="8.7109375" customWidth="1"/>
  </cols>
  <sheetData>
    <row r="1" spans="1:32" x14ac:dyDescent="0.25">
      <c r="B1" s="3">
        <v>1995</v>
      </c>
      <c r="C1" s="3">
        <v>1996</v>
      </c>
      <c r="D1" s="3">
        <v>1997</v>
      </c>
      <c r="E1" s="3">
        <v>1998</v>
      </c>
      <c r="F1" s="3">
        <v>1999</v>
      </c>
      <c r="G1" s="3">
        <v>2000</v>
      </c>
      <c r="H1" s="3">
        <v>2001</v>
      </c>
      <c r="I1" s="3">
        <v>2002</v>
      </c>
      <c r="J1" s="3">
        <v>2003</v>
      </c>
      <c r="K1" s="3">
        <v>2004</v>
      </c>
      <c r="L1" s="3">
        <v>2005</v>
      </c>
      <c r="M1" s="3">
        <v>2006</v>
      </c>
      <c r="N1" s="3">
        <v>2007</v>
      </c>
      <c r="O1" s="3">
        <v>2008</v>
      </c>
      <c r="P1" s="3">
        <v>2009</v>
      </c>
      <c r="Q1" s="3">
        <v>2010</v>
      </c>
      <c r="R1" s="3">
        <v>2011</v>
      </c>
      <c r="S1" s="3">
        <v>2012</v>
      </c>
      <c r="T1" s="3">
        <v>2013</v>
      </c>
      <c r="U1" s="3">
        <v>2014</v>
      </c>
      <c r="V1" s="3">
        <v>2015</v>
      </c>
      <c r="W1" s="3">
        <v>2016</v>
      </c>
      <c r="X1" s="3">
        <v>2017</v>
      </c>
      <c r="Y1" s="3">
        <v>2018</v>
      </c>
      <c r="Z1" s="3">
        <v>2019</v>
      </c>
      <c r="AA1" s="3">
        <v>2020</v>
      </c>
      <c r="AB1" s="3">
        <v>2021</v>
      </c>
      <c r="AC1" s="3">
        <v>2022</v>
      </c>
      <c r="AD1" s="3">
        <v>2023</v>
      </c>
      <c r="AE1" s="3">
        <v>2024</v>
      </c>
      <c r="AF1" s="3">
        <v>2025</v>
      </c>
    </row>
    <row r="2" spans="1:32" x14ac:dyDescent="0.25">
      <c r="A2" s="3" t="s">
        <v>3</v>
      </c>
      <c r="C2">
        <v>252</v>
      </c>
      <c r="D2">
        <v>262</v>
      </c>
      <c r="E2">
        <v>379</v>
      </c>
      <c r="F2">
        <v>634</v>
      </c>
      <c r="G2">
        <v>896</v>
      </c>
      <c r="H2">
        <v>1282</v>
      </c>
      <c r="I2">
        <v>1395</v>
      </c>
      <c r="J2">
        <v>1653</v>
      </c>
      <c r="K2">
        <v>2363</v>
      </c>
      <c r="L2">
        <v>3583</v>
      </c>
      <c r="M2">
        <v>3854</v>
      </c>
      <c r="N2">
        <v>4861</v>
      </c>
      <c r="O2">
        <v>6035</v>
      </c>
      <c r="P2">
        <v>5079</v>
      </c>
      <c r="Q2">
        <v>6920</v>
      </c>
      <c r="R2">
        <v>5836</v>
      </c>
      <c r="S2">
        <v>7216</v>
      </c>
      <c r="T2">
        <v>6084</v>
      </c>
      <c r="U2">
        <v>6910</v>
      </c>
      <c r="V2">
        <v>8423</v>
      </c>
      <c r="W2">
        <v>10237</v>
      </c>
      <c r="X2">
        <v>9953</v>
      </c>
      <c r="Y2">
        <v>10134</v>
      </c>
      <c r="Z2">
        <v>12147</v>
      </c>
      <c r="AA2">
        <v>14819</v>
      </c>
      <c r="AB2">
        <v>15587</v>
      </c>
      <c r="AC2">
        <v>14486</v>
      </c>
      <c r="AD2">
        <v>15382</v>
      </c>
      <c r="AE2">
        <v>17295</v>
      </c>
      <c r="AF2">
        <v>18822</v>
      </c>
    </row>
    <row r="3" spans="1:32" x14ac:dyDescent="0.25">
      <c r="A3" s="3" t="s">
        <v>2</v>
      </c>
      <c r="C3">
        <v>27</v>
      </c>
      <c r="D3">
        <v>32</v>
      </c>
      <c r="E3">
        <v>50</v>
      </c>
      <c r="F3">
        <v>69</v>
      </c>
      <c r="G3">
        <v>136</v>
      </c>
      <c r="H3">
        <v>192</v>
      </c>
      <c r="I3">
        <v>142</v>
      </c>
      <c r="J3">
        <v>150</v>
      </c>
      <c r="K3">
        <v>120</v>
      </c>
      <c r="L3">
        <v>84</v>
      </c>
      <c r="M3">
        <v>461</v>
      </c>
      <c r="N3">
        <v>825</v>
      </c>
      <c r="O3">
        <v>1125</v>
      </c>
      <c r="P3">
        <v>836</v>
      </c>
      <c r="Q3">
        <v>1175</v>
      </c>
      <c r="R3">
        <v>725</v>
      </c>
      <c r="S3">
        <v>796</v>
      </c>
      <c r="T3">
        <v>896</v>
      </c>
      <c r="U3">
        <v>1178</v>
      </c>
      <c r="V3">
        <v>1505</v>
      </c>
      <c r="W3">
        <v>2126</v>
      </c>
      <c r="X3">
        <v>1963</v>
      </c>
      <c r="Y3">
        <v>1631</v>
      </c>
      <c r="Z3">
        <v>1761</v>
      </c>
      <c r="AA3">
        <v>1538</v>
      </c>
      <c r="AB3">
        <v>1556</v>
      </c>
      <c r="AC3">
        <v>118</v>
      </c>
      <c r="AD3">
        <v>1283</v>
      </c>
      <c r="AE3">
        <v>2057</v>
      </c>
      <c r="AF3">
        <v>2497</v>
      </c>
    </row>
    <row r="4" spans="1:32" x14ac:dyDescent="0.25">
      <c r="A4" s="3" t="s">
        <v>1702</v>
      </c>
      <c r="C4">
        <v>15</v>
      </c>
      <c r="D4">
        <v>19</v>
      </c>
      <c r="E4">
        <v>32</v>
      </c>
      <c r="F4">
        <v>69</v>
      </c>
      <c r="G4">
        <v>100</v>
      </c>
      <c r="H4">
        <v>143</v>
      </c>
      <c r="I4">
        <v>74</v>
      </c>
      <c r="J4">
        <v>74</v>
      </c>
      <c r="K4">
        <v>-49</v>
      </c>
      <c r="L4">
        <v>-116</v>
      </c>
      <c r="M4">
        <v>201</v>
      </c>
      <c r="N4">
        <v>202</v>
      </c>
      <c r="O4">
        <v>614</v>
      </c>
      <c r="P4">
        <v>251</v>
      </c>
      <c r="Q4">
        <v>310</v>
      </c>
      <c r="R4">
        <v>-60</v>
      </c>
      <c r="S4">
        <v>-697</v>
      </c>
      <c r="T4">
        <v>102</v>
      </c>
      <c r="U4">
        <v>607</v>
      </c>
      <c r="V4">
        <v>906</v>
      </c>
      <c r="W4">
        <v>1421</v>
      </c>
      <c r="X4">
        <v>1230</v>
      </c>
      <c r="Y4">
        <v>921</v>
      </c>
      <c r="Z4">
        <v>1004</v>
      </c>
      <c r="AA4">
        <v>698</v>
      </c>
      <c r="AB4">
        <v>289</v>
      </c>
      <c r="AC4">
        <v>-1596</v>
      </c>
      <c r="AD4">
        <v>292</v>
      </c>
      <c r="AE4">
        <v>794</v>
      </c>
      <c r="AF4">
        <v>1015</v>
      </c>
    </row>
    <row r="5" spans="1:32" x14ac:dyDescent="0.25">
      <c r="A5" s="3" t="s">
        <v>12</v>
      </c>
      <c r="K5">
        <v>2161</v>
      </c>
      <c r="L5">
        <v>3340</v>
      </c>
      <c r="M5">
        <v>3577</v>
      </c>
      <c r="N5">
        <v>4497</v>
      </c>
      <c r="O5">
        <f>5566+73</f>
        <v>5639</v>
      </c>
      <c r="P5">
        <f>6126+6</f>
        <v>6132</v>
      </c>
      <c r="Q5">
        <f>6283+14</f>
        <v>6297</v>
      </c>
      <c r="R5">
        <f>5115+16</f>
        <v>5131</v>
      </c>
      <c r="S5">
        <f>6298+32</f>
        <v>6330</v>
      </c>
      <c r="T5">
        <f>5082+48</f>
        <v>5130</v>
      </c>
      <c r="U5">
        <v>5946</v>
      </c>
      <c r="V5">
        <v>7285</v>
      </c>
      <c r="W5">
        <v>8928</v>
      </c>
      <c r="X5">
        <f>X2-X6</f>
        <v>8431</v>
      </c>
      <c r="Y5">
        <v>8465</v>
      </c>
      <c r="Z5">
        <v>10276</v>
      </c>
      <c r="AA5">
        <v>12764</v>
      </c>
      <c r="AB5">
        <v>13103</v>
      </c>
      <c r="AC5">
        <v>11331</v>
      </c>
      <c r="AD5">
        <v>11814</v>
      </c>
      <c r="AE5">
        <v>13598</v>
      </c>
      <c r="AF5">
        <v>15052</v>
      </c>
    </row>
    <row r="6" spans="1:32" x14ac:dyDescent="0.25">
      <c r="A6" s="3" t="s">
        <v>13</v>
      </c>
      <c r="K6">
        <v>115</v>
      </c>
      <c r="L6">
        <v>172</v>
      </c>
      <c r="M6">
        <v>214</v>
      </c>
      <c r="N6">
        <v>298</v>
      </c>
      <c r="O6">
        <v>396</v>
      </c>
      <c r="P6">
        <v>504</v>
      </c>
      <c r="Q6">
        <v>623</v>
      </c>
      <c r="R6">
        <v>705</v>
      </c>
      <c r="S6">
        <v>886</v>
      </c>
      <c r="T6">
        <v>954</v>
      </c>
      <c r="U6">
        <v>964</v>
      </c>
      <c r="V6">
        <v>1138</v>
      </c>
      <c r="W6">
        <v>1309</v>
      </c>
      <c r="X6">
        <v>1522</v>
      </c>
      <c r="Y6">
        <v>1669</v>
      </c>
      <c r="Z6">
        <v>1871</v>
      </c>
      <c r="AA6">
        <v>2055</v>
      </c>
      <c r="AB6">
        <v>2484</v>
      </c>
      <c r="AC6">
        <v>3155</v>
      </c>
      <c r="AD6">
        <v>3568</v>
      </c>
      <c r="AE6">
        <v>3697</v>
      </c>
      <c r="AF6">
        <v>3770</v>
      </c>
    </row>
    <row r="7" spans="1:32" x14ac:dyDescent="0.25">
      <c r="A7" s="3" t="s">
        <v>7</v>
      </c>
      <c r="N7">
        <v>5.5</v>
      </c>
      <c r="O7">
        <v>6.4</v>
      </c>
      <c r="P7">
        <v>3.2</v>
      </c>
      <c r="Q7">
        <v>8.6</v>
      </c>
      <c r="R7">
        <v>7.3</v>
      </c>
      <c r="S7">
        <v>3.8</v>
      </c>
      <c r="T7">
        <v>5.8</v>
      </c>
      <c r="U7">
        <v>5.8</v>
      </c>
      <c r="V7">
        <v>8.1999999999999993</v>
      </c>
      <c r="W7">
        <v>9.5</v>
      </c>
      <c r="X7">
        <v>8.9</v>
      </c>
      <c r="Y7">
        <v>10.6</v>
      </c>
      <c r="Z7">
        <v>13.8</v>
      </c>
      <c r="AA7">
        <v>12.7</v>
      </c>
      <c r="AB7">
        <v>11.6</v>
      </c>
      <c r="AC7">
        <v>11.9</v>
      </c>
      <c r="AD7">
        <v>18.5</v>
      </c>
      <c r="AE7">
        <v>19.2</v>
      </c>
      <c r="AF7">
        <v>17.399999999999999</v>
      </c>
    </row>
    <row r="8" spans="1:32" x14ac:dyDescent="0.25">
      <c r="A8" s="3" t="s">
        <v>10</v>
      </c>
      <c r="E8">
        <v>556</v>
      </c>
      <c r="F8">
        <v>1147</v>
      </c>
      <c r="G8">
        <v>1434</v>
      </c>
      <c r="H8">
        <v>2520</v>
      </c>
      <c r="I8">
        <v>2670</v>
      </c>
      <c r="J8">
        <v>2667</v>
      </c>
      <c r="K8">
        <v>2784</v>
      </c>
      <c r="L8">
        <v>3185</v>
      </c>
      <c r="M8">
        <v>4239</v>
      </c>
      <c r="N8">
        <v>5613</v>
      </c>
      <c r="O8">
        <v>6019</v>
      </c>
      <c r="P8">
        <v>3072</v>
      </c>
      <c r="Q8">
        <v>8673</v>
      </c>
      <c r="R8">
        <v>7397</v>
      </c>
      <c r="S8">
        <v>3738</v>
      </c>
      <c r="T8">
        <v>5964</v>
      </c>
      <c r="U8">
        <v>6544</v>
      </c>
      <c r="V8">
        <v>8943</v>
      </c>
      <c r="W8">
        <v>10494</v>
      </c>
      <c r="X8">
        <v>11237</v>
      </c>
      <c r="Y8">
        <v>14214</v>
      </c>
      <c r="Z8">
        <v>17877</v>
      </c>
      <c r="AA8">
        <v>17249</v>
      </c>
      <c r="AB8">
        <v>13896</v>
      </c>
      <c r="AC8">
        <v>11189</v>
      </c>
      <c r="AD8">
        <v>18286</v>
      </c>
      <c r="AE8">
        <v>16844</v>
      </c>
      <c r="AF8">
        <v>16292</v>
      </c>
    </row>
    <row r="9" spans="1:32" x14ac:dyDescent="0.25">
      <c r="A9" s="3" t="s">
        <v>0</v>
      </c>
      <c r="N9">
        <v>4.8</v>
      </c>
      <c r="O9">
        <v>5.2</v>
      </c>
      <c r="P9">
        <v>2.2000000000000002</v>
      </c>
      <c r="Q9">
        <v>7.7</v>
      </c>
      <c r="R9">
        <v>9.6</v>
      </c>
      <c r="S9">
        <v>7.1</v>
      </c>
      <c r="T9">
        <v>6.8</v>
      </c>
      <c r="U9">
        <v>6.7</v>
      </c>
      <c r="V9">
        <v>7.9</v>
      </c>
      <c r="W9">
        <v>8.5</v>
      </c>
      <c r="X9">
        <v>8.8000000000000007</v>
      </c>
      <c r="Y9">
        <v>11.9</v>
      </c>
      <c r="Z9">
        <v>16</v>
      </c>
      <c r="AA9">
        <v>19</v>
      </c>
      <c r="AB9">
        <v>18.100000000000001</v>
      </c>
      <c r="AC9">
        <v>19.100000000000001</v>
      </c>
      <c r="AD9">
        <v>26</v>
      </c>
      <c r="AE9">
        <v>31.6</v>
      </c>
      <c r="AF9">
        <v>33.200000000000003</v>
      </c>
    </row>
    <row r="10" spans="1:32" x14ac:dyDescent="0.25">
      <c r="A10" s="3" t="s">
        <v>1</v>
      </c>
      <c r="P10">
        <v>1.9</v>
      </c>
      <c r="Q10">
        <v>2.8</v>
      </c>
      <c r="R10">
        <v>3.9</v>
      </c>
      <c r="S10">
        <v>5.3</v>
      </c>
      <c r="T10">
        <v>6.7</v>
      </c>
      <c r="U10">
        <v>7</v>
      </c>
      <c r="V10">
        <v>8.9</v>
      </c>
      <c r="W10">
        <v>10.7</v>
      </c>
      <c r="X10">
        <v>12.1</v>
      </c>
      <c r="Y10">
        <v>14.3</v>
      </c>
      <c r="Z10">
        <v>17.8</v>
      </c>
      <c r="AA10">
        <v>23.9</v>
      </c>
      <c r="AB10">
        <v>27.8</v>
      </c>
      <c r="AC10">
        <v>30.4</v>
      </c>
      <c r="AD10">
        <v>34.1</v>
      </c>
      <c r="AE10">
        <v>36.799999999999997</v>
      </c>
      <c r="AF10">
        <v>38.700000000000003</v>
      </c>
    </row>
    <row r="11" spans="1:32" x14ac:dyDescent="0.25">
      <c r="A11" s="3" t="s">
        <v>1535</v>
      </c>
      <c r="X11">
        <v>11492</v>
      </c>
      <c r="Y11">
        <v>15646</v>
      </c>
      <c r="Z11">
        <v>20974</v>
      </c>
      <c r="AA11">
        <v>24630</v>
      </c>
      <c r="AB11">
        <v>21984</v>
      </c>
      <c r="AC11">
        <v>19623</v>
      </c>
      <c r="AD11">
        <v>25315</v>
      </c>
      <c r="AE11">
        <v>29241</v>
      </c>
      <c r="AF11">
        <v>31026</v>
      </c>
    </row>
    <row r="13" spans="1:32" x14ac:dyDescent="0.25">
      <c r="A13" t="s">
        <v>14</v>
      </c>
      <c r="N13" s="18">
        <f t="shared" ref="N13:O13" si="0">1000*N9/N8</f>
        <v>0.85515766969535012</v>
      </c>
      <c r="O13" s="18">
        <f t="shared" si="0"/>
        <v>0.86393088552915764</v>
      </c>
      <c r="P13" s="18">
        <f>1000*P9/P8</f>
        <v>0.71614583333333337</v>
      </c>
      <c r="Q13" s="18">
        <f t="shared" ref="Q13:AC13" si="1">1000*Q9/Q8</f>
        <v>0.88781275221953193</v>
      </c>
      <c r="R13" s="18">
        <f t="shared" si="1"/>
        <v>1.29782344193592</v>
      </c>
      <c r="S13" s="18">
        <f t="shared" si="1"/>
        <v>1.8994114499732477</v>
      </c>
      <c r="T13" s="18">
        <f t="shared" si="1"/>
        <v>1.1401743796109993</v>
      </c>
      <c r="U13" s="18">
        <f t="shared" si="1"/>
        <v>1.0238386308068459</v>
      </c>
      <c r="V13" s="18">
        <f t="shared" si="1"/>
        <v>0.88337247008833719</v>
      </c>
      <c r="W13" s="18">
        <f t="shared" si="1"/>
        <v>0.80998665904326284</v>
      </c>
      <c r="X13" s="18">
        <f t="shared" si="1"/>
        <v>0.78312716917326686</v>
      </c>
      <c r="Y13" s="18">
        <f t="shared" si="1"/>
        <v>0.83720275784437881</v>
      </c>
      <c r="Z13" s="18">
        <f t="shared" si="1"/>
        <v>0.89500475471275942</v>
      </c>
      <c r="AA13" s="18">
        <f t="shared" si="1"/>
        <v>1.1015131311960114</v>
      </c>
      <c r="AB13" s="18">
        <f t="shared" si="1"/>
        <v>1.3025331030512377</v>
      </c>
      <c r="AC13" s="18">
        <f t="shared" si="1"/>
        <v>1.707033693806417</v>
      </c>
      <c r="AD13" s="18">
        <f t="shared" ref="AD13:AF13" si="2">1000*AD9/AD8</f>
        <v>1.421852783550257</v>
      </c>
      <c r="AE13" s="18">
        <f t="shared" si="2"/>
        <v>1.8760389456186179</v>
      </c>
      <c r="AF13" s="18">
        <f t="shared" si="2"/>
        <v>2.0378099680824944</v>
      </c>
    </row>
    <row r="14" spans="1:32" x14ac:dyDescent="0.25">
      <c r="A14" t="s">
        <v>15</v>
      </c>
      <c r="P14" s="18">
        <f>1000*P10/P8</f>
        <v>0.61848958333333337</v>
      </c>
      <c r="Q14" s="18">
        <f t="shared" ref="Q14:AC14" si="3">1000*Q10/Q8</f>
        <v>0.32284100080710249</v>
      </c>
      <c r="R14" s="18">
        <f t="shared" si="3"/>
        <v>0.52724077328646746</v>
      </c>
      <c r="S14" s="18">
        <f t="shared" si="3"/>
        <v>1.4178705189941145</v>
      </c>
      <c r="T14" s="18">
        <f t="shared" si="3"/>
        <v>1.1234071093226023</v>
      </c>
      <c r="U14" s="18">
        <f t="shared" si="3"/>
        <v>1.0696821515892421</v>
      </c>
      <c r="V14" s="18">
        <f t="shared" si="3"/>
        <v>0.9951917700995192</v>
      </c>
      <c r="W14" s="18">
        <f t="shared" si="3"/>
        <v>1.0196302649132838</v>
      </c>
      <c r="X14" s="18">
        <f t="shared" si="3"/>
        <v>1.076799857613242</v>
      </c>
      <c r="Y14" s="18">
        <f t="shared" si="3"/>
        <v>1.0060503728718164</v>
      </c>
      <c r="Z14" s="18">
        <f t="shared" si="3"/>
        <v>0.99569278961794483</v>
      </c>
      <c r="AA14" s="18">
        <f t="shared" si="3"/>
        <v>1.38558757029393</v>
      </c>
      <c r="AB14" s="18">
        <f t="shared" si="3"/>
        <v>2.0005757052389175</v>
      </c>
      <c r="AC14" s="18">
        <f t="shared" si="3"/>
        <v>2.7169541513986952</v>
      </c>
      <c r="AD14" s="18">
        <f t="shared" ref="AD14:AF14" si="4">1000*AD10/AD8</f>
        <v>1.8648146122716833</v>
      </c>
      <c r="AE14" s="18">
        <f t="shared" si="4"/>
        <v>2.1847542151507957</v>
      </c>
      <c r="AF14" s="18">
        <f t="shared" si="4"/>
        <v>2.3753989688190522</v>
      </c>
    </row>
    <row r="15" spans="1:32" x14ac:dyDescent="0.25">
      <c r="A15" t="s">
        <v>1248</v>
      </c>
      <c r="F15">
        <v>653</v>
      </c>
      <c r="G15">
        <v>805</v>
      </c>
      <c r="H15">
        <v>1645</v>
      </c>
      <c r="I15">
        <v>1640</v>
      </c>
      <c r="J15">
        <v>1812</v>
      </c>
      <c r="L15">
        <v>3900</v>
      </c>
      <c r="M15">
        <v>4313</v>
      </c>
      <c r="N15" s="17">
        <v>4974</v>
      </c>
      <c r="O15" s="17">
        <v>6160</v>
      </c>
      <c r="P15" s="17">
        <v>6131</v>
      </c>
      <c r="Q15" s="17">
        <v>4057</v>
      </c>
      <c r="R15" s="17">
        <v>5054</v>
      </c>
      <c r="S15" s="17">
        <v>6171</v>
      </c>
      <c r="T15" s="17">
        <v>4513</v>
      </c>
      <c r="U15" s="17">
        <v>6125</v>
      </c>
      <c r="V15" s="17">
        <v>7948</v>
      </c>
      <c r="W15" s="17">
        <v>11237</v>
      </c>
      <c r="X15" s="17">
        <v>11237</v>
      </c>
      <c r="Y15" s="17">
        <v>10676</v>
      </c>
      <c r="Z15" s="17">
        <v>12618</v>
      </c>
      <c r="AA15" s="17">
        <v>17055</v>
      </c>
      <c r="AB15" s="17">
        <v>17845</v>
      </c>
      <c r="AC15" s="17">
        <v>13106</v>
      </c>
      <c r="AD15" s="17">
        <v>11666</v>
      </c>
      <c r="AE15" s="17">
        <v>13198</v>
      </c>
      <c r="AF15" s="17">
        <v>13374</v>
      </c>
    </row>
    <row r="16" spans="1:32" x14ac:dyDescent="0.25">
      <c r="A16" t="s">
        <v>1276</v>
      </c>
      <c r="F16">
        <v>843</v>
      </c>
      <c r="G16">
        <v>1014</v>
      </c>
      <c r="H16">
        <v>1970</v>
      </c>
      <c r="I16">
        <v>1453</v>
      </c>
      <c r="J16">
        <v>1369</v>
      </c>
      <c r="M16">
        <v>2553</v>
      </c>
      <c r="N16" s="17">
        <v>2752</v>
      </c>
      <c r="O16" s="17">
        <v>3250</v>
      </c>
      <c r="P16" s="17">
        <v>3320</v>
      </c>
      <c r="Q16" s="17">
        <v>2025</v>
      </c>
      <c r="R16" s="17">
        <v>2571</v>
      </c>
      <c r="S16" s="17">
        <v>2765</v>
      </c>
      <c r="T16" s="17">
        <v>2025</v>
      </c>
      <c r="U16" s="17">
        <v>2527</v>
      </c>
      <c r="V16" s="17">
        <v>3330</v>
      </c>
      <c r="W16" s="17">
        <v>4264</v>
      </c>
      <c r="X16" s="17">
        <v>4241</v>
      </c>
      <c r="Y16" s="17">
        <v>3729</v>
      </c>
      <c r="Z16" s="17">
        <v>4185</v>
      </c>
      <c r="AA16" s="17">
        <v>5239</v>
      </c>
      <c r="AB16" s="17">
        <v>4456</v>
      </c>
      <c r="AC16" s="17">
        <v>3126</v>
      </c>
      <c r="AD16" s="17">
        <v>2554</v>
      </c>
      <c r="AE16" s="17">
        <v>2837</v>
      </c>
      <c r="AF16" s="17">
        <v>2737</v>
      </c>
    </row>
    <row r="17" spans="1:32" x14ac:dyDescent="0.25">
      <c r="A17" t="s">
        <v>1810</v>
      </c>
      <c r="N17" s="17"/>
      <c r="O17" s="17"/>
      <c r="P17" s="17"/>
      <c r="Q17" s="17"/>
      <c r="R17" s="17"/>
      <c r="S17" s="17"/>
      <c r="T17" s="17"/>
      <c r="U17" s="17"/>
      <c r="V17" s="17"/>
      <c r="W17" s="17"/>
      <c r="X17" s="17"/>
      <c r="Y17" s="17"/>
      <c r="Z17" s="17">
        <v>12884</v>
      </c>
      <c r="AA17" s="17">
        <v>17212</v>
      </c>
      <c r="AB17" s="17">
        <v>16594</v>
      </c>
      <c r="AC17" s="17">
        <v>13328</v>
      </c>
      <c r="AD17" s="17">
        <v>12685</v>
      </c>
      <c r="AE17" s="17">
        <v>12900</v>
      </c>
      <c r="AF17" s="17">
        <v>14537</v>
      </c>
    </row>
    <row r="18" spans="1:32" x14ac:dyDescent="0.25">
      <c r="N18" s="17"/>
      <c r="O18" s="17"/>
      <c r="P18" s="17"/>
      <c r="Q18" s="17"/>
      <c r="R18" s="17"/>
      <c r="S18" s="17"/>
      <c r="T18" s="17"/>
      <c r="U18" s="17"/>
      <c r="V18" s="17"/>
      <c r="W18" s="17"/>
      <c r="X18" s="17"/>
      <c r="Y18" s="17"/>
      <c r="Z18" s="17"/>
      <c r="AA18" s="17"/>
      <c r="AB18" s="17"/>
      <c r="AC18" s="17"/>
      <c r="AD18" s="17"/>
    </row>
    <row r="19" spans="1:32" x14ac:dyDescent="0.25">
      <c r="A19" s="3" t="s">
        <v>4</v>
      </c>
    </row>
    <row r="20" spans="1:32" x14ac:dyDescent="0.25">
      <c r="A20" t="s">
        <v>11</v>
      </c>
      <c r="L20">
        <v>6338</v>
      </c>
      <c r="O20" s="17">
        <v>11166</v>
      </c>
      <c r="P20" s="17"/>
      <c r="Q20" s="17"/>
      <c r="R20" s="17">
        <v>11000</v>
      </c>
      <c r="S20" s="17">
        <v>7528</v>
      </c>
      <c r="T20" s="17">
        <v>6430</v>
      </c>
      <c r="U20" s="17">
        <v>10092</v>
      </c>
      <c r="V20" s="17">
        <v>10282</v>
      </c>
      <c r="W20" s="17">
        <v>10112</v>
      </c>
    </row>
    <row r="21" spans="1:32" x14ac:dyDescent="0.25">
      <c r="A21" t="s">
        <v>5</v>
      </c>
      <c r="L21">
        <v>3341</v>
      </c>
      <c r="O21" s="17">
        <v>7143</v>
      </c>
      <c r="P21" s="17"/>
      <c r="Q21" s="17"/>
      <c r="R21" s="17">
        <v>7681</v>
      </c>
      <c r="S21" s="17">
        <v>6187</v>
      </c>
      <c r="T21" s="17">
        <v>5869</v>
      </c>
      <c r="U21" s="17">
        <v>6214</v>
      </c>
      <c r="V21" s="17">
        <v>7682</v>
      </c>
      <c r="W21" s="17">
        <v>8956</v>
      </c>
    </row>
    <row r="22" spans="1:32" x14ac:dyDescent="0.25">
      <c r="A22" t="s">
        <v>1703</v>
      </c>
      <c r="O22" s="17">
        <v>1345</v>
      </c>
      <c r="P22" s="17"/>
      <c r="Q22" s="17"/>
      <c r="R22" s="17">
        <v>2037</v>
      </c>
      <c r="S22" s="17">
        <v>2142</v>
      </c>
      <c r="T22" s="17">
        <v>1797</v>
      </c>
      <c r="U22" s="17">
        <v>1265</v>
      </c>
      <c r="V22" s="17">
        <v>1292</v>
      </c>
      <c r="W22" s="17">
        <v>1414</v>
      </c>
    </row>
    <row r="23" spans="1:32" x14ac:dyDescent="0.25">
      <c r="A23" t="s">
        <v>6</v>
      </c>
      <c r="L23">
        <v>939</v>
      </c>
      <c r="O23" s="17">
        <v>1175</v>
      </c>
      <c r="P23" s="17"/>
      <c r="Q23" s="17"/>
      <c r="R23" s="17">
        <v>2003</v>
      </c>
      <c r="S23" s="17">
        <v>1921</v>
      </c>
      <c r="T23" s="17">
        <v>1401</v>
      </c>
      <c r="U23" s="17">
        <v>2098</v>
      </c>
      <c r="V23" s="17">
        <v>1251</v>
      </c>
      <c r="W23" s="17">
        <v>1342</v>
      </c>
    </row>
    <row r="24" spans="1:32" x14ac:dyDescent="0.25">
      <c r="O24" s="17"/>
      <c r="P24" s="17"/>
      <c r="Q24" s="17"/>
      <c r="R24" s="17"/>
      <c r="S24" s="17"/>
      <c r="T24" s="17"/>
      <c r="U24" s="17"/>
      <c r="V24" s="17"/>
      <c r="W24" s="17"/>
    </row>
    <row r="25" spans="1:32" x14ac:dyDescent="0.25">
      <c r="A25" s="3" t="s">
        <v>856</v>
      </c>
      <c r="O25" s="17"/>
      <c r="P25" s="17"/>
      <c r="Q25" s="17"/>
      <c r="R25" s="17"/>
      <c r="S25" s="17"/>
      <c r="T25" s="17"/>
      <c r="U25" s="17"/>
      <c r="V25" s="17"/>
      <c r="W25" s="17"/>
    </row>
    <row r="26" spans="1:32" x14ac:dyDescent="0.25">
      <c r="A26" t="s">
        <v>857</v>
      </c>
      <c r="I26">
        <v>61113</v>
      </c>
      <c r="J26">
        <v>66093</v>
      </c>
      <c r="K26">
        <v>90732</v>
      </c>
      <c r="L26">
        <v>143170</v>
      </c>
      <c r="M26">
        <v>164413</v>
      </c>
      <c r="N26">
        <v>170505</v>
      </c>
      <c r="O26" s="17">
        <v>187478</v>
      </c>
      <c r="P26" s="17">
        <v>202624</v>
      </c>
      <c r="Q26" s="17">
        <v>171000</v>
      </c>
      <c r="R26" s="17">
        <v>212000</v>
      </c>
      <c r="S26" s="17">
        <v>192000</v>
      </c>
      <c r="T26" s="17">
        <v>119000</v>
      </c>
      <c r="U26" s="17"/>
      <c r="V26" s="17"/>
      <c r="W26" s="17"/>
    </row>
    <row r="27" spans="1:32" x14ac:dyDescent="0.25">
      <c r="A27" t="s">
        <v>858</v>
      </c>
      <c r="I27">
        <v>15428</v>
      </c>
      <c r="J27">
        <v>15731</v>
      </c>
      <c r="K27">
        <v>20080</v>
      </c>
      <c r="L27">
        <v>82592</v>
      </c>
      <c r="M27">
        <v>93983</v>
      </c>
      <c r="N27">
        <v>111541</v>
      </c>
      <c r="O27" s="17">
        <v>129207</v>
      </c>
      <c r="P27" s="17">
        <v>126600</v>
      </c>
      <c r="Q27" s="17">
        <v>107000</v>
      </c>
      <c r="R27" s="17">
        <v>105000</v>
      </c>
      <c r="S27" s="17">
        <v>121000</v>
      </c>
      <c r="T27" s="17">
        <v>91000</v>
      </c>
      <c r="U27" s="17"/>
      <c r="V27" s="17"/>
      <c r="W27" s="17"/>
    </row>
    <row r="28" spans="1:32" x14ac:dyDescent="0.25">
      <c r="A28" t="s">
        <v>1811</v>
      </c>
      <c r="O28" s="17"/>
      <c r="P28" s="17"/>
      <c r="Q28" s="17"/>
      <c r="R28" s="17"/>
      <c r="S28" s="17"/>
      <c r="T28" s="17"/>
      <c r="U28" s="17"/>
      <c r="V28" s="17"/>
      <c r="W28" s="17"/>
      <c r="Z28">
        <v>85</v>
      </c>
      <c r="AA28">
        <v>89</v>
      </c>
      <c r="AB28">
        <v>70</v>
      </c>
      <c r="AC28">
        <v>47</v>
      </c>
      <c r="AD28">
        <v>44</v>
      </c>
      <c r="AE28">
        <v>44</v>
      </c>
      <c r="AF28">
        <v>54</v>
      </c>
    </row>
    <row r="29" spans="1:32" x14ac:dyDescent="0.25">
      <c r="A29" t="s">
        <v>1812</v>
      </c>
      <c r="O29" s="17"/>
      <c r="P29" s="17"/>
      <c r="Q29" s="17"/>
      <c r="R29" s="17"/>
      <c r="S29" s="17"/>
      <c r="T29" s="17"/>
      <c r="U29" s="17"/>
      <c r="V29" s="17"/>
      <c r="W29" s="17"/>
      <c r="Z29">
        <v>43</v>
      </c>
      <c r="AA29">
        <v>46</v>
      </c>
      <c r="AB29">
        <v>35</v>
      </c>
      <c r="AC29">
        <v>26</v>
      </c>
      <c r="AD29">
        <v>30</v>
      </c>
      <c r="AE29">
        <v>30</v>
      </c>
      <c r="AF29">
        <f>0.69*AF28</f>
        <v>37.26</v>
      </c>
    </row>
    <row r="30" spans="1:32" x14ac:dyDescent="0.25">
      <c r="A30" t="s">
        <v>1813</v>
      </c>
      <c r="O30" s="17"/>
      <c r="P30" s="17"/>
      <c r="Q30" s="17"/>
      <c r="R30" s="17"/>
      <c r="S30" s="17"/>
      <c r="T30" s="17"/>
      <c r="U30" s="17"/>
      <c r="V30" s="17"/>
      <c r="W30" s="17"/>
      <c r="Z30">
        <v>3.3</v>
      </c>
      <c r="AA30">
        <v>2.5</v>
      </c>
      <c r="AB30">
        <v>2</v>
      </c>
      <c r="AC30">
        <v>1.6</v>
      </c>
      <c r="AD30">
        <v>1.2</v>
      </c>
      <c r="AE30">
        <v>1</v>
      </c>
      <c r="AF30">
        <v>1.3</v>
      </c>
    </row>
    <row r="31" spans="1:32" x14ac:dyDescent="0.25">
      <c r="A31" t="s">
        <v>1975</v>
      </c>
      <c r="O31" s="17"/>
      <c r="P31" s="17"/>
      <c r="Q31" s="17"/>
      <c r="R31" s="17"/>
      <c r="S31" s="17"/>
      <c r="T31" s="17"/>
      <c r="U31" s="17"/>
      <c r="V31" s="17"/>
      <c r="W31" s="17"/>
      <c r="AA31">
        <v>621</v>
      </c>
      <c r="AB31">
        <v>738</v>
      </c>
      <c r="AC31">
        <v>641</v>
      </c>
      <c r="AD31">
        <v>658</v>
      </c>
      <c r="AE31">
        <v>640</v>
      </c>
      <c r="AF31">
        <v>677</v>
      </c>
    </row>
    <row r="33" spans="1:32" x14ac:dyDescent="0.25">
      <c r="A33" s="3" t="s">
        <v>8</v>
      </c>
      <c r="C33">
        <v>1108</v>
      </c>
      <c r="D33">
        <v>1206</v>
      </c>
      <c r="E33">
        <v>1477</v>
      </c>
      <c r="F33">
        <v>2261</v>
      </c>
      <c r="G33">
        <v>3282</v>
      </c>
      <c r="H33">
        <v>4582</v>
      </c>
      <c r="I33">
        <v>5974</v>
      </c>
      <c r="J33">
        <v>6394</v>
      </c>
      <c r="K33">
        <v>9449</v>
      </c>
      <c r="L33">
        <v>10300</v>
      </c>
      <c r="M33">
        <v>11334</v>
      </c>
      <c r="N33">
        <v>13820</v>
      </c>
      <c r="O33" s="17">
        <v>17924</v>
      </c>
      <c r="P33" s="17">
        <v>20832</v>
      </c>
      <c r="Q33" s="17">
        <v>22216</v>
      </c>
      <c r="R33" s="17">
        <v>22926</v>
      </c>
      <c r="S33" s="17">
        <v>21033</v>
      </c>
      <c r="T33" s="17">
        <v>17051</v>
      </c>
      <c r="U33" s="17">
        <v>17905</v>
      </c>
      <c r="V33" s="17">
        <v>18986</v>
      </c>
      <c r="W33" s="17">
        <v>21625</v>
      </c>
      <c r="X33" s="17">
        <v>22504</v>
      </c>
      <c r="Y33" s="17">
        <v>24221</v>
      </c>
      <c r="Z33" s="17">
        <v>24964</v>
      </c>
      <c r="AA33" s="17">
        <v>26121</v>
      </c>
      <c r="AB33" s="17">
        <v>29164</v>
      </c>
      <c r="AC33" s="17">
        <v>28779</v>
      </c>
      <c r="AD33" s="17">
        <v>29463</v>
      </c>
      <c r="AE33" s="17">
        <v>32729</v>
      </c>
    </row>
    <row r="34" spans="1:32" x14ac:dyDescent="0.25">
      <c r="A34" t="s">
        <v>9</v>
      </c>
      <c r="E34">
        <v>1813</v>
      </c>
      <c r="F34">
        <v>2626</v>
      </c>
      <c r="G34">
        <v>3852</v>
      </c>
      <c r="H34">
        <v>5240</v>
      </c>
      <c r="I34">
        <v>5999</v>
      </c>
      <c r="J34">
        <v>6525</v>
      </c>
      <c r="K34">
        <v>9594</v>
      </c>
      <c r="L34">
        <v>10618</v>
      </c>
      <c r="M34">
        <v>12309</v>
      </c>
      <c r="N34">
        <v>15305</v>
      </c>
      <c r="O34" s="17">
        <v>20829</v>
      </c>
      <c r="P34" s="17">
        <v>20730</v>
      </c>
      <c r="Q34" s="17">
        <v>23252</v>
      </c>
      <c r="R34" s="17">
        <v>22721</v>
      </c>
      <c r="S34" s="17">
        <v>17778</v>
      </c>
      <c r="T34" s="17">
        <v>15497</v>
      </c>
      <c r="U34" s="17">
        <v>19669</v>
      </c>
      <c r="V34" s="17">
        <v>20507</v>
      </c>
      <c r="W34" s="17">
        <v>21824</v>
      </c>
      <c r="X34" s="17">
        <v>23303</v>
      </c>
      <c r="Y34" s="17">
        <v>24648</v>
      </c>
      <c r="Z34" s="17">
        <v>25542</v>
      </c>
      <c r="AA34" s="17">
        <v>29378</v>
      </c>
      <c r="AB34" s="17">
        <v>29427</v>
      </c>
      <c r="AC34" s="17">
        <v>28438</v>
      </c>
      <c r="AD34" s="17">
        <v>30586</v>
      </c>
      <c r="AE34" s="17">
        <v>35100</v>
      </c>
      <c r="AF34" s="17">
        <v>36973</v>
      </c>
    </row>
    <row r="36" spans="1:32" x14ac:dyDescent="0.25">
      <c r="A36" t="s">
        <v>553</v>
      </c>
      <c r="O36">
        <v>100</v>
      </c>
      <c r="P36">
        <f t="shared" ref="P36:AB36" si="5">P5/$O5*100</f>
        <v>108.74268487320447</v>
      </c>
      <c r="Q36">
        <f t="shared" si="5"/>
        <v>111.66873559141692</v>
      </c>
      <c r="R36">
        <f t="shared" si="5"/>
        <v>90.991310516048941</v>
      </c>
      <c r="S36">
        <f t="shared" si="5"/>
        <v>112.2539457350594</v>
      </c>
      <c r="T36">
        <f t="shared" si="5"/>
        <v>90.973576875332512</v>
      </c>
      <c r="U36">
        <f t="shared" si="5"/>
        <v>105.44422769994679</v>
      </c>
      <c r="V36">
        <f t="shared" si="5"/>
        <v>129.18957261925874</v>
      </c>
      <c r="W36">
        <f t="shared" si="5"/>
        <v>158.32594431636815</v>
      </c>
      <c r="X36">
        <f t="shared" si="5"/>
        <v>149.51232488029794</v>
      </c>
      <c r="Y36">
        <f t="shared" si="5"/>
        <v>150.11526866465687</v>
      </c>
      <c r="Z36">
        <f t="shared" si="5"/>
        <v>182.23089200212803</v>
      </c>
      <c r="AA36">
        <f t="shared" si="5"/>
        <v>226.35219010462845</v>
      </c>
      <c r="AB36">
        <f t="shared" si="5"/>
        <v>232.36389430750134</v>
      </c>
      <c r="AC36">
        <f t="shared" ref="AC36:AD36" si="6">AC5/$O5*100</f>
        <v>200.93988295797124</v>
      </c>
      <c r="AD36">
        <f t="shared" si="6"/>
        <v>209.50523142401133</v>
      </c>
      <c r="AE36">
        <f t="shared" ref="AE36:AF36" si="7">AE5/$O5*100</f>
        <v>241.14204646213869</v>
      </c>
      <c r="AF36">
        <f t="shared" si="7"/>
        <v>266.92676006384113</v>
      </c>
    </row>
    <row r="37" spans="1:32" x14ac:dyDescent="0.25">
      <c r="A37" t="s">
        <v>554</v>
      </c>
      <c r="O37">
        <v>100</v>
      </c>
      <c r="P37">
        <f t="shared" ref="P37:AB37" si="8">P6/$O6*100</f>
        <v>127.27272727272727</v>
      </c>
      <c r="Q37">
        <f t="shared" si="8"/>
        <v>157.32323232323233</v>
      </c>
      <c r="R37">
        <f t="shared" si="8"/>
        <v>178.03030303030303</v>
      </c>
      <c r="S37">
        <f t="shared" si="8"/>
        <v>223.73737373737376</v>
      </c>
      <c r="T37">
        <f t="shared" si="8"/>
        <v>240.90909090909091</v>
      </c>
      <c r="U37">
        <f t="shared" si="8"/>
        <v>243.43434343434342</v>
      </c>
      <c r="V37">
        <f t="shared" si="8"/>
        <v>287.37373737373736</v>
      </c>
      <c r="W37">
        <f t="shared" si="8"/>
        <v>330.55555555555554</v>
      </c>
      <c r="X37">
        <f t="shared" si="8"/>
        <v>384.34343434343435</v>
      </c>
      <c r="Y37">
        <f t="shared" si="8"/>
        <v>421.46464646464648</v>
      </c>
      <c r="Z37">
        <f t="shared" si="8"/>
        <v>472.47474747474752</v>
      </c>
      <c r="AA37">
        <f t="shared" si="8"/>
        <v>518.93939393939399</v>
      </c>
      <c r="AB37">
        <f t="shared" si="8"/>
        <v>627.27272727272725</v>
      </c>
      <c r="AC37">
        <f t="shared" ref="AC37:AD37" si="9">AC6/$O6*100</f>
        <v>796.71717171717171</v>
      </c>
      <c r="AD37">
        <f t="shared" si="9"/>
        <v>901.01010101010104</v>
      </c>
      <c r="AE37">
        <f t="shared" ref="AE37:AF37" si="10">AE6/$O6*100</f>
        <v>933.58585858585866</v>
      </c>
      <c r="AF37">
        <f t="shared" si="10"/>
        <v>952.02020202020208</v>
      </c>
    </row>
    <row r="39" spans="1:32" x14ac:dyDescent="0.25">
      <c r="A39" t="s">
        <v>596</v>
      </c>
      <c r="N39" s="33">
        <f>1000*N7/N8</f>
        <v>0.97986816319258863</v>
      </c>
      <c r="O39" s="33">
        <f>1000*O7/O8</f>
        <v>1.0632995514205017</v>
      </c>
      <c r="P39" s="33">
        <f t="shared" ref="P39:AD39" si="11">1000*P7/P8</f>
        <v>1.0416666666666667</v>
      </c>
      <c r="Q39" s="33">
        <f t="shared" si="11"/>
        <v>0.99158307390752909</v>
      </c>
      <c r="R39" s="33">
        <f t="shared" si="11"/>
        <v>0.98688657563877247</v>
      </c>
      <c r="S39" s="33">
        <f t="shared" si="11"/>
        <v>1.0165864098448367</v>
      </c>
      <c r="T39" s="33">
        <f t="shared" si="11"/>
        <v>0.97250167672702881</v>
      </c>
      <c r="U39" s="33">
        <f t="shared" si="11"/>
        <v>0.88630806845965771</v>
      </c>
      <c r="V39" s="33">
        <f t="shared" si="11"/>
        <v>0.91691826009169186</v>
      </c>
      <c r="W39" s="33">
        <f t="shared" si="11"/>
        <v>0.90527920716599963</v>
      </c>
      <c r="X39" s="33">
        <f t="shared" si="11"/>
        <v>0.79202634155023588</v>
      </c>
      <c r="Y39" s="33">
        <f t="shared" si="11"/>
        <v>0.74574363303784996</v>
      </c>
      <c r="Z39" s="33">
        <f t="shared" si="11"/>
        <v>0.77194160093975495</v>
      </c>
      <c r="AA39" s="33">
        <f t="shared" si="11"/>
        <v>0.73627456664154445</v>
      </c>
      <c r="AB39" s="33">
        <f t="shared" si="11"/>
        <v>0.83477259643062751</v>
      </c>
      <c r="AC39" s="33">
        <f t="shared" si="11"/>
        <v>1.0635445526856735</v>
      </c>
      <c r="AD39" s="33">
        <f t="shared" si="11"/>
        <v>1.0117029421415291</v>
      </c>
      <c r="AE39" s="33">
        <f t="shared" ref="AE39:AF39" si="12">1000*AE7/AE8</f>
        <v>1.139871764426502</v>
      </c>
      <c r="AF39" s="33">
        <f t="shared" si="12"/>
        <v>1.0680088386938376</v>
      </c>
    </row>
    <row r="40" spans="1:32" x14ac:dyDescent="0.25">
      <c r="A40" t="s">
        <v>597</v>
      </c>
      <c r="O40" s="34">
        <f t="shared" ref="O40:AD40" si="13">O39/$O$39</f>
        <v>1</v>
      </c>
      <c r="P40" s="34">
        <f t="shared" si="13"/>
        <v>0.97965494791666674</v>
      </c>
      <c r="Q40" s="34">
        <f t="shared" si="13"/>
        <v>0.93255289403897157</v>
      </c>
      <c r="R40" s="34">
        <f t="shared" si="13"/>
        <v>0.92813598418277687</v>
      </c>
      <c r="S40" s="34">
        <f t="shared" si="13"/>
        <v>0.95606775013376133</v>
      </c>
      <c r="T40" s="34">
        <f t="shared" si="13"/>
        <v>0.91460743628437291</v>
      </c>
      <c r="U40" s="34">
        <f t="shared" si="13"/>
        <v>0.83354504125916873</v>
      </c>
      <c r="V40" s="34">
        <f t="shared" si="13"/>
        <v>0.86233296992060837</v>
      </c>
      <c r="W40" s="34">
        <f t="shared" si="13"/>
        <v>0.85138680436439873</v>
      </c>
      <c r="X40" s="34">
        <f t="shared" si="13"/>
        <v>0.7448760234048234</v>
      </c>
      <c r="Y40" s="34">
        <f t="shared" si="13"/>
        <v>0.70134858238356546</v>
      </c>
      <c r="Z40" s="34">
        <f t="shared" si="13"/>
        <v>0.72598695250881018</v>
      </c>
      <c r="AA40" s="34">
        <f t="shared" si="13"/>
        <v>0.69244322134616498</v>
      </c>
      <c r="AB40" s="34">
        <f t="shared" si="13"/>
        <v>0.78507754029936672</v>
      </c>
      <c r="AC40" s="34">
        <f t="shared" si="13"/>
        <v>1.0002304160336046</v>
      </c>
      <c r="AD40" s="34">
        <f t="shared" si="13"/>
        <v>0.95147500136716623</v>
      </c>
      <c r="AE40" s="34">
        <f t="shared" ref="AE40:AF40" si="14">AE39/$O$39</f>
        <v>1.0720137734504869</v>
      </c>
      <c r="AF40" s="34">
        <f t="shared" si="14"/>
        <v>1.004428937515345</v>
      </c>
    </row>
    <row r="42" spans="1:32" x14ac:dyDescent="0.25">
      <c r="A42" t="s">
        <v>1490</v>
      </c>
      <c r="W42" s="18">
        <f>'OI 2016'!E125</f>
        <v>5.636651285431773</v>
      </c>
      <c r="X42" s="18">
        <f>'OI 2017'!E155</f>
        <v>2.3568754761983635</v>
      </c>
      <c r="Y42" s="18">
        <f>'OI 2018'!E155</f>
        <v>10.306983167245175</v>
      </c>
      <c r="Z42" s="18">
        <f>'OI 2019'!E156</f>
        <v>12.122226672006407</v>
      </c>
      <c r="AA42" s="18">
        <f>'OI 2020'!E187</f>
        <v>14.699831905867285</v>
      </c>
      <c r="AB42" s="18">
        <f>'OI 2021'!E189</f>
        <v>5.3373272884283249</v>
      </c>
    </row>
    <row r="45" spans="1:32" x14ac:dyDescent="0.25">
      <c r="A45" s="13"/>
      <c r="B45" s="14"/>
      <c r="C45" s="14" t="s">
        <v>652</v>
      </c>
      <c r="D45" s="14" t="s">
        <v>653</v>
      </c>
      <c r="E45" s="15" t="s">
        <v>654</v>
      </c>
      <c r="F45" s="14"/>
      <c r="G45" s="14"/>
      <c r="H45" s="14"/>
      <c r="Q45" s="1"/>
    </row>
    <row r="46" spans="1:32" x14ac:dyDescent="0.25">
      <c r="A46" s="8" t="s">
        <v>655</v>
      </c>
      <c r="C46">
        <v>17.399999999999999</v>
      </c>
      <c r="D46">
        <v>5.8</v>
      </c>
      <c r="E46" s="9">
        <v>2.83</v>
      </c>
      <c r="Q46" s="1"/>
    </row>
    <row r="47" spans="1:32" x14ac:dyDescent="0.25">
      <c r="A47" s="8" t="s">
        <v>656</v>
      </c>
      <c r="C47">
        <v>17.8</v>
      </c>
      <c r="D47">
        <v>15.6</v>
      </c>
      <c r="E47" s="9">
        <v>15.28</v>
      </c>
      <c r="Q47" s="1"/>
    </row>
    <row r="48" spans="1:32" x14ac:dyDescent="0.25">
      <c r="A48" s="8" t="s">
        <v>657</v>
      </c>
      <c r="C48">
        <v>14.1</v>
      </c>
      <c r="D48">
        <v>14.9</v>
      </c>
      <c r="E48" s="9">
        <v>15.01</v>
      </c>
      <c r="Q48" s="1"/>
    </row>
    <row r="49" spans="1:18" x14ac:dyDescent="0.25">
      <c r="A49" s="8" t="s">
        <v>658</v>
      </c>
      <c r="C49">
        <v>19.100000000000001</v>
      </c>
      <c r="D49">
        <v>15.2</v>
      </c>
      <c r="E49" s="9">
        <v>14.72</v>
      </c>
      <c r="Q49" s="1"/>
    </row>
    <row r="50" spans="1:18" x14ac:dyDescent="0.25">
      <c r="A50" s="8" t="s">
        <v>659</v>
      </c>
      <c r="C50">
        <v>19.2</v>
      </c>
      <c r="D50">
        <v>11.2</v>
      </c>
      <c r="E50" s="9">
        <v>10.58</v>
      </c>
      <c r="Q50" s="1"/>
    </row>
    <row r="51" spans="1:18" x14ac:dyDescent="0.25">
      <c r="A51" s="8" t="s">
        <v>660</v>
      </c>
      <c r="C51">
        <v>19.399999999999999</v>
      </c>
      <c r="D51">
        <v>12.6</v>
      </c>
      <c r="E51" s="9">
        <v>11.28</v>
      </c>
      <c r="Q51" s="1"/>
    </row>
    <row r="52" spans="1:18" x14ac:dyDescent="0.25">
      <c r="A52" s="8" t="s">
        <v>661</v>
      </c>
      <c r="C52">
        <v>17.899999999999999</v>
      </c>
      <c r="D52">
        <v>12.9</v>
      </c>
      <c r="E52" s="9">
        <v>12.17</v>
      </c>
      <c r="Q52" s="1"/>
    </row>
    <row r="53" spans="1:18" x14ac:dyDescent="0.25">
      <c r="A53" s="8" t="s">
        <v>662</v>
      </c>
      <c r="C53">
        <v>23.4</v>
      </c>
      <c r="D53">
        <v>12.3</v>
      </c>
      <c r="E53" s="9">
        <v>10.65</v>
      </c>
      <c r="Q53" s="1"/>
    </row>
    <row r="54" spans="1:18" x14ac:dyDescent="0.25">
      <c r="A54" s="8" t="s">
        <v>663</v>
      </c>
      <c r="C54">
        <v>26.8</v>
      </c>
      <c r="D54">
        <v>7.4</v>
      </c>
      <c r="E54" s="9">
        <v>2.1</v>
      </c>
      <c r="Q54" s="1"/>
    </row>
    <row r="55" spans="1:18" x14ac:dyDescent="0.25">
      <c r="A55" s="8" t="s">
        <v>664</v>
      </c>
      <c r="C55">
        <v>25.2</v>
      </c>
      <c r="D55">
        <v>11.5</v>
      </c>
      <c r="E55" s="9">
        <v>8.39</v>
      </c>
      <c r="Q55" s="1"/>
    </row>
    <row r="56" spans="1:18" x14ac:dyDescent="0.25">
      <c r="A56" s="10" t="s">
        <v>665</v>
      </c>
      <c r="B56" s="11"/>
      <c r="C56" s="11">
        <v>24.4</v>
      </c>
      <c r="D56" s="11">
        <v>8.4</v>
      </c>
      <c r="E56" s="12">
        <v>5.67</v>
      </c>
      <c r="F56" s="11"/>
      <c r="G56" s="11"/>
      <c r="H56" s="11"/>
      <c r="Q56" s="1"/>
    </row>
    <row r="58" spans="1:18" x14ac:dyDescent="0.25">
      <c r="A58" s="13"/>
      <c r="B58" s="14"/>
      <c r="C58" s="14" t="s">
        <v>1</v>
      </c>
      <c r="D58" s="14" t="s">
        <v>0</v>
      </c>
      <c r="E58" s="15"/>
      <c r="F58" s="14"/>
      <c r="G58" s="14"/>
      <c r="H58" s="14"/>
    </row>
    <row r="59" spans="1:18" x14ac:dyDescent="0.25">
      <c r="A59" s="8"/>
      <c r="E59" s="9"/>
    </row>
    <row r="60" spans="1:18" x14ac:dyDescent="0.25">
      <c r="A60" s="8">
        <v>2009</v>
      </c>
      <c r="C60">
        <f>P10</f>
        <v>1.9</v>
      </c>
      <c r="D60">
        <f>P9</f>
        <v>2.2000000000000002</v>
      </c>
      <c r="E60" s="9"/>
      <c r="M60" t="s">
        <v>1168</v>
      </c>
      <c r="O60" t="s">
        <v>2068</v>
      </c>
    </row>
    <row r="61" spans="1:18" x14ac:dyDescent="0.25">
      <c r="A61" s="8">
        <v>2010</v>
      </c>
      <c r="C61">
        <f>Q10</f>
        <v>2.8</v>
      </c>
      <c r="D61">
        <f>Q9</f>
        <v>7.7</v>
      </c>
      <c r="E61" s="9"/>
      <c r="N61" s="3" t="s">
        <v>1169</v>
      </c>
      <c r="O61" s="3" t="s">
        <v>1170</v>
      </c>
      <c r="P61" s="3" t="s">
        <v>1171</v>
      </c>
      <c r="Q61" s="3" t="s">
        <v>1172</v>
      </c>
      <c r="R61" s="3" t="s">
        <v>400</v>
      </c>
    </row>
    <row r="62" spans="1:18" x14ac:dyDescent="0.25">
      <c r="A62" s="8">
        <v>2011</v>
      </c>
      <c r="C62">
        <f>R10</f>
        <v>3.9</v>
      </c>
      <c r="D62">
        <f>R9</f>
        <v>9.6</v>
      </c>
      <c r="E62" s="9"/>
      <c r="M62" s="3">
        <v>2025</v>
      </c>
      <c r="N62">
        <f>'OI 2025'!A16</f>
        <v>2398</v>
      </c>
      <c r="O62">
        <f>'OI 2025'!A32</f>
        <v>1112</v>
      </c>
      <c r="P62">
        <f>'OI 2025'!A66</f>
        <v>4003</v>
      </c>
      <c r="Q62">
        <f>'OI 2025'!A108</f>
        <v>5476</v>
      </c>
      <c r="R62" s="45">
        <f t="shared" ref="R62:R67" si="15">SUM(N62:Q62)</f>
        <v>12989</v>
      </c>
    </row>
    <row r="63" spans="1:18" x14ac:dyDescent="0.25">
      <c r="A63" s="8">
        <v>2012</v>
      </c>
      <c r="C63">
        <f>S10</f>
        <v>5.3</v>
      </c>
      <c r="D63">
        <f>S9</f>
        <v>7.1</v>
      </c>
      <c r="E63" s="9"/>
      <c r="M63" s="3">
        <v>2024</v>
      </c>
      <c r="N63">
        <f>'OI 2024'!A12</f>
        <v>1503</v>
      </c>
      <c r="O63">
        <f>'OI 2024'!A31</f>
        <v>2902</v>
      </c>
      <c r="P63">
        <f>'OI 2024'!A54</f>
        <v>3742</v>
      </c>
      <c r="Q63">
        <f>'OI 2024'!A95</f>
        <v>6028</v>
      </c>
      <c r="R63" s="45">
        <f t="shared" si="15"/>
        <v>14175</v>
      </c>
    </row>
    <row r="64" spans="1:18" x14ac:dyDescent="0.25">
      <c r="A64" s="8">
        <v>2013</v>
      </c>
      <c r="C64">
        <f>T10</f>
        <v>6.7</v>
      </c>
      <c r="D64">
        <f>T9</f>
        <v>6.8</v>
      </c>
      <c r="E64" s="9"/>
      <c r="M64" s="3">
        <v>2023</v>
      </c>
      <c r="N64">
        <f>'OI 2023'!A14</f>
        <v>3022</v>
      </c>
      <c r="O64">
        <f>'OI 2023'!A28</f>
        <v>1802</v>
      </c>
      <c r="P64">
        <f>'OI 2023'!A49</f>
        <v>4044</v>
      </c>
      <c r="Q64">
        <f>'OI 2023'!A79</f>
        <v>6945</v>
      </c>
      <c r="R64" s="45">
        <f t="shared" si="15"/>
        <v>15813</v>
      </c>
    </row>
    <row r="65" spans="1:18" x14ac:dyDescent="0.25">
      <c r="A65" s="8">
        <v>2014</v>
      </c>
      <c r="C65">
        <f>U10</f>
        <v>7</v>
      </c>
      <c r="D65">
        <f>U9</f>
        <v>6.7</v>
      </c>
      <c r="E65" s="9"/>
      <c r="M65" s="3">
        <v>2022</v>
      </c>
      <c r="N65" s="17">
        <f>'OI 2022'!A25</f>
        <v>2179</v>
      </c>
      <c r="O65" s="17">
        <f>'OI 2022'!A41</f>
        <v>1783</v>
      </c>
      <c r="P65" s="17">
        <f>'OI 2022'!A50</f>
        <v>1240</v>
      </c>
      <c r="Q65" s="17">
        <f>'OI 2022'!A72</f>
        <v>3366</v>
      </c>
      <c r="R65" s="45">
        <f t="shared" si="15"/>
        <v>8568</v>
      </c>
    </row>
    <row r="66" spans="1:18" x14ac:dyDescent="0.25">
      <c r="A66" s="8" t="s">
        <v>666</v>
      </c>
      <c r="C66">
        <v>7.5</v>
      </c>
      <c r="D66">
        <v>7.5</v>
      </c>
      <c r="E66" s="9"/>
      <c r="M66" s="3">
        <v>2021</v>
      </c>
      <c r="N66" s="17">
        <f>'OI 2021'!A19</f>
        <v>1060</v>
      </c>
      <c r="O66" s="17">
        <f>'OI 2021'!A48</f>
        <v>4127</v>
      </c>
      <c r="P66" s="17">
        <f>'OI 2021'!A70</f>
        <v>3167</v>
      </c>
      <c r="Q66" s="17">
        <f>'OI 2021'!A85</f>
        <v>2011</v>
      </c>
      <c r="R66" s="45">
        <f t="shared" si="15"/>
        <v>10365</v>
      </c>
    </row>
    <row r="67" spans="1:18" x14ac:dyDescent="0.25">
      <c r="A67" s="8" t="s">
        <v>667</v>
      </c>
      <c r="C67">
        <v>8.1</v>
      </c>
      <c r="D67">
        <v>8.8000000000000007</v>
      </c>
      <c r="E67" s="9"/>
      <c r="M67" s="3">
        <v>2020</v>
      </c>
      <c r="N67" s="17">
        <f>'OI 2020'!A24</f>
        <v>2064</v>
      </c>
      <c r="O67" s="17">
        <f>'OI 2020'!A55</f>
        <v>3076</v>
      </c>
      <c r="P67" s="17">
        <f>'OI 2020'!A86</f>
        <v>3535</v>
      </c>
      <c r="Q67" s="17">
        <f>'OI 2020'!A121</f>
        <v>3818</v>
      </c>
      <c r="R67" s="45">
        <f t="shared" si="15"/>
        <v>12493</v>
      </c>
    </row>
    <row r="68" spans="1:18" x14ac:dyDescent="0.25">
      <c r="A68" s="8" t="s">
        <v>668</v>
      </c>
      <c r="C68">
        <v>8.1999999999999993</v>
      </c>
      <c r="D68">
        <v>8.1999999999999993</v>
      </c>
      <c r="E68" s="9"/>
      <c r="M68" s="3">
        <v>2019</v>
      </c>
      <c r="N68" s="17">
        <f>'OI 2019'!A18</f>
        <v>2233</v>
      </c>
      <c r="O68" s="17">
        <f>'OI 2019'!A43</f>
        <v>4601</v>
      </c>
      <c r="P68" s="17">
        <f>'OI 2019'!A63</f>
        <v>3748</v>
      </c>
      <c r="Q68" s="17">
        <f>'OI 2019'!A93</f>
        <v>2996</v>
      </c>
      <c r="R68" s="45">
        <f t="shared" ref="R68:R74" si="16">SUM(N68:Q68)</f>
        <v>13578</v>
      </c>
    </row>
    <row r="69" spans="1:18" x14ac:dyDescent="0.25">
      <c r="A69" s="8" t="s">
        <v>669</v>
      </c>
      <c r="C69">
        <v>8.9</v>
      </c>
      <c r="D69">
        <v>7.9</v>
      </c>
      <c r="E69" s="9"/>
      <c r="M69" s="3">
        <v>2018</v>
      </c>
      <c r="N69" s="17">
        <f>'OI 2018'!L134</f>
        <v>1176</v>
      </c>
      <c r="O69" s="17">
        <f>'OI 2018'!L135</f>
        <v>2695.2</v>
      </c>
      <c r="P69" s="17">
        <f>'OI 2018'!L136</f>
        <v>2672</v>
      </c>
      <c r="Q69" s="17">
        <f>'OI 2018'!L137</f>
        <v>4174</v>
      </c>
      <c r="R69" s="45">
        <f t="shared" si="16"/>
        <v>10717.2</v>
      </c>
    </row>
    <row r="70" spans="1:18" x14ac:dyDescent="0.25">
      <c r="A70" s="8" t="s">
        <v>655</v>
      </c>
      <c r="C70">
        <v>9.4</v>
      </c>
      <c r="D70">
        <v>8.6</v>
      </c>
      <c r="E70" s="9"/>
      <c r="M70" s="3">
        <v>2017</v>
      </c>
      <c r="N70" s="17">
        <f>'OI 2017'!L131</f>
        <v>1353</v>
      </c>
      <c r="O70" s="17">
        <f>'OI 2017'!L132</f>
        <v>1956</v>
      </c>
      <c r="P70" s="17">
        <f>'OI 2017'!L133</f>
        <v>1739</v>
      </c>
      <c r="Q70" s="17">
        <f>'OI 2017'!L134</f>
        <v>3361</v>
      </c>
      <c r="R70" s="45">
        <f t="shared" si="16"/>
        <v>8409</v>
      </c>
    </row>
    <row r="71" spans="1:18" x14ac:dyDescent="0.25">
      <c r="A71" s="8" t="s">
        <v>656</v>
      </c>
      <c r="C71">
        <v>9.9</v>
      </c>
      <c r="D71">
        <v>8.1999999999999993</v>
      </c>
      <c r="E71" s="9"/>
      <c r="M71" s="3">
        <v>2016</v>
      </c>
      <c r="N71" s="17">
        <f>'OI 2016'!L103</f>
        <v>1806</v>
      </c>
      <c r="O71" s="17">
        <f>'OI 2016'!L104</f>
        <v>1124</v>
      </c>
      <c r="P71" s="17">
        <f>'OI 2016'!L105</f>
        <v>1350</v>
      </c>
      <c r="Q71" s="17">
        <f>'OI 2016'!L106</f>
        <v>3305</v>
      </c>
      <c r="R71" s="45">
        <f t="shared" si="16"/>
        <v>7585</v>
      </c>
    </row>
    <row r="72" spans="1:18" x14ac:dyDescent="0.25">
      <c r="A72" s="8" t="s">
        <v>657</v>
      </c>
      <c r="C72">
        <v>9.9</v>
      </c>
      <c r="D72">
        <v>7.2</v>
      </c>
      <c r="E72" s="9"/>
      <c r="M72" s="3">
        <v>2015</v>
      </c>
      <c r="N72" s="17">
        <f>'OI 2015'!L106</f>
        <v>1332</v>
      </c>
      <c r="O72" s="17">
        <f>'OI 2015'!L107</f>
        <v>2467</v>
      </c>
      <c r="P72" s="17">
        <f>'OI 2015'!L108</f>
        <v>1131</v>
      </c>
      <c r="Q72" s="17">
        <f>'OI 2015'!L109</f>
        <v>1823</v>
      </c>
      <c r="R72" s="45">
        <f t="shared" si="16"/>
        <v>6753</v>
      </c>
    </row>
    <row r="73" spans="1:18" x14ac:dyDescent="0.25">
      <c r="A73" s="8" t="s">
        <v>658</v>
      </c>
      <c r="C73">
        <v>10.7</v>
      </c>
      <c r="D73">
        <v>8.5</v>
      </c>
      <c r="E73" s="9"/>
      <c r="M73" s="3">
        <v>2014</v>
      </c>
      <c r="N73" s="17">
        <f>'OI 2014'!L103</f>
        <v>390</v>
      </c>
      <c r="O73" s="17">
        <f>'OI 2014'!L104</f>
        <v>1544</v>
      </c>
      <c r="P73" s="17">
        <f>'OI 2014'!L105</f>
        <v>604</v>
      </c>
      <c r="Q73" s="17">
        <f>'OI 2014'!L106</f>
        <v>1574</v>
      </c>
      <c r="R73" s="45">
        <f t="shared" si="16"/>
        <v>4112</v>
      </c>
    </row>
    <row r="74" spans="1:18" x14ac:dyDescent="0.25">
      <c r="A74" s="8" t="s">
        <v>659</v>
      </c>
      <c r="C74">
        <v>11</v>
      </c>
      <c r="D74">
        <v>9</v>
      </c>
      <c r="E74" s="9"/>
      <c r="M74" s="3">
        <v>2013</v>
      </c>
      <c r="N74" s="17">
        <f>'OI 2013'!L99</f>
        <v>271</v>
      </c>
      <c r="O74" s="17">
        <f>'OI 2013'!L100</f>
        <v>1295</v>
      </c>
      <c r="P74" s="17">
        <f>'OI 2013'!L101</f>
        <v>1250</v>
      </c>
      <c r="Q74" s="17">
        <f>'OI 2013'!L102</f>
        <v>1509</v>
      </c>
      <c r="R74" s="45">
        <f t="shared" si="16"/>
        <v>4325</v>
      </c>
    </row>
    <row r="75" spans="1:18" x14ac:dyDescent="0.25">
      <c r="A75" s="8" t="s">
        <v>660</v>
      </c>
      <c r="C75">
        <v>11.1</v>
      </c>
      <c r="D75">
        <v>9.1</v>
      </c>
      <c r="E75" s="9"/>
      <c r="M75" s="3">
        <v>2013</v>
      </c>
      <c r="N75" s="17">
        <v>271</v>
      </c>
      <c r="O75" s="17">
        <v>1295</v>
      </c>
      <c r="P75" s="17">
        <v>1250</v>
      </c>
      <c r="Q75" s="17">
        <v>1509</v>
      </c>
      <c r="R75" s="45">
        <f t="shared" ref="R75:R78" si="17">SUM(N75:Q75)</f>
        <v>4325</v>
      </c>
    </row>
    <row r="76" spans="1:18" x14ac:dyDescent="0.25">
      <c r="A76" s="8" t="s">
        <v>661</v>
      </c>
      <c r="C76">
        <v>11.4</v>
      </c>
      <c r="D76">
        <v>8.8000000000000007</v>
      </c>
      <c r="E76" s="9"/>
      <c r="M76" s="3">
        <v>2012</v>
      </c>
      <c r="N76" s="17">
        <v>915</v>
      </c>
      <c r="O76" s="17">
        <v>704</v>
      </c>
      <c r="P76" s="17">
        <v>158</v>
      </c>
      <c r="Q76" s="17">
        <v>505</v>
      </c>
      <c r="R76" s="45">
        <f t="shared" si="17"/>
        <v>2282</v>
      </c>
    </row>
    <row r="77" spans="1:18" x14ac:dyDescent="0.25">
      <c r="A77" s="8" t="s">
        <v>662</v>
      </c>
      <c r="C77">
        <v>12.1</v>
      </c>
      <c r="D77">
        <v>8.8000000000000007</v>
      </c>
      <c r="E77" s="9"/>
      <c r="M77" s="3">
        <v>2011</v>
      </c>
      <c r="N77" s="17">
        <v>338</v>
      </c>
      <c r="O77" s="17">
        <v>1479</v>
      </c>
      <c r="P77" s="17">
        <v>737</v>
      </c>
      <c r="Q77" s="17">
        <v>2035</v>
      </c>
      <c r="R77" s="45">
        <f t="shared" si="17"/>
        <v>4589</v>
      </c>
    </row>
    <row r="78" spans="1:18" x14ac:dyDescent="0.25">
      <c r="A78" s="8" t="s">
        <v>663</v>
      </c>
      <c r="C78">
        <v>12.3</v>
      </c>
      <c r="D78">
        <v>9.3000000000000007</v>
      </c>
      <c r="E78" s="9"/>
      <c r="M78" s="3">
        <v>2010</v>
      </c>
      <c r="N78" s="17">
        <v>783</v>
      </c>
      <c r="O78" s="17">
        <v>2603</v>
      </c>
      <c r="P78" s="17">
        <v>2089</v>
      </c>
      <c r="Q78" s="17">
        <v>1524</v>
      </c>
      <c r="R78" s="45">
        <f t="shared" si="17"/>
        <v>6999</v>
      </c>
    </row>
    <row r="79" spans="1:18" x14ac:dyDescent="0.25">
      <c r="A79" s="8" t="s">
        <v>664</v>
      </c>
      <c r="C79">
        <v>12.8</v>
      </c>
      <c r="D79">
        <v>10.199999999999999</v>
      </c>
      <c r="E79" s="9"/>
    </row>
    <row r="80" spans="1:18" x14ac:dyDescent="0.25">
      <c r="A80" s="10" t="s">
        <v>665</v>
      </c>
      <c r="B80" s="11"/>
      <c r="C80" s="11">
        <v>13.2</v>
      </c>
      <c r="D80" s="11">
        <v>10.5</v>
      </c>
      <c r="E80" s="12"/>
      <c r="F80" s="11"/>
      <c r="G80" s="11"/>
      <c r="H80" s="11"/>
    </row>
    <row r="83" spans="1:8" x14ac:dyDescent="0.25">
      <c r="A83" s="13"/>
      <c r="B83" s="14"/>
      <c r="C83" s="14" t="s">
        <v>670</v>
      </c>
      <c r="D83" s="14" t="s">
        <v>1694</v>
      </c>
      <c r="F83" s="14"/>
      <c r="G83" s="14"/>
      <c r="H83" s="14"/>
    </row>
    <row r="84" spans="1:8" x14ac:dyDescent="0.25">
      <c r="A84" s="8">
        <v>2007</v>
      </c>
      <c r="C84">
        <f t="shared" ref="C84:C89" si="18">D84*7.45</f>
        <v>7.300017815784785</v>
      </c>
      <c r="D84" s="23">
        <f>N39</f>
        <v>0.97986816319258863</v>
      </c>
    </row>
    <row r="85" spans="1:8" x14ac:dyDescent="0.25">
      <c r="A85" s="8">
        <v>2008</v>
      </c>
      <c r="C85">
        <f t="shared" si="18"/>
        <v>7.9215816580827383</v>
      </c>
      <c r="D85" s="23">
        <v>1.0632995514205017</v>
      </c>
    </row>
    <row r="86" spans="1:8" x14ac:dyDescent="0.25">
      <c r="A86" s="8">
        <v>2009</v>
      </c>
      <c r="C86">
        <f t="shared" si="18"/>
        <v>7.760416666666667</v>
      </c>
      <c r="D86" s="23">
        <v>1.0416666666666667</v>
      </c>
    </row>
    <row r="87" spans="1:8" x14ac:dyDescent="0.25">
      <c r="A87" s="8">
        <v>2010</v>
      </c>
      <c r="C87">
        <f t="shared" si="18"/>
        <v>7.387293900611092</v>
      </c>
      <c r="D87" s="23">
        <v>0.99158307390752909</v>
      </c>
    </row>
    <row r="88" spans="1:8" x14ac:dyDescent="0.25">
      <c r="A88" s="8">
        <v>2011</v>
      </c>
      <c r="C88">
        <f t="shared" si="18"/>
        <v>7.3523049885088554</v>
      </c>
      <c r="D88" s="23">
        <v>0.98688657563877247</v>
      </c>
    </row>
    <row r="89" spans="1:8" x14ac:dyDescent="0.25">
      <c r="A89" s="8">
        <v>2012</v>
      </c>
      <c r="C89">
        <f t="shared" si="18"/>
        <v>7.5735687533440341</v>
      </c>
      <c r="D89" s="23">
        <v>1.0165864098448367</v>
      </c>
    </row>
    <row r="90" spans="1:8" x14ac:dyDescent="0.25">
      <c r="A90" s="8" t="s">
        <v>671</v>
      </c>
      <c r="C90">
        <v>7.7491958749999998</v>
      </c>
      <c r="D90" s="23">
        <f>C90/7.6</f>
        <v>1.0196310361842105</v>
      </c>
    </row>
    <row r="91" spans="1:8" x14ac:dyDescent="0.25">
      <c r="A91" s="8" t="s">
        <v>672</v>
      </c>
      <c r="C91">
        <v>7.9087313950000002</v>
      </c>
      <c r="D91" s="23">
        <f t="shared" ref="D91:D108" si="19">C91/7.45</f>
        <v>1.0615746838926174</v>
      </c>
    </row>
    <row r="92" spans="1:8" x14ac:dyDescent="0.25">
      <c r="A92" s="8" t="s">
        <v>673</v>
      </c>
      <c r="C92">
        <v>6.8268127510000003</v>
      </c>
      <c r="D92" s="23">
        <f t="shared" si="19"/>
        <v>0.91635070483221481</v>
      </c>
    </row>
    <row r="93" spans="1:8" x14ac:dyDescent="0.25">
      <c r="A93" s="8" t="s">
        <v>674</v>
      </c>
      <c r="C93">
        <v>6.8513204060000001</v>
      </c>
      <c r="D93" s="23">
        <f t="shared" si="19"/>
        <v>0.91964032295302012</v>
      </c>
    </row>
    <row r="94" spans="1:8" x14ac:dyDescent="0.25">
      <c r="A94" s="8" t="s">
        <v>675</v>
      </c>
      <c r="C94">
        <v>6.5233585740000004</v>
      </c>
      <c r="D94" s="23">
        <f t="shared" si="19"/>
        <v>0.87561860053691276</v>
      </c>
    </row>
    <row r="95" spans="1:8" x14ac:dyDescent="0.25">
      <c r="A95" s="8" t="s">
        <v>676</v>
      </c>
      <c r="C95">
        <v>6.4672868269999997</v>
      </c>
      <c r="D95" s="23">
        <f t="shared" si="19"/>
        <v>0.86809219154362405</v>
      </c>
    </row>
    <row r="96" spans="1:8" x14ac:dyDescent="0.25">
      <c r="A96" s="8" t="s">
        <v>677</v>
      </c>
      <c r="C96">
        <v>6.4775130020000002</v>
      </c>
      <c r="D96" s="23">
        <f t="shared" si="19"/>
        <v>0.86946483248322148</v>
      </c>
    </row>
    <row r="97" spans="1:4" x14ac:dyDescent="0.25">
      <c r="A97" s="8" t="s">
        <v>678</v>
      </c>
      <c r="C97">
        <v>6.7939499440000004</v>
      </c>
      <c r="D97" s="23">
        <f t="shared" si="19"/>
        <v>0.91193958979865775</v>
      </c>
    </row>
    <row r="98" spans="1:4" x14ac:dyDescent="0.25">
      <c r="A98" s="8" t="s">
        <v>666</v>
      </c>
      <c r="C98">
        <v>6.7998924110000001</v>
      </c>
      <c r="D98" s="23">
        <f t="shared" si="19"/>
        <v>0.91273723637583892</v>
      </c>
    </row>
    <row r="99" spans="1:4" x14ac:dyDescent="0.25">
      <c r="A99" s="8" t="s">
        <v>667</v>
      </c>
      <c r="C99">
        <v>6.6537181439999999</v>
      </c>
      <c r="D99" s="23">
        <f t="shared" si="19"/>
        <v>0.89311652939597308</v>
      </c>
    </row>
    <row r="100" spans="1:4" x14ac:dyDescent="0.25">
      <c r="A100" s="8" t="s">
        <v>668</v>
      </c>
      <c r="C100">
        <v>7.3979246989999998</v>
      </c>
      <c r="D100" s="23">
        <f t="shared" si="19"/>
        <v>0.99301002671140937</v>
      </c>
    </row>
    <row r="101" spans="1:4" x14ac:dyDescent="0.25">
      <c r="A101" s="8" t="s">
        <v>669</v>
      </c>
      <c r="C101">
        <v>6.6902951789999996</v>
      </c>
      <c r="D101" s="23">
        <f t="shared" si="19"/>
        <v>0.89802619852348986</v>
      </c>
    </row>
    <row r="102" spans="1:4" x14ac:dyDescent="0.25">
      <c r="A102" s="8" t="s">
        <v>655</v>
      </c>
      <c r="C102">
        <v>6.1900793119999999</v>
      </c>
      <c r="D102" s="23">
        <f t="shared" si="19"/>
        <v>0.83088312912751672</v>
      </c>
    </row>
    <row r="103" spans="1:4" x14ac:dyDescent="0.25">
      <c r="A103" s="8" t="s">
        <v>656</v>
      </c>
      <c r="C103">
        <v>6.6481661399999998</v>
      </c>
      <c r="D103" s="23">
        <f t="shared" si="19"/>
        <v>0.89237129395973147</v>
      </c>
    </row>
    <row r="104" spans="1:4" x14ac:dyDescent="0.25">
      <c r="A104" s="8" t="s">
        <v>657</v>
      </c>
      <c r="C104">
        <v>6.7268573390000004</v>
      </c>
      <c r="D104" s="23">
        <f t="shared" si="19"/>
        <v>0.90293387100671141</v>
      </c>
    </row>
    <row r="105" spans="1:4" x14ac:dyDescent="0.25">
      <c r="A105" s="8" t="s">
        <v>658</v>
      </c>
      <c r="C105">
        <v>7.0566456430000004</v>
      </c>
      <c r="D105" s="23">
        <f t="shared" si="19"/>
        <v>0.94720075744966448</v>
      </c>
    </row>
    <row r="106" spans="1:4" x14ac:dyDescent="0.25">
      <c r="A106" s="8" t="s">
        <v>659</v>
      </c>
      <c r="C106">
        <v>6.5335672699999998</v>
      </c>
      <c r="D106" s="23">
        <f t="shared" si="19"/>
        <v>0.8769888953020134</v>
      </c>
    </row>
    <row r="107" spans="1:4" x14ac:dyDescent="0.25">
      <c r="A107" s="8" t="s">
        <v>660</v>
      </c>
      <c r="C107">
        <v>6.13507245</v>
      </c>
      <c r="D107" s="23">
        <f t="shared" si="19"/>
        <v>0.82349965771812084</v>
      </c>
    </row>
    <row r="108" spans="1:4" x14ac:dyDescent="0.25">
      <c r="A108" s="8" t="s">
        <v>661</v>
      </c>
      <c r="C108">
        <v>5.9680239999999998</v>
      </c>
      <c r="D108" s="23">
        <f t="shared" si="19"/>
        <v>0.8010770469798657</v>
      </c>
    </row>
    <row r="109" spans="1:4" x14ac:dyDescent="0.25">
      <c r="A109" s="8" t="s">
        <v>662</v>
      </c>
      <c r="C109">
        <v>5.5204221999999996</v>
      </c>
      <c r="D109" s="23">
        <v>0.74</v>
      </c>
    </row>
    <row r="110" spans="1:4" x14ac:dyDescent="0.25">
      <c r="A110" s="8" t="s">
        <v>663</v>
      </c>
      <c r="C110">
        <v>5.4458219000000003</v>
      </c>
      <c r="D110" s="23">
        <v>0.73</v>
      </c>
    </row>
    <row r="111" spans="1:4" x14ac:dyDescent="0.25">
      <c r="A111" s="8" t="s">
        <v>664</v>
      </c>
      <c r="C111">
        <v>5.2966213</v>
      </c>
      <c r="D111" s="23">
        <v>0.71</v>
      </c>
    </row>
    <row r="112" spans="1:4" x14ac:dyDescent="0.25">
      <c r="A112" s="8" t="s">
        <v>665</v>
      </c>
      <c r="C112">
        <v>5.8188234000000003</v>
      </c>
      <c r="D112" s="23">
        <v>0.78</v>
      </c>
    </row>
    <row r="113" spans="1:8" x14ac:dyDescent="0.25">
      <c r="A113" s="8" t="s">
        <v>1197</v>
      </c>
      <c r="C113">
        <v>5.67</v>
      </c>
      <c r="D113" s="23">
        <v>0.76</v>
      </c>
    </row>
    <row r="114" spans="1:8" x14ac:dyDescent="0.25">
      <c r="A114" s="10" t="s">
        <v>1198</v>
      </c>
      <c r="B114" s="11"/>
      <c r="C114" s="11">
        <v>6.04</v>
      </c>
      <c r="D114" s="23">
        <v>0.81</v>
      </c>
      <c r="F114" s="11"/>
      <c r="G114" s="11"/>
      <c r="H114" s="11"/>
    </row>
    <row r="115" spans="1:8" x14ac:dyDescent="0.25">
      <c r="A115" s="8" t="s">
        <v>1679</v>
      </c>
      <c r="D115" s="18">
        <v>0.75</v>
      </c>
    </row>
    <row r="116" spans="1:8" x14ac:dyDescent="0.25">
      <c r="A116" s="8" t="s">
        <v>1680</v>
      </c>
      <c r="D116" s="18">
        <v>0.75</v>
      </c>
    </row>
    <row r="117" spans="1:8" x14ac:dyDescent="0.25">
      <c r="A117" s="8" t="s">
        <v>1681</v>
      </c>
      <c r="D117" s="18">
        <v>0.79</v>
      </c>
    </row>
    <row r="118" spans="1:8" x14ac:dyDescent="0.25">
      <c r="A118" s="8" t="s">
        <v>1682</v>
      </c>
      <c r="D118" s="18">
        <v>0.72</v>
      </c>
    </row>
    <row r="119" spans="1:8" x14ac:dyDescent="0.25">
      <c r="A119" s="8" t="s">
        <v>1683</v>
      </c>
      <c r="D119" s="18">
        <v>0.78</v>
      </c>
    </row>
    <row r="120" spans="1:8" x14ac:dyDescent="0.25">
      <c r="A120" s="8" t="s">
        <v>1684</v>
      </c>
      <c r="D120" s="18">
        <v>0.73</v>
      </c>
    </row>
    <row r="121" spans="1:8" x14ac:dyDescent="0.25">
      <c r="A121" s="8" t="s">
        <v>1685</v>
      </c>
      <c r="D121" s="18">
        <v>0.71</v>
      </c>
    </row>
    <row r="122" spans="1:8" x14ac:dyDescent="0.25">
      <c r="A122" s="8" t="s">
        <v>1686</v>
      </c>
      <c r="D122" s="18">
        <v>0.8</v>
      </c>
    </row>
    <row r="123" spans="1:8" x14ac:dyDescent="0.25">
      <c r="A123" s="8" t="s">
        <v>1687</v>
      </c>
      <c r="D123" s="18">
        <v>0.79</v>
      </c>
    </row>
    <row r="124" spans="1:8" x14ac:dyDescent="0.25">
      <c r="A124" s="8" t="s">
        <v>1688</v>
      </c>
      <c r="D124" s="18">
        <v>0.81</v>
      </c>
    </row>
    <row r="125" spans="1:8" x14ac:dyDescent="0.25">
      <c r="A125" s="8" t="s">
        <v>1689</v>
      </c>
      <c r="D125" s="18">
        <v>0.86</v>
      </c>
    </row>
    <row r="126" spans="1:8" x14ac:dyDescent="0.25">
      <c r="A126" s="8" t="s">
        <v>1690</v>
      </c>
      <c r="D126" s="18">
        <v>1.01</v>
      </c>
    </row>
    <row r="127" spans="1:8" x14ac:dyDescent="0.25">
      <c r="A127" s="8" t="s">
        <v>1691</v>
      </c>
      <c r="D127" s="18">
        <v>0.97</v>
      </c>
    </row>
    <row r="128" spans="1:8" x14ac:dyDescent="0.25">
      <c r="A128" s="8" t="s">
        <v>1692</v>
      </c>
      <c r="D128" s="18">
        <v>1.07</v>
      </c>
    </row>
    <row r="129" spans="1:5" x14ac:dyDescent="0.25">
      <c r="A129" s="8" t="s">
        <v>1693</v>
      </c>
      <c r="D129" s="18">
        <v>1.1499999999999999</v>
      </c>
    </row>
    <row r="130" spans="1:5" x14ac:dyDescent="0.25">
      <c r="A130" s="8" t="s">
        <v>1815</v>
      </c>
      <c r="D130" s="18">
        <v>0.89</v>
      </c>
    </row>
    <row r="131" spans="1:5" x14ac:dyDescent="0.25">
      <c r="A131" s="8" t="s">
        <v>1816</v>
      </c>
      <c r="D131" s="18">
        <v>0.97</v>
      </c>
    </row>
    <row r="132" spans="1:5" x14ac:dyDescent="0.25">
      <c r="A132" s="8" t="s">
        <v>1817</v>
      </c>
      <c r="D132" s="18">
        <v>1.05</v>
      </c>
    </row>
    <row r="133" spans="1:5" x14ac:dyDescent="0.25">
      <c r="A133" s="8" t="s">
        <v>1818</v>
      </c>
    </row>
    <row r="138" spans="1:5" x14ac:dyDescent="0.25">
      <c r="B138" t="s">
        <v>1169</v>
      </c>
      <c r="C138" t="s">
        <v>1170</v>
      </c>
      <c r="D138" t="s">
        <v>1171</v>
      </c>
      <c r="E138" t="s">
        <v>1172</v>
      </c>
    </row>
    <row r="139" spans="1:5" x14ac:dyDescent="0.25">
      <c r="A139">
        <v>2021</v>
      </c>
      <c r="B139">
        <f>'OI 2021'!A19</f>
        <v>1060</v>
      </c>
      <c r="C139">
        <f>'OI 2021'!A48</f>
        <v>4127</v>
      </c>
      <c r="D139">
        <f>'OI 2021'!A70</f>
        <v>3167</v>
      </c>
      <c r="E139">
        <f>'OI 2021'!A85</f>
        <v>2011</v>
      </c>
    </row>
    <row r="140" spans="1:5" x14ac:dyDescent="0.25">
      <c r="A140">
        <v>2020</v>
      </c>
      <c r="B140">
        <f>'OI 2020'!A24</f>
        <v>2064</v>
      </c>
      <c r="C140">
        <f>'OI 2020'!A55</f>
        <v>3076</v>
      </c>
      <c r="D140">
        <f>'OI 2020'!A86</f>
        <v>3535</v>
      </c>
      <c r="E140">
        <f>'OI 2020'!A121</f>
        <v>3818</v>
      </c>
    </row>
    <row r="141" spans="1:5" x14ac:dyDescent="0.25">
      <c r="A141">
        <v>2019</v>
      </c>
      <c r="B141">
        <v>2215</v>
      </c>
      <c r="C141">
        <f>'OI 2019'!A43</f>
        <v>4601</v>
      </c>
      <c r="D141">
        <f>'OI 2019'!A63</f>
        <v>3748</v>
      </c>
      <c r="E141">
        <f>'OI 2019'!A93</f>
        <v>2996</v>
      </c>
    </row>
    <row r="142" spans="1:5" x14ac:dyDescent="0.25">
      <c r="A142">
        <v>2018</v>
      </c>
      <c r="B142">
        <v>1176</v>
      </c>
      <c r="C142">
        <v>2695</v>
      </c>
      <c r="D142">
        <v>2672</v>
      </c>
      <c r="E142">
        <v>4192</v>
      </c>
    </row>
    <row r="143" spans="1:5" x14ac:dyDescent="0.25">
      <c r="A143">
        <v>2017</v>
      </c>
      <c r="B143">
        <v>1353</v>
      </c>
      <c r="C143">
        <v>1956</v>
      </c>
      <c r="D143">
        <v>1739</v>
      </c>
      <c r="E143">
        <v>3360</v>
      </c>
    </row>
    <row r="144" spans="1:5" x14ac:dyDescent="0.25">
      <c r="A144">
        <v>2016</v>
      </c>
      <c r="B144">
        <v>1806</v>
      </c>
      <c r="C144">
        <v>1124</v>
      </c>
      <c r="D144">
        <v>1350</v>
      </c>
      <c r="E144">
        <v>3305</v>
      </c>
    </row>
    <row r="145" spans="1:5" x14ac:dyDescent="0.25">
      <c r="A145">
        <v>2015</v>
      </c>
      <c r="B145">
        <v>1332</v>
      </c>
      <c r="C145">
        <v>2467</v>
      </c>
      <c r="D145">
        <v>1131</v>
      </c>
      <c r="E145">
        <v>1823</v>
      </c>
    </row>
    <row r="146" spans="1:5" x14ac:dyDescent="0.25">
      <c r="A146">
        <v>2014</v>
      </c>
      <c r="B146">
        <v>584</v>
      </c>
      <c r="C146">
        <v>1350</v>
      </c>
      <c r="D146">
        <v>604</v>
      </c>
      <c r="E146">
        <v>1574</v>
      </c>
    </row>
    <row r="147" spans="1:5" x14ac:dyDescent="0.25">
      <c r="A147">
        <v>2013</v>
      </c>
      <c r="B147">
        <v>271</v>
      </c>
      <c r="C147">
        <v>1295</v>
      </c>
      <c r="D147">
        <v>1250</v>
      </c>
      <c r="E147">
        <v>1509</v>
      </c>
    </row>
    <row r="148" spans="1:5" x14ac:dyDescent="0.25">
      <c r="A148">
        <v>2012</v>
      </c>
      <c r="B148">
        <v>915</v>
      </c>
      <c r="C148">
        <v>704</v>
      </c>
      <c r="D148">
        <v>158</v>
      </c>
      <c r="E148">
        <v>505</v>
      </c>
    </row>
    <row r="149" spans="1:5" x14ac:dyDescent="0.25">
      <c r="A149">
        <v>2011</v>
      </c>
      <c r="B149">
        <v>338</v>
      </c>
      <c r="C149">
        <v>1479</v>
      </c>
      <c r="D149">
        <v>737</v>
      </c>
      <c r="E149">
        <v>2035</v>
      </c>
    </row>
    <row r="150" spans="1:5" x14ac:dyDescent="0.25">
      <c r="A150">
        <v>2010</v>
      </c>
      <c r="B150">
        <v>783</v>
      </c>
      <c r="C150">
        <v>2603</v>
      </c>
      <c r="D150">
        <v>2089</v>
      </c>
      <c r="E150">
        <v>1524</v>
      </c>
    </row>
  </sheetData>
  <phoneticPr fontId="6" type="noConversion"/>
  <pageMargins left="0.7" right="0.7" top="0.75" bottom="0.75" header="0.3" footer="0.3"/>
  <pageSetup paperSize="9" orientation="portrait" verticalDpi="300" r:id="rId1"/>
  <headerFooter>
    <oddFooter>&amp;L&amp;1#&amp;"Arial"&amp;8&amp;KD5DAD9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44"/>
  <sheetViews>
    <sheetView zoomScale="70" zoomScaleNormal="70" workbookViewId="0">
      <selection activeCell="O12" sqref="O12"/>
    </sheetView>
  </sheetViews>
  <sheetFormatPr defaultRowHeight="15" x14ac:dyDescent="0.25"/>
  <cols>
    <col min="3" max="3" width="22.7109375" bestFit="1" customWidth="1"/>
    <col min="5" max="5" width="8.85546875"/>
    <col min="16" max="16" width="10.140625" customWidth="1"/>
  </cols>
  <sheetData>
    <row r="1" spans="1:38" x14ac:dyDescent="0.25">
      <c r="E1" t="s">
        <v>381</v>
      </c>
      <c r="V1" t="s">
        <v>383</v>
      </c>
      <c r="AG1" t="s">
        <v>391</v>
      </c>
    </row>
    <row r="2" spans="1:38" x14ac:dyDescent="0.25">
      <c r="C2" s="36" t="s">
        <v>380</v>
      </c>
      <c r="D2" s="37">
        <v>2014</v>
      </c>
      <c r="E2" s="37">
        <v>2015</v>
      </c>
      <c r="F2" s="37">
        <v>2016</v>
      </c>
      <c r="G2" s="37">
        <v>2017</v>
      </c>
      <c r="H2" s="37">
        <v>2018</v>
      </c>
      <c r="I2" s="37">
        <v>2019</v>
      </c>
      <c r="J2" s="37">
        <v>2020</v>
      </c>
      <c r="K2" s="37">
        <v>2021</v>
      </c>
      <c r="L2" s="37">
        <v>2022</v>
      </c>
      <c r="M2" s="38">
        <v>2023</v>
      </c>
      <c r="N2" s="37">
        <v>2024</v>
      </c>
      <c r="O2" s="38">
        <v>2025</v>
      </c>
      <c r="Q2" s="13"/>
      <c r="R2" s="6">
        <v>2012</v>
      </c>
      <c r="S2" s="6">
        <v>2013</v>
      </c>
      <c r="T2" s="6">
        <v>2014</v>
      </c>
      <c r="U2" s="6">
        <v>2015</v>
      </c>
      <c r="V2" s="6">
        <v>2016</v>
      </c>
      <c r="W2" s="6">
        <v>2017</v>
      </c>
      <c r="X2" s="6">
        <v>2018</v>
      </c>
      <c r="Y2" s="6">
        <v>2019</v>
      </c>
      <c r="Z2" s="6">
        <v>2020</v>
      </c>
      <c r="AA2" s="6">
        <v>2021</v>
      </c>
      <c r="AB2" s="7">
        <v>2022</v>
      </c>
      <c r="AC2" s="6">
        <v>2023</v>
      </c>
      <c r="AF2" s="3">
        <v>2014</v>
      </c>
      <c r="AG2" s="3">
        <v>2015</v>
      </c>
      <c r="AH2" s="3">
        <v>2016</v>
      </c>
      <c r="AI2" s="3">
        <v>2017</v>
      </c>
      <c r="AJ2" s="3">
        <v>2018</v>
      </c>
      <c r="AK2" s="3">
        <v>2019</v>
      </c>
      <c r="AL2" s="3">
        <v>2020</v>
      </c>
    </row>
    <row r="3" spans="1:38" x14ac:dyDescent="0.25">
      <c r="A3" s="8"/>
      <c r="C3" s="8" t="s">
        <v>92</v>
      </c>
      <c r="D3" s="140">
        <f>SUMIF('OI 2014'!$I$87:$I$101,C3,'OI 2014'!$L$87:$L$101)</f>
        <v>30</v>
      </c>
      <c r="E3" s="54">
        <f>SUMIF('OI 2015'!$I$87:$I$101,C3,'OI 2015'!$L$87:$L$101)</f>
        <v>75</v>
      </c>
      <c r="F3" s="54">
        <f>SUMIF('OI 2016'!$I$87:$I$101,C3,'OI 2016'!$L$87:$L$101)</f>
        <v>184.6</v>
      </c>
      <c r="G3" s="54">
        <f>SUMIF('OI 2017'!$I$112:$I$128,C3,'OI 2017'!$L$112:$L$128)</f>
        <v>175</v>
      </c>
      <c r="H3" s="54">
        <f>SUMIF('OI 2018'!$I$112:$I$131,C3,'OI 2018'!$L$112:$L$131)</f>
        <v>100</v>
      </c>
      <c r="I3" s="54">
        <f>SUMIF('OI 2019'!$I$113:$I$132,C3,'OI 2019'!$L$113:$L$132)</f>
        <v>0</v>
      </c>
      <c r="J3" s="54">
        <f>SUMIF('OI 2020'!$I$144:$I$165,C3,'OI 2020'!$K$144:$K$165)</f>
        <v>0</v>
      </c>
      <c r="K3" s="54">
        <f>SUMIF('OI 2021'!$I$145:$I$166,C3,'OI 2021'!$K$145:$K$166)</f>
        <v>0</v>
      </c>
      <c r="L3" s="54">
        <f>SUMIF('OI 2022'!$I$158:$I$175,$C3,'OI 2022'!$K$158:$K$175)</f>
        <v>0</v>
      </c>
      <c r="M3" s="42">
        <f>SUMIF('OI 2023'!$I$158:$I$173,$C3,'OI 2023'!$J$158:$J$173)</f>
        <v>0</v>
      </c>
      <c r="N3" s="161"/>
      <c r="O3" s="161"/>
      <c r="Q3" s="13" t="s">
        <v>382</v>
      </c>
      <c r="R3" s="54">
        <f>'OI 2012'!M78+'OI 2012'!T78</f>
        <v>163</v>
      </c>
      <c r="S3" s="54">
        <f>'OI 2013'!M78+'OI 2013'!T78</f>
        <v>229.91111111111113</v>
      </c>
      <c r="T3" s="54">
        <f>'OI 2014'!M78+'OI 2014'!T78</f>
        <v>364.70588235294116</v>
      </c>
      <c r="U3" s="54">
        <f>'OI 2015'!M78+'OI 2015'!T78</f>
        <v>70</v>
      </c>
      <c r="V3" s="54">
        <f>'OI 2016'!M78+'OI 2016'!T78</f>
        <v>15</v>
      </c>
      <c r="W3" s="54">
        <v>0</v>
      </c>
      <c r="X3" s="14">
        <v>0</v>
      </c>
      <c r="Y3" s="54">
        <v>0</v>
      </c>
      <c r="Z3" s="54">
        <v>0</v>
      </c>
      <c r="AA3" s="54">
        <v>0</v>
      </c>
      <c r="AB3" s="15">
        <v>0</v>
      </c>
      <c r="AC3" s="15">
        <v>0</v>
      </c>
      <c r="AE3" t="s">
        <v>93</v>
      </c>
      <c r="AF3">
        <f>'OI 2014'!E81</f>
        <v>1234</v>
      </c>
      <c r="AG3">
        <f>'OI 2015'!E81</f>
        <v>2363</v>
      </c>
      <c r="AH3">
        <f>'OI 2016'!E81</f>
        <v>1849</v>
      </c>
      <c r="AI3">
        <f>'OI 2017'!E106</f>
        <v>1785</v>
      </c>
      <c r="AJ3">
        <f>'OI 2018'!E106</f>
        <v>1202.8</v>
      </c>
      <c r="AK3">
        <f>'OI 2019'!E107</f>
        <v>2214</v>
      </c>
      <c r="AL3">
        <f>'OI 2020'!E138</f>
        <v>2087</v>
      </c>
    </row>
    <row r="4" spans="1:38" x14ac:dyDescent="0.25">
      <c r="A4" s="8"/>
      <c r="C4" s="8" t="s">
        <v>232</v>
      </c>
      <c r="D4" s="141">
        <f>SUMIF('OI 2014'!$I$87:$I$101,C4,'OI 2014'!$L$87:$L$101)</f>
        <v>0</v>
      </c>
      <c r="E4" s="1">
        <f>SUMIF('OI 2015'!$I$87:$I$101,C4,'OI 2015'!$L$87:$L$101)</f>
        <v>0</v>
      </c>
      <c r="F4" s="1">
        <f>SUMIF('OI 2016'!$I$87:$I$101,C4,'OI 2016'!$L$87:$L$101)</f>
        <v>26</v>
      </c>
      <c r="G4" s="1">
        <f>SUMIF('OI 2017'!$I$112:$I$128,C4,'OI 2017'!$L$112:$L$128)</f>
        <v>0</v>
      </c>
      <c r="H4" s="1">
        <f>SUMIF('OI 2018'!$I$112:$I$131,C4,'OI 2018'!$L$112:$L$131)</f>
        <v>0</v>
      </c>
      <c r="I4" s="1">
        <f>SUMIF('OI 2019'!$I$113:$I$132,C4,'OI 2019'!$L$113:$L$132)</f>
        <v>0</v>
      </c>
      <c r="J4" s="1">
        <f>SUMIF('OI 2020'!$I$144:$I$165,C4,'OI 2020'!$K$144:$K$165)</f>
        <v>0</v>
      </c>
      <c r="K4" s="1">
        <f>SUMIF('OI 2021'!$I$145:$I$166,C4,'OI 2021'!$K$145:$K$166)</f>
        <v>0</v>
      </c>
      <c r="L4" s="1">
        <f>SUMIF('OI 2022'!$I$158:$I$175,$C4,'OI 2022'!$K$158:$K$175)</f>
        <v>0</v>
      </c>
      <c r="M4" s="19">
        <f>SUMIF('OI 2023'!$I$158:$I$173,$C4,'OI 2023'!$J$158:$J$173)</f>
        <v>0</v>
      </c>
      <c r="N4" s="161"/>
      <c r="O4" s="161"/>
      <c r="Q4" s="8" t="s">
        <v>384</v>
      </c>
      <c r="R4" s="1">
        <f>'OI 2012'!M79+'OI 2012'!T79</f>
        <v>237</v>
      </c>
      <c r="S4" s="1">
        <f>'OI 2013'!M79+'OI 2013'!T79</f>
        <v>1123.7</v>
      </c>
      <c r="T4" s="1">
        <f>'OI 2014'!M79+'OI 2014'!T79</f>
        <v>1080</v>
      </c>
      <c r="U4" s="1">
        <f>'OI 2015'!M79+'OI 2015'!T79</f>
        <v>1470</v>
      </c>
      <c r="V4" s="1">
        <f>'OI 2016'!M79+'OI 2016'!T79</f>
        <v>1642.9636363636364</v>
      </c>
      <c r="W4" s="1">
        <f>'OI 2017'!M103+'OI 2017'!T103</f>
        <v>1729.8636363636365</v>
      </c>
      <c r="X4" s="1">
        <f>'OI 2018'!M103+'OI 2018'!T103</f>
        <v>1460</v>
      </c>
      <c r="Y4" s="1">
        <f>'OI 2019'!N104+'OI 2019'!V104</f>
        <v>1590.8181818181818</v>
      </c>
      <c r="Z4" s="1">
        <f>'OI 2020'!M135</f>
        <v>723</v>
      </c>
      <c r="AA4">
        <f>'OI 2021'!N137</f>
        <v>1008</v>
      </c>
      <c r="AB4" s="9">
        <f>'OI 2022'!N149</f>
        <v>224</v>
      </c>
      <c r="AC4" s="138">
        <f>'OI 2023'!N149</f>
        <v>806</v>
      </c>
      <c r="AE4" t="s">
        <v>94</v>
      </c>
      <c r="AF4">
        <f>'OI 2014'!E80</f>
        <v>2559</v>
      </c>
      <c r="AG4">
        <f>'OI 2015'!E80</f>
        <v>3421</v>
      </c>
      <c r="AH4">
        <f>'OI 2016'!E80</f>
        <v>3190</v>
      </c>
      <c r="AI4">
        <f>'OI 2017'!E105</f>
        <v>4551</v>
      </c>
      <c r="AJ4">
        <f>'OI 2018'!E105</f>
        <v>7360.4</v>
      </c>
      <c r="AK4">
        <f>'OI 2019'!E106</f>
        <v>6601</v>
      </c>
      <c r="AL4">
        <f>'OI 2020'!E137</f>
        <v>9504</v>
      </c>
    </row>
    <row r="5" spans="1:38" x14ac:dyDescent="0.25">
      <c r="A5" s="8"/>
      <c r="C5" s="8" t="s">
        <v>379</v>
      </c>
      <c r="D5" s="141">
        <f>SUMIF('OI 2014'!$I$87:$I$101,C5,'OI 2014'!$L$87:$L$101)</f>
        <v>0</v>
      </c>
      <c r="E5" s="1">
        <f>SUMIF('OI 2015'!$I$87:$I$101,C5,'OI 2015'!$L$87:$L$101)</f>
        <v>0</v>
      </c>
      <c r="F5" s="1">
        <f>SUMIF('OI 2016'!$I$87:$I$101,C5,'OI 2016'!$L$87:$L$101)</f>
        <v>0</v>
      </c>
      <c r="G5" s="1">
        <f>SUMIF('OI 2017'!$I$112:$I$128,C5,'OI 2017'!$L$112:$L$128)</f>
        <v>79.5</v>
      </c>
      <c r="H5" s="1">
        <f>SUMIF('OI 2018'!$I$112:$I$131,C5,'OI 2018'!$L$112:$L$131)</f>
        <v>20.25</v>
      </c>
      <c r="I5" s="1">
        <f>SUMIF('OI 2019'!$I$113:$I$132,C5,'OI 2019'!$L$113:$L$132)</f>
        <v>0</v>
      </c>
      <c r="J5" s="1">
        <f>SUMIF('OI 2020'!$I$144:$I$165,C5,'OI 2020'!$K$144:$K$165)</f>
        <v>0</v>
      </c>
      <c r="K5" s="1">
        <f>SUMIF('OI 2021'!$I$145:$I$166,C5,'OI 2021'!$K$145:$K$166)</f>
        <v>12</v>
      </c>
      <c r="L5" s="1">
        <f>SUMIF('OI 2022'!$I$158:$I$175,$C5,'OI 2022'!$K$158:$K$175)</f>
        <v>0</v>
      </c>
      <c r="M5" s="19">
        <f>SUMIF('OI 2023'!$I$158:$I$173,$C5,'OI 2023'!$J$158:$J$173)</f>
        <v>0</v>
      </c>
      <c r="N5" s="161"/>
      <c r="O5" s="161"/>
      <c r="Q5" s="8" t="s">
        <v>385</v>
      </c>
      <c r="R5" s="1">
        <f>'OI 2012'!M80+'OI 2012'!T80</f>
        <v>323</v>
      </c>
      <c r="S5" s="1">
        <f>'OI 2013'!M80+'OI 2013'!T80</f>
        <v>511.89090909090925</v>
      </c>
      <c r="T5" s="1">
        <f>'OI 2014'!M80+'OI 2014'!T80</f>
        <v>481.48484848484878</v>
      </c>
      <c r="U5" s="1">
        <f>'OI 2015'!M80+'OI 2015'!T80</f>
        <v>1081.9378516657994</v>
      </c>
      <c r="V5" s="1">
        <f>'OI 2016'!M80+'OI 2016'!T80</f>
        <v>1136.6095740008777</v>
      </c>
      <c r="W5" s="1">
        <f>'OI 2017'!M104+'OI 2017'!T104</f>
        <v>1261.2067355476966</v>
      </c>
      <c r="X5" s="1">
        <f>'OI 2018'!M104+'OI 2018'!T104</f>
        <v>1311.9334535284192</v>
      </c>
      <c r="Y5" s="1">
        <f>'OI 2019'!N105+'OI 2019'!V105</f>
        <v>429.3381642512079</v>
      </c>
      <c r="Z5">
        <f>'OI 2020'!N136</f>
        <v>2485</v>
      </c>
      <c r="AA5">
        <f>'OI 2021'!N138</f>
        <v>811</v>
      </c>
      <c r="AB5" s="138">
        <f>'OI 2022'!N150</f>
        <v>123</v>
      </c>
      <c r="AC5" s="138">
        <f>'OI 2023'!N150</f>
        <v>130</v>
      </c>
    </row>
    <row r="6" spans="1:38" x14ac:dyDescent="0.25">
      <c r="C6" s="8" t="s">
        <v>478</v>
      </c>
      <c r="D6" s="141">
        <f>SUMIF('OI 2014'!$I$87:$I$101,C6,'OI 2014'!$L$87:$L$101)</f>
        <v>364.70588235294116</v>
      </c>
      <c r="E6" s="1">
        <f>SUMIF('OI 2015'!$I$87:$I$101,C6,'OI 2015'!$L$87:$L$101)</f>
        <v>0</v>
      </c>
      <c r="F6" s="1">
        <f>SUMIF('OI 2016'!$I$87:$I$101,C6,'OI 2016'!$L$87:$L$101)</f>
        <v>0</v>
      </c>
      <c r="G6" s="1">
        <f>SUMIF('OI 2017'!$I$112:$I$128,C6,'OI 2017'!$L$112:$L$128)</f>
        <v>0</v>
      </c>
      <c r="H6" s="1">
        <f>SUMIF('OI 2018'!$I$112:$I$131,C6,'OI 2018'!$L$112:$L$131)</f>
        <v>0</v>
      </c>
      <c r="I6" s="1">
        <f>SUMIF('OI 2019'!$I$113:$I$132,C6,'OI 2019'!$L$113:$L$132)</f>
        <v>0</v>
      </c>
      <c r="J6" s="1">
        <f>SUMIF('OI 2020'!$I$144:$I$165,C6,'OI 2020'!$K$144:$K$165)</f>
        <v>0</v>
      </c>
      <c r="K6" s="1">
        <f>SUMIF('OI 2021'!$I$145:$I$166,C6,'OI 2021'!$K$145:$K$166)</f>
        <v>0</v>
      </c>
      <c r="L6" s="1">
        <f>SUMIF('OI 2022'!$I$158:$I$175,$C6,'OI 2022'!$K$158:$K$175)</f>
        <v>0</v>
      </c>
      <c r="M6" s="19">
        <f>SUMIF('OI 2023'!$I$158:$I$173,$C6,'OI 2023'!$J$158:$J$173)</f>
        <v>0</v>
      </c>
      <c r="N6" s="161"/>
      <c r="O6" s="161"/>
      <c r="Q6" s="8" t="s">
        <v>1569</v>
      </c>
      <c r="R6">
        <v>0</v>
      </c>
      <c r="S6">
        <v>0</v>
      </c>
      <c r="T6" s="1">
        <f>'OI 2014'!M81+'OI 2014'!T81</f>
        <v>0</v>
      </c>
      <c r="U6" s="1">
        <f>'OI 2015'!M81+'OI 2015'!T81</f>
        <v>0</v>
      </c>
      <c r="V6" s="1">
        <f>'OI 2016'!M81+'OI 2016'!T81</f>
        <v>0</v>
      </c>
      <c r="W6" s="1">
        <f>'OI 2017'!M105+'OI 2017'!T105</f>
        <v>164.5</v>
      </c>
      <c r="X6" s="1">
        <f>'OI 2018'!M105+'OI 2018'!T105</f>
        <v>725.0595238095234</v>
      </c>
      <c r="Y6" s="1">
        <f>'OI 2019'!N106+'OI 2019'!V106</f>
        <v>1435.7674418604649</v>
      </c>
      <c r="Z6">
        <f>'OI 2020'!N137</f>
        <v>7134</v>
      </c>
      <c r="AA6">
        <f>'OI 2021'!N139</f>
        <v>4446</v>
      </c>
      <c r="AB6" s="138">
        <f>'OI 2022'!N151</f>
        <v>4962</v>
      </c>
      <c r="AC6" s="138">
        <f>'OI 2023'!N151</f>
        <v>9281</v>
      </c>
    </row>
    <row r="7" spans="1:38" x14ac:dyDescent="0.25">
      <c r="A7" s="8"/>
      <c r="C7" s="8" t="s">
        <v>462</v>
      </c>
      <c r="D7" s="141">
        <f>SUMIF('OI 2014'!$I$87:$I$101,C7,'OI 2014'!$L$87:$L$101)</f>
        <v>34</v>
      </c>
      <c r="E7" s="1">
        <f>SUMIF('OI 2015'!$I$87:$I$101,C7,'OI 2015'!$L$87:$L$101)</f>
        <v>0</v>
      </c>
      <c r="F7" s="1">
        <f>SUMIF('OI 2016'!$I$87:$I$101,C7,'OI 2016'!$L$87:$L$101)</f>
        <v>0</v>
      </c>
      <c r="G7" s="1">
        <f>SUMIF('OI 2017'!$I$112:$I$128,C7,'OI 2017'!$L$112:$L$128)</f>
        <v>0</v>
      </c>
      <c r="H7" s="1">
        <f>SUMIF('OI 2018'!$I$112:$I$131,C7,'OI 2018'!$L$112:$L$131)</f>
        <v>0</v>
      </c>
      <c r="I7" s="1">
        <f>SUMIF('OI 2019'!$I$113:$I$132,C7,'OI 2019'!$L$113:$L$132)</f>
        <v>0</v>
      </c>
      <c r="J7" s="1">
        <f>SUMIF('OI 2020'!$I$144:$I$165,C7,'OI 2020'!$K$144:$K$165)</f>
        <v>0</v>
      </c>
      <c r="K7" s="1">
        <f>SUMIF('OI 2021'!$I$145:$I$166,C7,'OI 2021'!$K$145:$K$166)</f>
        <v>0</v>
      </c>
      <c r="L7" s="1">
        <f>SUMIF('OI 2022'!$I$158:$I$175,$C7,'OI 2022'!$K$158:$K$175)</f>
        <v>0</v>
      </c>
      <c r="M7" s="19">
        <f>SUMIF('OI 2023'!$I$158:$I$173,$C7,'OI 2023'!$J$158:$J$173)</f>
        <v>0</v>
      </c>
      <c r="N7" s="161"/>
      <c r="O7" s="161"/>
      <c r="Q7" s="8" t="s">
        <v>1718</v>
      </c>
      <c r="Z7">
        <f>'OI 2020'!N138</f>
        <v>1313</v>
      </c>
      <c r="AA7">
        <f>'OI 2021'!N140</f>
        <v>3284</v>
      </c>
      <c r="AB7" s="138">
        <f>'OI 2022'!N152</f>
        <v>2588</v>
      </c>
      <c r="AC7" s="138">
        <f>'OI 2023'!N152</f>
        <v>1937</v>
      </c>
      <c r="AG7" t="s">
        <v>391</v>
      </c>
    </row>
    <row r="8" spans="1:38" x14ac:dyDescent="0.25">
      <c r="A8" s="8"/>
      <c r="C8" s="8" t="s">
        <v>244</v>
      </c>
      <c r="D8" s="141">
        <f>SUMIF('OI 2014'!$I$87:$I$101,C8,'OI 2014'!$L$87:$L$101)</f>
        <v>21</v>
      </c>
      <c r="E8" s="1">
        <f>SUMIF('OI 2015'!$I$87:$I$101,C8,'OI 2015'!$L$87:$L$101)</f>
        <v>49</v>
      </c>
      <c r="F8" s="1">
        <f>SUMIF('OI 2016'!$I$87:$I$101,C8,'OI 2016'!$L$87:$L$101)</f>
        <v>0</v>
      </c>
      <c r="G8" s="1">
        <f>SUMIF('OI 2017'!$I$112:$I$128,C8,'OI 2017'!$L$112:$L$128)</f>
        <v>0</v>
      </c>
      <c r="H8" s="1">
        <f>SUMIF('OI 2018'!$I$112:$I$131,C8,'OI 2018'!$L$112:$L$131)</f>
        <v>0</v>
      </c>
      <c r="I8" s="1">
        <f>SUMIF('OI 2019'!$I$113:$I$132,C8,'OI 2019'!$L$113:$L$132)</f>
        <v>0</v>
      </c>
      <c r="J8" s="1">
        <f>SUMIF('OI 2020'!$I$144:$I$165,C8,'OI 2020'!$K$144:$K$165)</f>
        <v>1</v>
      </c>
      <c r="K8" s="1">
        <f>SUMIF('OI 2021'!$I$145:$I$166,C8,'OI 2021'!$K$145:$K$166)</f>
        <v>2</v>
      </c>
      <c r="L8" s="1">
        <f>SUMIF('OI 2022'!$I$158:$I$175,$C8,'OI 2022'!$K$158:$K$175)</f>
        <v>0</v>
      </c>
      <c r="M8" s="19">
        <f>SUMIF('OI 2023'!$I$158:$I$173,$C8,'OI 2023'!$J$158:$J$173)</f>
        <v>0</v>
      </c>
      <c r="N8" s="161"/>
      <c r="O8" s="161"/>
      <c r="Q8" s="10" t="s">
        <v>1698</v>
      </c>
      <c r="R8" s="11"/>
      <c r="S8" s="11"/>
      <c r="T8" s="11"/>
      <c r="U8" s="11"/>
      <c r="V8" s="11"/>
      <c r="W8" s="11"/>
      <c r="X8" s="11"/>
      <c r="Y8" s="11"/>
      <c r="Z8" s="11"/>
      <c r="AA8" s="11">
        <f>'OI 2021'!N141</f>
        <v>733</v>
      </c>
      <c r="AB8" s="139">
        <f>'OI 2022'!N153</f>
        <v>650</v>
      </c>
      <c r="AC8" s="139">
        <f>'OI 2023'!N153</f>
        <v>3168</v>
      </c>
      <c r="AF8" s="3">
        <v>2014</v>
      </c>
      <c r="AG8" s="3">
        <v>2015</v>
      </c>
      <c r="AH8" s="3">
        <v>2016</v>
      </c>
      <c r="AI8" s="3">
        <v>2017</v>
      </c>
      <c r="AJ8" s="3">
        <v>2018</v>
      </c>
      <c r="AK8" s="3">
        <v>2019</v>
      </c>
      <c r="AL8" s="3">
        <v>2020</v>
      </c>
    </row>
    <row r="9" spans="1:38" x14ac:dyDescent="0.25">
      <c r="A9" s="8"/>
      <c r="C9" s="8" t="s">
        <v>233</v>
      </c>
      <c r="D9" s="141">
        <f>SUMIF('OI 2014'!$I$87:$I$101,C9,'OI 2014'!$L$87:$L$101)</f>
        <v>61</v>
      </c>
      <c r="E9" s="1">
        <f>SUMIF('OI 2015'!$I$87:$I$101,C9,'OI 2015'!$L$87:$L$101)</f>
        <v>29</v>
      </c>
      <c r="F9" s="1">
        <f>SUMIF('OI 2016'!$I$87:$I$101,C9,'OI 2016'!$L$87:$L$101)</f>
        <v>40</v>
      </c>
      <c r="G9" s="1">
        <f>SUMIF('OI 2017'!$I$112:$I$128,C9,'OI 2017'!$L$112:$L$128)</f>
        <v>0</v>
      </c>
      <c r="H9" s="1">
        <f>SUMIF('OI 2018'!$I$112:$I$131,C9,'OI 2018'!$L$112:$L$131)</f>
        <v>0</v>
      </c>
      <c r="I9" s="1">
        <f>SUMIF('OI 2019'!$I$113:$I$132,C9,'OI 2019'!$L$113:$L$132)</f>
        <v>0</v>
      </c>
      <c r="J9" s="1">
        <f>SUMIF('OI 2020'!$I$144:$I$165,C9,'OI 2020'!$K$144:$K$165)</f>
        <v>0</v>
      </c>
      <c r="K9" s="1">
        <f>SUMIF('OI 2021'!$I$145:$I$166,C9,'OI 2021'!$K$145:$K$166)</f>
        <v>0</v>
      </c>
      <c r="L9" s="1">
        <f>SUMIF('OI 2022'!$I$158:$I$175,$C9,'OI 2022'!$K$158:$K$175)</f>
        <v>0</v>
      </c>
      <c r="M9" s="19">
        <f>SUMIF('OI 2023'!$I$158:$I$173,$C9,'OI 2023'!$J$158:$J$173)</f>
        <v>0</v>
      </c>
      <c r="N9" s="161"/>
      <c r="O9" s="161"/>
      <c r="Q9" s="8"/>
      <c r="AB9" s="9"/>
      <c r="AE9" t="s">
        <v>1173</v>
      </c>
      <c r="AI9">
        <v>1.3</v>
      </c>
      <c r="AJ9">
        <v>0.7</v>
      </c>
    </row>
    <row r="10" spans="1:38" x14ac:dyDescent="0.25">
      <c r="A10" s="8"/>
      <c r="C10" s="8" t="s">
        <v>222</v>
      </c>
      <c r="D10" s="141">
        <f>SUMIF('OI 2014'!$I$87:$I$101,C10,'OI 2014'!$L$87:$L$101)</f>
        <v>0</v>
      </c>
      <c r="E10" s="1">
        <f>SUMIF('OI 2015'!$I$87:$I$101,C10,'OI 2015'!$L$87:$L$101)</f>
        <v>70</v>
      </c>
      <c r="F10" s="1">
        <f>SUMIF('OI 2016'!$I$87:$I$101,C10,'OI 2016'!$L$87:$L$101)</f>
        <v>15</v>
      </c>
      <c r="G10" s="1">
        <f>SUMIF('OI 2017'!$I$112:$I$128,C10,'OI 2017'!$L$112:$L$128)</f>
        <v>0</v>
      </c>
      <c r="H10" s="1">
        <f>SUMIF('OI 2018'!$I$112:$I$131,C10,'OI 2018'!$L$112:$L$131)</f>
        <v>0</v>
      </c>
      <c r="I10" s="1">
        <f>SUMIF('OI 2019'!$I$113:$I$132,C10,'OI 2019'!$L$113:$L$132)</f>
        <v>0</v>
      </c>
      <c r="J10" s="1">
        <f>SUMIF('OI 2020'!$I$144:$I$165,C10,'OI 2020'!$K$144:$K$165)</f>
        <v>0</v>
      </c>
      <c r="K10" s="1">
        <f>SUMIF('OI 2021'!$I$145:$I$166,C10,'OI 2021'!$K$145:$K$166)</f>
        <v>0</v>
      </c>
      <c r="L10" s="1">
        <f>SUMIF('OI 2022'!$I$158:$I$175,$C10,'OI 2022'!$K$158:$K$175)</f>
        <v>0</v>
      </c>
      <c r="M10" s="19">
        <f>SUMIF('OI 2023'!$I$158:$I$173,$C10,'OI 2023'!$J$158:$J$173)</f>
        <v>0</v>
      </c>
      <c r="N10" s="161"/>
      <c r="O10" s="161"/>
      <c r="Q10" s="8" t="s">
        <v>1153</v>
      </c>
      <c r="R10" s="1">
        <f t="shared" ref="R10:Y10" si="0">SUM(R3:R7)</f>
        <v>723</v>
      </c>
      <c r="S10" s="1">
        <f t="shared" si="0"/>
        <v>1865.5020202020203</v>
      </c>
      <c r="T10" s="1">
        <f t="shared" si="0"/>
        <v>1926.1907308377899</v>
      </c>
      <c r="U10" s="1">
        <f t="shared" si="0"/>
        <v>2621.9378516657994</v>
      </c>
      <c r="V10" s="1">
        <f t="shared" si="0"/>
        <v>2794.5732103645141</v>
      </c>
      <c r="W10" s="1">
        <f t="shared" si="0"/>
        <v>3155.570371911333</v>
      </c>
      <c r="X10" s="1">
        <f t="shared" si="0"/>
        <v>3496.9929773379426</v>
      </c>
      <c r="Y10" s="1">
        <f t="shared" si="0"/>
        <v>3455.9237879298544</v>
      </c>
      <c r="AB10" s="9"/>
      <c r="AE10" t="s">
        <v>546</v>
      </c>
      <c r="AI10">
        <v>3.4</v>
      </c>
      <c r="AJ10">
        <v>6.9</v>
      </c>
    </row>
    <row r="11" spans="1:38" x14ac:dyDescent="0.25">
      <c r="A11" s="8"/>
      <c r="C11" s="8" t="s">
        <v>113</v>
      </c>
      <c r="D11" s="141">
        <f>SUMIF('OI 2014'!$I$87:$I$101,C11,'OI 2014'!$L$87:$L$101)</f>
        <v>659</v>
      </c>
      <c r="E11" s="1">
        <f>SUMIF('OI 2015'!$I$87:$I$101,C11,'OI 2015'!$L$87:$L$101)</f>
        <v>486</v>
      </c>
      <c r="F11" s="1">
        <f>SUMIF('OI 2016'!$I$87:$I$101,C11,'OI 2016'!$L$87:$L$101)</f>
        <v>104</v>
      </c>
      <c r="G11" s="1">
        <f>SUMIF('OI 2017'!$I$112:$I$128,C11,'OI 2017'!$L$112:$L$128)</f>
        <v>72</v>
      </c>
      <c r="H11" s="1">
        <f>SUMIF('OI 2018'!$I$112:$I$131,C11,'OI 2018'!$L$112:$L$131)</f>
        <v>141</v>
      </c>
      <c r="I11" s="1">
        <f>SUMIF('OI 2019'!$I$113:$I$132,C11,'OI 2019'!$L$113:$L$132)</f>
        <v>0</v>
      </c>
      <c r="J11" s="1">
        <f>SUMIF('OI 2020'!$I$144:$I$165,C11,'OI 2020'!$K$144:$K$165)</f>
        <v>124</v>
      </c>
      <c r="K11" s="1">
        <f>SUMIF('OI 2021'!$I$145:$I$166,C11,'OI 2021'!$K$145:$K$166)</f>
        <v>86</v>
      </c>
      <c r="L11" s="1">
        <f>SUMIF('OI 2022'!$I$158:$I$175,$C11,'OI 2022'!$K$158:$K$175)</f>
        <v>2</v>
      </c>
      <c r="M11" s="19">
        <f>SUMIF('OI 2023'!$I$158:$I$173,$C11,'OI 2023'!$J$158:$J$173)</f>
        <v>40</v>
      </c>
      <c r="N11" s="161"/>
      <c r="O11" s="161"/>
      <c r="Q11" s="10" t="s">
        <v>1154</v>
      </c>
      <c r="R11" s="11">
        <f>'OI 2012'!E78</f>
        <v>2281.8000000000002</v>
      </c>
      <c r="S11" s="11">
        <f>'OI 2013'!E78</f>
        <v>4325</v>
      </c>
      <c r="T11" s="11">
        <f>'OI 2014'!E78</f>
        <v>4112</v>
      </c>
      <c r="U11" s="11">
        <f>'OI 2015'!E78</f>
        <v>6753</v>
      </c>
      <c r="V11" s="11">
        <f>'OI 2016'!E78</f>
        <v>7585</v>
      </c>
      <c r="W11" s="11">
        <f>'OI 2017'!E103</f>
        <v>13165</v>
      </c>
      <c r="X11" s="11">
        <f>'OI 2018'!E103</f>
        <v>15473.2</v>
      </c>
      <c r="Y11" s="11">
        <f>'OI 2019'!E104</f>
        <v>17862</v>
      </c>
      <c r="Z11" s="11"/>
      <c r="AA11" s="11"/>
      <c r="AB11" s="12"/>
      <c r="AE11" t="s">
        <v>93</v>
      </c>
      <c r="AF11" s="34">
        <f>AF3/(AF3+AF4)</f>
        <v>0.32533614553124174</v>
      </c>
      <c r="AG11" s="34">
        <f>AG3/(AG3+AG4)</f>
        <v>0.40854080221300137</v>
      </c>
      <c r="AH11" s="34">
        <f>AH3/(AH3+AH4)</f>
        <v>0.36693788450089304</v>
      </c>
      <c r="AI11" s="34">
        <v>0.33700000000000002</v>
      </c>
      <c r="AJ11" s="34">
        <v>0.32800000000000001</v>
      </c>
    </row>
    <row r="12" spans="1:38" x14ac:dyDescent="0.25">
      <c r="C12" s="8" t="s">
        <v>114</v>
      </c>
      <c r="D12" s="141">
        <f>SUMIF('OI 2014'!$I$87:$I$101,C12,'OI 2014'!$L$87:$L$101)</f>
        <v>0</v>
      </c>
      <c r="E12" s="1">
        <f>SUMIF('OI 2015'!$I$87:$I$101,C12,'OI 2015'!$L$87:$L$101)</f>
        <v>0</v>
      </c>
      <c r="F12" s="1">
        <f>SUMIF('OI 2016'!$I$87:$I$101,C12,'OI 2016'!$L$87:$L$101)</f>
        <v>8.9855072463768106</v>
      </c>
      <c r="G12" s="1">
        <f>SUMIF('OI 2017'!$I$112:$I$128,C12,'OI 2017'!$L$112:$L$128)</f>
        <v>31.714975845410628</v>
      </c>
      <c r="H12" s="1">
        <f>SUMIF('OI 2018'!$I$112:$I$131,C12,'OI 2018'!$L$112:$L$131)</f>
        <v>0</v>
      </c>
      <c r="I12" s="1">
        <f>SUMIF('OI 2019'!$I$113:$I$132,C12,'OI 2019'!$L$113:$L$132)</f>
        <v>17</v>
      </c>
      <c r="J12" s="1">
        <f>SUMIF('OI 2020'!$I$144:$I$165,C12,'OI 2020'!$K$144:$K$165)</f>
        <v>127</v>
      </c>
      <c r="K12" s="1">
        <f>SUMIF('OI 2021'!$I$145:$I$166,C12,'OI 2021'!$K$145:$K$166)</f>
        <v>25</v>
      </c>
      <c r="L12" s="1">
        <f>SUMIF('OI 2022'!$I$158:$I$175,$C12,'OI 2022'!$K$158:$K$175)</f>
        <v>8</v>
      </c>
      <c r="M12" s="19">
        <f>SUMIF('OI 2023'!$I$158:$I$173,$C12,'OI 2023'!$J$158:$J$173)</f>
        <v>0</v>
      </c>
      <c r="N12" s="161"/>
      <c r="O12" s="161"/>
      <c r="AE12" t="s">
        <v>94</v>
      </c>
      <c r="AF12" s="34">
        <f>AF4/(AF4+AF3)</f>
        <v>0.67466385446875821</v>
      </c>
      <c r="AG12" s="34">
        <f>AG4/(AG4+AG3)</f>
        <v>0.59145919778699863</v>
      </c>
      <c r="AH12" s="34">
        <f>AH4/(AH4+AH3)</f>
        <v>0.63306211549910696</v>
      </c>
      <c r="AI12" s="34">
        <v>0.61599999999999999</v>
      </c>
      <c r="AJ12" s="34">
        <v>0.61599999999999999</v>
      </c>
    </row>
    <row r="13" spans="1:38" x14ac:dyDescent="0.25">
      <c r="C13" s="8" t="s">
        <v>781</v>
      </c>
      <c r="D13" s="141">
        <f>SUMIF('OI 2014'!$I$87:$I$101,C13,'OI 2014'!$L$87:$L$101)</f>
        <v>0</v>
      </c>
      <c r="E13" s="1">
        <f>SUMIF('OI 2015'!$I$87:$I$101,C13,'OI 2015'!$L$87:$L$101)</f>
        <v>0</v>
      </c>
      <c r="F13" s="1">
        <f>SUMIF('OI 2016'!$I$87:$I$101,C13,'OI 2016'!$L$87:$L$101)</f>
        <v>0</v>
      </c>
      <c r="G13" s="1">
        <f>SUMIF('OI 2017'!$I$112:$I$128,C13,'OI 2017'!$L$112:$L$128)</f>
        <v>0</v>
      </c>
      <c r="H13" s="1">
        <f>SUMIF('OI 2018'!$I$112:$I$131,C13,'OI 2018'!$L$112:$L$131)</f>
        <v>0</v>
      </c>
      <c r="I13" s="1">
        <f>SUMIF('OI 2019'!$I$113:$I$132,C13,'OI 2019'!$L$113:$L$132)</f>
        <v>0</v>
      </c>
      <c r="J13" s="1">
        <f>SUMIF('OI 2020'!$I$144:$I$165,C13,'OI 2020'!$K$144:$K$165)</f>
        <v>11</v>
      </c>
      <c r="K13" s="1">
        <f>SUMIF('OI 2021'!$I$145:$I$166,C13,'OI 2021'!$K$145:$K$166)</f>
        <v>0</v>
      </c>
      <c r="L13" s="1">
        <f>SUMIF('OI 2022'!$I$158:$I$175,$C13,'OI 2022'!$K$158:$K$175)</f>
        <v>0</v>
      </c>
      <c r="M13" s="19">
        <f>SUMIF('OI 2023'!$I$158:$I$173,$C13,'OI 2023'!$J$158:$J$173)</f>
        <v>0</v>
      </c>
      <c r="N13" s="161"/>
      <c r="O13" s="161"/>
    </row>
    <row r="14" spans="1:38" x14ac:dyDescent="0.25">
      <c r="A14" s="8"/>
      <c r="C14" s="8" t="s">
        <v>110</v>
      </c>
      <c r="D14" s="141">
        <f>SUMIF('OI 2014'!$I$87:$I$101,C14,'OI 2014'!$L$87:$L$101)</f>
        <v>336</v>
      </c>
      <c r="E14" s="1">
        <f>SUMIF('OI 2015'!$I$87:$I$101,C14,'OI 2015'!$L$87:$L$101)</f>
        <v>860</v>
      </c>
      <c r="F14" s="1">
        <f>SUMIF('OI 2016'!$I$87:$I$101,C14,'OI 2016'!$L$87:$L$101)</f>
        <v>1354.3636363636363</v>
      </c>
      <c r="G14" s="1">
        <f>SUMIF('OI 2017'!$I$112:$I$128,C14,'OI 2017'!$L$112:$L$128)</f>
        <v>1409.5</v>
      </c>
      <c r="H14" s="1">
        <f>SUMIF('OI 2018'!$I$112:$I$131,C14,'OI 2018'!$L$112:$L$131)</f>
        <v>360.09090909090912</v>
      </c>
      <c r="I14" s="1">
        <f>SUMIF('OI 2019'!$I$113:$I$132,C14,'OI 2019'!$L$113:$L$132)</f>
        <v>255</v>
      </c>
      <c r="J14" s="1">
        <f>SUMIF('OI 2020'!$I$144:$I$165,C14,'OI 2020'!$K$144:$K$165)</f>
        <v>215</v>
      </c>
      <c r="K14" s="1">
        <f>SUMIF('OI 2021'!$I$145:$I$166,C14,'OI 2021'!$K$145:$K$166)</f>
        <v>59</v>
      </c>
      <c r="L14" s="1">
        <f>SUMIF('OI 2022'!$I$158:$I$175,$C14,'OI 2022'!$K$158:$K$175)</f>
        <v>0</v>
      </c>
      <c r="M14" s="19">
        <f>SUMIF('OI 2023'!$I$158:$I$173,$C14,'OI 2023'!$J$158:$J$173)</f>
        <v>259</v>
      </c>
      <c r="N14" s="161"/>
      <c r="O14" s="161"/>
    </row>
    <row r="15" spans="1:38" x14ac:dyDescent="0.25">
      <c r="A15" s="8"/>
      <c r="C15" s="8" t="s">
        <v>119</v>
      </c>
      <c r="D15" s="141">
        <f>SUMIF('OI 2014'!$I$87:$I$101,C15,'OI 2014'!$L$87:$L$101)</f>
        <v>0</v>
      </c>
      <c r="E15" s="1">
        <f>SUMIF('OI 2015'!$I$87:$I$101,C15,'OI 2015'!$L$87:$L$101)</f>
        <v>0</v>
      </c>
      <c r="F15" s="1">
        <f>SUMIF('OI 2016'!$I$87:$I$101,C15,'OI 2016'!$L$87:$L$101)</f>
        <v>0</v>
      </c>
      <c r="G15" s="1">
        <f>SUMIF('OI 2017'!$I$112:$I$128,C15,'OI 2017'!$L$112:$L$128)</f>
        <v>40.36363636363636</v>
      </c>
      <c r="H15" s="1">
        <f>SUMIF('OI 2018'!$I$112:$I$131,C15,'OI 2018'!$L$112:$L$131)</f>
        <v>183.18181818181816</v>
      </c>
      <c r="I15" s="1">
        <f>SUMIF('OI 2019'!$I$113:$I$132,C15,'OI 2019'!$L$113:$L$132)</f>
        <v>66</v>
      </c>
      <c r="J15" s="1">
        <f>SUMIF('OI 2020'!$I$144:$I$165,C15,'OI 2020'!$K$144:$K$165)</f>
        <v>63</v>
      </c>
      <c r="K15" s="1">
        <f>SUMIF('OI 2021'!$I$145:$I$166,C15,'OI 2021'!$K$145:$K$166)</f>
        <v>60.090909090909093</v>
      </c>
      <c r="L15" s="1">
        <f>SUMIF('OI 2022'!$I$158:$I$175,$C15,'OI 2022'!$K$158:$K$175)</f>
        <v>66</v>
      </c>
      <c r="M15" s="19">
        <f>SUMIF('OI 2023'!$I$158:$I$173,$C15,'OI 2023'!$J$158:$J$173)</f>
        <v>0</v>
      </c>
      <c r="N15" s="161"/>
      <c r="O15" s="161"/>
    </row>
    <row r="16" spans="1:38" x14ac:dyDescent="0.25">
      <c r="A16" s="8"/>
      <c r="C16" s="8" t="s">
        <v>333</v>
      </c>
      <c r="D16" s="141">
        <f>SUMIF('OI 2014'!$I$87:$I$101,C16,'OI 2014'!$L$87:$L$101)</f>
        <v>0</v>
      </c>
      <c r="E16" s="1">
        <f>SUMIF('OI 2015'!$I$87:$I$101,C16,'OI 2015'!$L$87:$L$101)</f>
        <v>13.008130081300813</v>
      </c>
      <c r="F16" s="1">
        <f>SUMIF('OI 2016'!$I$87:$I$101,C16,'OI 2016'!$L$87:$L$101)</f>
        <v>0</v>
      </c>
      <c r="G16" s="1">
        <f>SUMIF('OI 2017'!$I$112:$I$128,C16,'OI 2017'!$L$112:$L$128)</f>
        <v>0</v>
      </c>
      <c r="H16" s="1">
        <f>SUMIF('OI 2018'!$I$112:$I$131,C16,'OI 2018'!$L$112:$L$131)</f>
        <v>0</v>
      </c>
      <c r="I16" s="1">
        <f>SUMIF('OI 2019'!$I$113:$I$132,C16,'OI 2019'!$L$113:$L$132)</f>
        <v>0</v>
      </c>
      <c r="J16" s="1">
        <f>SUMIF('OI 2020'!$I$144:$I$165,C16,'OI 2020'!$K$144:$K$165)</f>
        <v>0</v>
      </c>
      <c r="K16" s="1">
        <f>SUMIF('OI 2021'!$I$145:$I$166,C16,'OI 2021'!$K$145:$K$166)</f>
        <v>0</v>
      </c>
      <c r="L16" s="1">
        <f>SUMIF('OI 2022'!$I$158:$I$175,$C16,'OI 2022'!$K$158:$K$175)</f>
        <v>0</v>
      </c>
      <c r="M16" s="19">
        <f>SUMIF('OI 2023'!$I$158:$I$173,$C16,'OI 2023'!$J$158:$J$173)</f>
        <v>0</v>
      </c>
      <c r="N16" s="161"/>
      <c r="O16" s="161"/>
    </row>
    <row r="17" spans="1:27" x14ac:dyDescent="0.25">
      <c r="A17" s="8"/>
      <c r="C17" s="8" t="s">
        <v>321</v>
      </c>
      <c r="D17" s="141">
        <f>SUMIF('OI 2014'!$I$87:$I$101,C17,'OI 2014'!$L$87:$L$101)</f>
        <v>97.333333333333329</v>
      </c>
      <c r="E17" s="1">
        <f>SUMIF('OI 2015'!$I$87:$I$101,C17,'OI 2015'!$L$87:$L$101)</f>
        <v>12</v>
      </c>
      <c r="F17" s="1">
        <f>SUMIF('OI 2016'!$I$87:$I$101,C17,'OI 2016'!$L$87:$L$101)</f>
        <v>0</v>
      </c>
      <c r="G17" s="1">
        <f>SUMIF('OI 2017'!$I$112:$I$128,C17,'OI 2017'!$L$112:$L$128)</f>
        <v>0</v>
      </c>
      <c r="H17" s="1">
        <f>SUMIF('OI 2018'!$I$112:$I$131,C17,'OI 2018'!$L$112:$L$131)</f>
        <v>19</v>
      </c>
      <c r="I17" s="1">
        <f>SUMIF('OI 2019'!$I$113:$I$132,C17,'OI 2019'!$L$113:$L$132)</f>
        <v>0</v>
      </c>
      <c r="J17" s="1">
        <f>SUMIF('OI 2020'!$I$144:$I$165,C17,'OI 2020'!$K$144:$K$165)</f>
        <v>0</v>
      </c>
      <c r="K17" s="1">
        <f>SUMIF('OI 2021'!$I$145:$I$166,C17,'OI 2021'!$K$145:$K$166)</f>
        <v>0</v>
      </c>
      <c r="L17" s="1">
        <f>SUMIF('OI 2022'!$I$158:$I$175,$C17,'OI 2022'!$K$158:$K$175)</f>
        <v>0</v>
      </c>
      <c r="M17" s="19">
        <f>SUMIF('OI 2023'!$I$158:$I$173,$C17,'OI 2023'!$J$158:$J$173)</f>
        <v>0</v>
      </c>
      <c r="N17" s="161"/>
      <c r="O17" s="161"/>
    </row>
    <row r="18" spans="1:27" x14ac:dyDescent="0.25">
      <c r="C18" s="8" t="s">
        <v>111</v>
      </c>
      <c r="D18" s="141">
        <f>SUMIF('OI 2014'!$I$87:$I$101,C18,'OI 2014'!$L$87:$L$101)</f>
        <v>200.06060606060606</v>
      </c>
      <c r="E18" s="1">
        <f>SUMIF('OI 2015'!$I$87:$I$101,C18,'OI 2015'!$L$87:$L$101)</f>
        <v>212.12121212121212</v>
      </c>
      <c r="F18" s="1">
        <f>SUMIF('OI 2016'!$I$87:$I$101,C18,'OI 2016'!$L$87:$L$101)</f>
        <v>34.848484848484851</v>
      </c>
      <c r="G18" s="1">
        <f>SUMIF('OI 2017'!$I$112:$I$128,C18,'OI 2017'!$L$112:$L$128)</f>
        <v>26.060606060606062</v>
      </c>
      <c r="H18" s="1">
        <f>SUMIF('OI 2018'!$I$112:$I$131,C18,'OI 2018'!$L$112:$L$131)</f>
        <v>0</v>
      </c>
      <c r="I18" s="1">
        <f>SUMIF('OI 2019'!$I$113:$I$132,C18,'OI 2019'!$L$113:$L$132)</f>
        <v>9</v>
      </c>
      <c r="J18" s="1">
        <f>SUMIF('OI 2020'!$I$144:$I$165,C18,'OI 2020'!$K$144:$K$165)</f>
        <v>0</v>
      </c>
      <c r="K18" s="1">
        <f>SUMIF('OI 2021'!$I$145:$I$166,C18,'OI 2021'!$K$145:$K$166)</f>
        <v>0</v>
      </c>
      <c r="L18" s="1">
        <f>SUMIF('OI 2022'!$I$158:$I$175,$C18,'OI 2022'!$K$158:$K$175)</f>
        <v>0</v>
      </c>
      <c r="M18" s="19">
        <f>SUMIF('OI 2023'!$I$158:$I$173,$C18,'OI 2023'!$J$158:$J$173)</f>
        <v>0</v>
      </c>
      <c r="N18" s="161"/>
      <c r="O18" s="161"/>
    </row>
    <row r="19" spans="1:27" x14ac:dyDescent="0.25">
      <c r="A19" s="8"/>
      <c r="C19" s="8" t="s">
        <v>112</v>
      </c>
      <c r="D19" s="141">
        <f>SUMIF('OI 2014'!$I$87:$I$101,C19,'OI 2014'!$L$87:$L$101)</f>
        <v>0</v>
      </c>
      <c r="E19" s="1">
        <f>SUMIF('OI 2015'!$I$87:$I$101,C19,'OI 2015'!$L$87:$L$101)</f>
        <v>140.69652000347131</v>
      </c>
      <c r="F19" s="1">
        <f>SUMIF('OI 2016'!$I$87:$I$101,C19,'OI 2016'!$L$87:$L$101)</f>
        <v>164.15942028985506</v>
      </c>
      <c r="G19" s="1">
        <f>SUMIF('OI 2017'!$I$112:$I$128,C19,'OI 2017'!$L$112:$L$128)</f>
        <v>40.125603864734295</v>
      </c>
      <c r="H19" s="1">
        <f>SUMIF('OI 2018'!$I$112:$I$131,C19,'OI 2018'!$L$112:$L$131)</f>
        <v>22.95125164690382</v>
      </c>
      <c r="I19" s="1">
        <f>SUMIF('OI 2019'!$I$113:$I$132,C19,'OI 2019'!$L$113:$L$132)</f>
        <v>72</v>
      </c>
      <c r="J19" s="1">
        <f>SUMIF('OI 2020'!$I$144:$I$165,C19,'OI 2020'!$K$144:$K$165)</f>
        <v>34</v>
      </c>
      <c r="K19" s="1">
        <f>SUMIF('OI 2021'!$I$145:$I$166,C19,'OI 2021'!$K$145:$K$166)</f>
        <v>10</v>
      </c>
      <c r="L19" s="1">
        <f>SUMIF('OI 2022'!$I$158:$I$175,$C19,'OI 2022'!$K$158:$K$175)</f>
        <v>2</v>
      </c>
      <c r="M19" s="19">
        <f>SUMIF('OI 2023'!$I$158:$I$173,$C19,'OI 2023'!$J$158:$J$173)</f>
        <v>0</v>
      </c>
      <c r="N19" s="161"/>
      <c r="O19" s="161"/>
    </row>
    <row r="20" spans="1:27" x14ac:dyDescent="0.25">
      <c r="A20" s="8"/>
      <c r="C20" s="8" t="s">
        <v>122</v>
      </c>
      <c r="D20" s="141">
        <f>SUMIF('OI 2014'!$I$87:$I$101,C20,'OI 2014'!$L$87:$L$101)</f>
        <v>0</v>
      </c>
      <c r="E20" s="1">
        <f>SUMIF('OI 2015'!$I$87:$I$101,C20,'OI 2015'!$L$87:$L$101)</f>
        <v>0</v>
      </c>
      <c r="F20" s="1">
        <f>SUMIF('OI 2016'!$I$87:$I$101,C20,'OI 2016'!$L$87:$L$101)</f>
        <v>0</v>
      </c>
      <c r="G20" s="1">
        <f>SUMIF('OI 2017'!$I$112:$I$128,C20,'OI 2017'!$L$112:$L$128)</f>
        <v>33</v>
      </c>
      <c r="H20" s="1">
        <f>SUMIF('OI 2018'!$I$112:$I$131,C20,'OI 2018'!$L$112:$L$131)</f>
        <v>216</v>
      </c>
      <c r="I20" s="1">
        <f>SUMIF('OI 2019'!$I$113:$I$132,C20,'OI 2019'!$L$113:$L$132)</f>
        <v>0</v>
      </c>
      <c r="J20" s="1">
        <f>SUMIF('OI 2020'!$I$144:$I$165,C20,'OI 2020'!$K$144:$K$165)</f>
        <v>0</v>
      </c>
      <c r="K20" s="1">
        <f>SUMIF('OI 2021'!$I$145:$I$166,C20,'OI 2021'!$K$145:$K$166)</f>
        <v>0</v>
      </c>
      <c r="L20" s="1">
        <f>SUMIF('OI 2022'!$I$158:$I$175,$C20,'OI 2022'!$K$158:$K$175)</f>
        <v>0</v>
      </c>
      <c r="M20" s="19">
        <f>SUMIF('OI 2023'!$I$158:$I$173,$C20,'OI 2023'!$J$158:$J$173)</f>
        <v>0</v>
      </c>
      <c r="N20" s="161"/>
      <c r="O20" s="161"/>
    </row>
    <row r="21" spans="1:27" x14ac:dyDescent="0.25">
      <c r="C21" s="8" t="s">
        <v>454</v>
      </c>
      <c r="D21" s="141">
        <f>SUMIF('OI 2014'!$I$87:$I$101,C21,'OI 2014'!$L$87:$L$101)</f>
        <v>6</v>
      </c>
      <c r="E21" s="1">
        <f>SUMIF('OI 2015'!$I$87:$I$101,C21,'OI 2015'!$L$87:$L$101)</f>
        <v>0</v>
      </c>
      <c r="F21" s="1">
        <f>SUMIF('OI 2016'!$I$87:$I$101,C21,'OI 2016'!$L$87:$L$101)</f>
        <v>0</v>
      </c>
      <c r="G21" s="1">
        <f>SUMIF('OI 2017'!$I$112:$I$128,C21,'OI 2017'!$L$112:$L$128)</f>
        <v>0</v>
      </c>
      <c r="H21" s="1">
        <f>SUMIF('OI 2018'!$I$112:$I$131,C21,'OI 2018'!$L$112:$L$131)</f>
        <v>0</v>
      </c>
      <c r="I21" s="1">
        <f>SUMIF('OI 2019'!$I$113:$I$132,C21,'OI 2019'!$L$113:$L$132)</f>
        <v>0</v>
      </c>
      <c r="J21" s="1">
        <f>SUMIF('OI 2020'!$I$144:$I$165,C21,'OI 2020'!$K$144:$K$165)</f>
        <v>0</v>
      </c>
      <c r="K21" s="1">
        <f>SUMIF('OI 2021'!$I$145:$I$166,C21,'OI 2021'!$K$145:$K$166)</f>
        <v>0</v>
      </c>
      <c r="L21" s="1">
        <f>SUMIF('OI 2022'!$I$158:$I$175,$C21,'OI 2022'!$K$158:$K$175)</f>
        <v>0</v>
      </c>
      <c r="M21" s="19">
        <f>SUMIF('OI 2023'!$I$158:$I$173,$C21,'OI 2023'!$J$158:$J$173)</f>
        <v>0</v>
      </c>
      <c r="N21" s="161"/>
      <c r="O21" s="161"/>
    </row>
    <row r="22" spans="1:27" x14ac:dyDescent="0.25">
      <c r="A22" s="8"/>
      <c r="C22" s="8" t="s">
        <v>224</v>
      </c>
      <c r="D22" s="141">
        <f>SUMIF('OI 2014'!$I$87:$I$101,C22,'OI 2014'!$L$87:$L$101)</f>
        <v>19</v>
      </c>
      <c r="E22" s="1">
        <f>SUMIF('OI 2015'!$I$87:$I$101,C22,'OI 2015'!$L$87:$L$101)</f>
        <v>365.45454545454544</v>
      </c>
      <c r="F22" s="1">
        <f>SUMIF('OI 2016'!$I$87:$I$101,C22,'OI 2016'!$L$87:$L$101)</f>
        <v>53.939393939393945</v>
      </c>
      <c r="G22" s="1">
        <f>SUMIF('OI 2017'!$I$112:$I$128,C22,'OI 2017'!$L$112:$L$128)</f>
        <v>0</v>
      </c>
      <c r="H22" s="1">
        <f>SUMIF('OI 2018'!$I$112:$I$131,C22,'OI 2018'!$L$112:$L$131)</f>
        <v>10</v>
      </c>
      <c r="I22" s="1">
        <f>SUMIF('OI 2019'!$I$113:$I$132,C22,'OI 2019'!$L$113:$L$132)</f>
        <v>0</v>
      </c>
      <c r="J22" s="1">
        <f>SUMIF('OI 2020'!$I$144:$I$165,C22,'OI 2020'!$K$144:$K$165)</f>
        <v>0</v>
      </c>
      <c r="K22" s="1">
        <f>SUMIF('OI 2021'!$I$145:$I$166,C22,'OI 2021'!$K$145:$K$166)</f>
        <v>0</v>
      </c>
      <c r="L22" s="1">
        <f>SUMIF('OI 2022'!$I$158:$I$175,$C22,'OI 2022'!$K$158:$K$175)</f>
        <v>0</v>
      </c>
      <c r="M22" s="19">
        <f>SUMIF('OI 2023'!$I$158:$I$173,$C22,'OI 2023'!$J$158:$J$173)</f>
        <v>0</v>
      </c>
      <c r="N22" s="161"/>
      <c r="O22" s="161"/>
    </row>
    <row r="23" spans="1:27" x14ac:dyDescent="0.25">
      <c r="C23" s="8" t="s">
        <v>115</v>
      </c>
      <c r="D23" s="141">
        <f>SUMIF('OI 2014'!$I$87:$I$101,C23,'OI 2014'!$L$87:$L$101)</f>
        <v>0</v>
      </c>
      <c r="E23" s="1">
        <f>SUMIF('OI 2015'!$I$87:$I$101,C23,'OI 2015'!$L$87:$L$101)</f>
        <v>30</v>
      </c>
      <c r="F23" s="1">
        <f>SUMIF('OI 2016'!$I$87:$I$101,C23,'OI 2016'!$L$87:$L$101)</f>
        <v>398.97101449275362</v>
      </c>
      <c r="G23" s="1">
        <f>SUMIF('OI 2017'!$I$112:$I$128,C23,'OI 2017'!$L$112:$L$128)</f>
        <v>66.932367149758448</v>
      </c>
      <c r="H23" s="1">
        <f>SUMIF('OI 2018'!$I$112:$I$131,C23,'OI 2018'!$L$112:$L$131)</f>
        <v>178.15217391304347</v>
      </c>
      <c r="I23" s="1">
        <f>SUMIF('OI 2019'!$I$113:$I$132,C23,'OI 2019'!$L$113:$L$132)</f>
        <v>46</v>
      </c>
      <c r="J23" s="1">
        <f>SUMIF('OI 2020'!$I$144:$I$165,C23,'OI 2020'!$K$144:$K$165)</f>
        <v>33</v>
      </c>
      <c r="K23" s="1">
        <f>SUMIF('OI 2021'!$I$145:$I$166,C23,'OI 2021'!$K$145:$K$166)</f>
        <v>23</v>
      </c>
      <c r="L23" s="1">
        <f>SUMIF('OI 2022'!$I$158:$I$175,$C23,'OI 2022'!$K$158:$K$175)</f>
        <v>13</v>
      </c>
      <c r="M23" s="19">
        <f>SUMIF('OI 2023'!$I$158:$I$173,$C23,'OI 2023'!$J$158:$J$173)</f>
        <v>0</v>
      </c>
      <c r="N23" s="161"/>
      <c r="O23" s="161"/>
    </row>
    <row r="24" spans="1:27" x14ac:dyDescent="0.25">
      <c r="A24" s="8"/>
      <c r="C24" s="8" t="s">
        <v>1156</v>
      </c>
      <c r="D24" s="141">
        <f>SUMIF('OI 2014'!$I$87:$I$101,C24,'OI 2014'!$L$87:$L$101)</f>
        <v>0</v>
      </c>
      <c r="E24" s="1">
        <f>SUMIF('OI 2015'!$I$87:$I$101,C24,'OI 2015'!$L$87:$L$101)</f>
        <v>0</v>
      </c>
      <c r="F24" s="1">
        <f>SUMIF('OI 2016'!$I$87:$I$101,C24,'OI 2016'!$L$87:$L$101)</f>
        <v>0</v>
      </c>
      <c r="G24" s="1">
        <f>SUMIF('OI 2017'!$I$112:$I$128,C24,'OI 2017'!$L$112:$L$128)</f>
        <v>0</v>
      </c>
      <c r="H24" s="1">
        <f>SUMIF('OI 2018'!$I$112:$I$131,C24,'OI 2018'!$L$112:$L$131)</f>
        <v>31</v>
      </c>
      <c r="I24" s="1">
        <f>SUMIF('OI 2019'!$I$113:$I$132,C24,'OI 2019'!$L$113:$L$132)</f>
        <v>107</v>
      </c>
      <c r="J24" s="1">
        <f>SUMIF('OI 2020'!$I$144:$I$165,C24,'OI 2020'!$K$144:$K$165)</f>
        <v>166</v>
      </c>
      <c r="K24" s="1">
        <f>SUMIF('OI 2021'!$I$145:$I$166,C24,'OI 2021'!$K$145:$K$166)</f>
        <v>97</v>
      </c>
      <c r="L24" s="1">
        <f>SUMIF('OI 2022'!$I$158:$I$175,$C24,'OI 2022'!$K$158:$K$175)</f>
        <v>36</v>
      </c>
      <c r="M24" s="19">
        <f>SUMIF('OI 2023'!$I$158:$I$173,$C24,'OI 2023'!$J$158:$J$173)</f>
        <v>44</v>
      </c>
      <c r="N24" s="161"/>
      <c r="O24" s="161"/>
    </row>
    <row r="25" spans="1:27" x14ac:dyDescent="0.25">
      <c r="A25" s="8"/>
      <c r="C25" s="8" t="s">
        <v>578</v>
      </c>
      <c r="D25" s="141">
        <f>SUMIF('OI 2014'!$I$87:$I$101,C25,'OI 2014'!$L$87:$L$101)</f>
        <v>0</v>
      </c>
      <c r="E25" s="1">
        <f>SUMIF('OI 2015'!$I$87:$I$101,C25,'OI 2015'!$L$87:$L$101)</f>
        <v>0</v>
      </c>
      <c r="F25" s="1">
        <f>SUMIF('OI 2016'!$I$87:$I$101,C25,'OI 2016'!$L$87:$L$101)</f>
        <v>0</v>
      </c>
      <c r="G25" s="1">
        <f>SUMIF('OI 2017'!$I$112:$I$128,C25,'OI 2017'!$L$112:$L$128)</f>
        <v>0</v>
      </c>
      <c r="H25" s="1">
        <f>SUMIF('OI 2018'!$I$112:$I$131,C25,'OI 2018'!$L$112:$L$131)</f>
        <v>195</v>
      </c>
      <c r="I25" s="1">
        <f>SUMIF('OI 2019'!$I$113:$I$132,C25,'OI 2019'!$L$113:$L$132)</f>
        <v>15</v>
      </c>
      <c r="J25" s="1">
        <f>SUMIF('OI 2020'!$I$144:$I$165,C25,'OI 2020'!$K$144:$K$165)</f>
        <v>0</v>
      </c>
      <c r="K25" s="1">
        <f>SUMIF('OI 2021'!$I$145:$I$166,C25,'OI 2021'!$K$145:$K$166)</f>
        <v>0</v>
      </c>
      <c r="L25" s="1">
        <f>SUMIF('OI 2022'!$I$158:$I$175,$C25,'OI 2022'!$K$158:$K$175)</f>
        <v>0</v>
      </c>
      <c r="M25" s="19">
        <f>SUMIF('OI 2023'!$I$158:$I$173,$C25,'OI 2023'!$J$158:$J$173)</f>
        <v>0</v>
      </c>
      <c r="N25" s="161"/>
      <c r="O25" s="161"/>
    </row>
    <row r="26" spans="1:27" x14ac:dyDescent="0.25">
      <c r="A26" s="8"/>
      <c r="C26" s="8" t="s">
        <v>574</v>
      </c>
      <c r="D26" s="141">
        <f>SUMIF('OI 2014'!$I$87:$I$101,C26,'OI 2014'!$L$87:$L$101)</f>
        <v>0</v>
      </c>
      <c r="E26" s="1">
        <f>SUMIF('OI 2015'!$I$87:$I$101,C26,'OI 2015'!$L$87:$L$101)</f>
        <v>0</v>
      </c>
      <c r="F26" s="1">
        <f>SUMIF('OI 2016'!$I$87:$I$101,C26,'OI 2016'!$L$87:$L$101)</f>
        <v>0</v>
      </c>
      <c r="G26" s="1">
        <f>SUMIF('OI 2017'!$I$112:$I$128,C26,'OI 2017'!$L$112:$L$128)</f>
        <v>0</v>
      </c>
      <c r="H26" s="1">
        <f>SUMIF('OI 2018'!$I$112:$I$131,C26,'OI 2018'!$L$112:$L$131)</f>
        <v>264.72727272727275</v>
      </c>
      <c r="I26" s="1">
        <f>SUMIF('OI 2019'!$I$113:$I$132,C26,'OI 2019'!$L$113:$L$132)</f>
        <v>1254.8181818181815</v>
      </c>
      <c r="J26" s="1">
        <f>SUMIF('OI 2020'!$I$144:$I$165,C26,'OI 2020'!$K$144:$K$165)</f>
        <v>320</v>
      </c>
      <c r="K26" s="1">
        <f>SUMIF('OI 2021'!$I$145:$I$166,C26,'OI 2021'!$K$145:$K$166)</f>
        <v>255</v>
      </c>
      <c r="L26" s="1">
        <f>SUMIF('OI 2022'!$I$158:$I$175,$C26,'OI 2022'!$K$158:$K$175)</f>
        <v>23</v>
      </c>
      <c r="M26" s="19">
        <f>SUMIF('OI 2023'!$I$158:$I$173,$C26,'OI 2023'!$J$158:$J$173)</f>
        <v>72</v>
      </c>
      <c r="N26" s="161"/>
      <c r="O26" s="161"/>
    </row>
    <row r="27" spans="1:27" x14ac:dyDescent="0.25">
      <c r="C27" s="8" t="s">
        <v>106</v>
      </c>
      <c r="D27" s="141">
        <f>SUMIF('OI 2014'!$I$87:$I$101,C27,'OI 2014'!$L$87:$L$101)</f>
        <v>98.090909090909093</v>
      </c>
      <c r="E27" s="1">
        <f>SUMIF('OI 2015'!$I$87:$I$101,C27,'OI 2015'!$L$87:$L$101)</f>
        <v>218.78787878787878</v>
      </c>
      <c r="F27" s="1">
        <f>SUMIF('OI 2016'!$I$87:$I$101,C27,'OI 2016'!$L$87:$L$101)</f>
        <v>58.787878787878796</v>
      </c>
      <c r="G27" s="1">
        <f>SUMIF('OI 2017'!$I$112:$I$128,C27,'OI 2017'!$L$112:$L$128)</f>
        <v>22.121212121212121</v>
      </c>
      <c r="H27" s="1">
        <f>SUMIF('OI 2018'!$I$112:$I$131,C27,'OI 2018'!$L$112:$L$131)</f>
        <v>0</v>
      </c>
      <c r="I27" s="1">
        <f>SUMIF('OI 2019'!$I$113:$I$132,C27,'OI 2019'!$L$113:$L$132)</f>
        <v>0</v>
      </c>
      <c r="J27" s="1">
        <f>SUMIF('OI 2020'!$I$144:$I$165,C27,'OI 2020'!$K$144:$K$165)</f>
        <v>0</v>
      </c>
      <c r="K27" s="1">
        <f>SUMIF('OI 2021'!$I$145:$I$166,C27,'OI 2021'!$K$145:$K$166)</f>
        <v>0</v>
      </c>
      <c r="L27" s="1">
        <f>SUMIF('OI 2022'!$I$158:$I$175,$C27,'OI 2022'!$K$158:$K$175)</f>
        <v>0</v>
      </c>
      <c r="M27" s="19">
        <f>SUMIF('OI 2023'!$I$158:$I$173,$C27,'OI 2023'!$J$158:$J$173)</f>
        <v>0</v>
      </c>
      <c r="N27" s="161"/>
      <c r="O27" s="161"/>
    </row>
    <row r="28" spans="1:27" x14ac:dyDescent="0.25">
      <c r="C28" s="8" t="s">
        <v>109</v>
      </c>
      <c r="D28" s="141">
        <f>SUMIF('OI 2014'!$I$87:$I$101,C28,'OI 2014'!$L$87:$L$101)</f>
        <v>0</v>
      </c>
      <c r="E28" s="1">
        <f>SUMIF('OI 2015'!$I$87:$I$101,C28,'OI 2015'!$L$87:$L$101)</f>
        <v>26.956521739130434</v>
      </c>
      <c r="F28" s="1">
        <f>SUMIF('OI 2016'!$I$87:$I$101,C28,'OI 2016'!$L$87:$L$101)</f>
        <v>350.91787439613523</v>
      </c>
      <c r="G28" s="1">
        <f>SUMIF('OI 2017'!$I$112:$I$128,C28,'OI 2017'!$L$112:$L$128)</f>
        <v>310.80676328502415</v>
      </c>
      <c r="H28" s="1">
        <f>SUMIF('OI 2018'!$I$112:$I$131,C28,'OI 2018'!$L$112:$L$131)</f>
        <v>230.11212814645307</v>
      </c>
      <c r="I28" s="1">
        <f>SUMIF('OI 2019'!$I$113:$I$132,C28,'OI 2019'!$L$113:$L$132)</f>
        <v>132.44927536231884</v>
      </c>
      <c r="J28" s="1">
        <f>SUMIF('OI 2020'!$I$144:$I$165,C28,'OI 2020'!$K$144:$K$165)</f>
        <v>99</v>
      </c>
      <c r="K28" s="1">
        <f>SUMIF('OI 2021'!$I$145:$I$166,C28,'OI 2021'!$K$145:$K$166)</f>
        <v>107</v>
      </c>
      <c r="L28" s="1">
        <f>SUMIF('OI 2022'!$I$158:$I$175,$C28,'OI 2022'!$K$158:$K$175)</f>
        <v>25</v>
      </c>
      <c r="M28" s="19">
        <f>SUMIF('OI 2023'!$I$158:$I$173,$C28,'OI 2023'!$J$158:$J$173)</f>
        <v>7</v>
      </c>
      <c r="N28" s="161"/>
      <c r="O28" s="161"/>
    </row>
    <row r="29" spans="1:27" x14ac:dyDescent="0.25">
      <c r="C29" s="8" t="s">
        <v>120</v>
      </c>
      <c r="D29" s="141">
        <f>SUMIF('OI 2014'!$I$87:$I$101,C29,'OI 2014'!$L$87:$L$101)</f>
        <v>0</v>
      </c>
      <c r="E29" s="1">
        <f>SUMIF('OI 2015'!$I$87:$I$101,C29,'OI 2015'!$L$87:$L$101)</f>
        <v>0</v>
      </c>
      <c r="F29" s="1">
        <f>SUMIF('OI 2016'!$I$87:$I$101,C29,'OI 2016'!$L$87:$L$101)</f>
        <v>0</v>
      </c>
      <c r="G29" s="1">
        <f>SUMIF('OI 2017'!$I$112:$I$128,C29,'OI 2017'!$L$112:$L$128)</f>
        <v>24.444444444444443</v>
      </c>
      <c r="H29" s="1">
        <f>SUMIF('OI 2018'!$I$112:$I$131,C29,'OI 2018'!$L$112:$L$131)</f>
        <v>31</v>
      </c>
      <c r="I29" s="1">
        <f>SUMIF('OI 2019'!$I$113:$I$132,C29,'OI 2019'!$L$113:$L$132)</f>
        <v>0</v>
      </c>
      <c r="J29" s="1">
        <f>SUMIF('OI 2020'!$I$144:$I$165,C29,'OI 2020'!$K$144:$K$165)</f>
        <v>0</v>
      </c>
      <c r="K29" s="1">
        <f>SUMIF('OI 2021'!$I$145:$I$166,C29,'OI 2021'!$K$145:$K$166)</f>
        <v>0</v>
      </c>
      <c r="L29" s="1">
        <f>SUMIF('OI 2022'!$I$158:$I$175,$C29,'OI 2022'!$K$158:$K$175)</f>
        <v>0</v>
      </c>
      <c r="M29" s="19">
        <f>SUMIF('OI 2023'!$I$158:$I$173,$C29,'OI 2023'!$J$158:$J$173)</f>
        <v>0</v>
      </c>
      <c r="N29" s="161"/>
      <c r="O29" s="161"/>
    </row>
    <row r="30" spans="1:27" x14ac:dyDescent="0.25">
      <c r="C30" s="8" t="s">
        <v>1364</v>
      </c>
      <c r="D30" s="141">
        <f>SUMIF('OI 2014'!$I$87:$I$101,C30,'OI 2014'!$L$87:$L$101)</f>
        <v>0</v>
      </c>
      <c r="E30" s="1">
        <f>SUMIF('OI 2015'!$I$87:$I$101,C30,'OI 2015'!$L$87:$L$101)</f>
        <v>0</v>
      </c>
      <c r="F30" s="1">
        <f>SUMIF('OI 2016'!$I$87:$I$101,C30,'OI 2016'!$L$87:$L$101)</f>
        <v>0</v>
      </c>
      <c r="G30" s="1">
        <f>SUMIF('OI 2017'!$I$112:$I$128,C30,'OI 2017'!$L$112:$L$128)</f>
        <v>0</v>
      </c>
      <c r="H30" s="1">
        <f>SUMIF('OI 2018'!$I$112:$I$131,C30,'OI 2018'!$L$112:$L$131)</f>
        <v>0</v>
      </c>
      <c r="I30" s="1">
        <f>SUMIF('OI 2019'!$I$113:$I$132,C30,'OI 2019'!$L$113:$L$132)</f>
        <v>60</v>
      </c>
      <c r="J30" s="1">
        <f>SUMIF('OI 2020'!$I$144:$I$165,C30,'OI 2020'!$K$144:$K$165)</f>
        <v>114</v>
      </c>
      <c r="K30" s="1">
        <f>SUMIF('OI 2021'!$I$145:$I$166,C30,'OI 2021'!$K$145:$K$166)</f>
        <v>60</v>
      </c>
      <c r="L30" s="1">
        <f>SUMIF('OI 2022'!$I$158:$I$175,$C30,'OI 2022'!$K$158:$K$175)</f>
        <v>0</v>
      </c>
      <c r="M30" s="19">
        <f>SUMIF('OI 2023'!$I$158:$I$173,$C30,'OI 2023'!$J$158:$J$173)</f>
        <v>0</v>
      </c>
      <c r="N30" s="161"/>
      <c r="O30" s="161"/>
    </row>
    <row r="31" spans="1:27" x14ac:dyDescent="0.25">
      <c r="C31" s="8" t="s">
        <v>117</v>
      </c>
      <c r="D31" s="141">
        <f>SUMIF('OI 2014'!$I$87:$I$101,C31,'OI 2014'!$L$87:$L$101)</f>
        <v>0</v>
      </c>
      <c r="E31" s="1">
        <f>SUMIF('OI 2015'!$I$87:$I$101,C31,'OI 2015'!$L$87:$L$101)</f>
        <v>0</v>
      </c>
      <c r="F31" s="1">
        <f>SUMIF('OI 2016'!$I$87:$I$101,C31,'OI 2016'!$L$87:$L$101)</f>
        <v>0</v>
      </c>
      <c r="G31" s="1">
        <f>SUMIF('OI 2017'!$I$112:$I$128,C31,'OI 2017'!$L$112:$L$128)</f>
        <v>60</v>
      </c>
      <c r="H31" s="1">
        <f>SUMIF('OI 2018'!$I$112:$I$131,C31,'OI 2018'!$L$112:$L$131)</f>
        <v>0</v>
      </c>
      <c r="I31" s="1">
        <f>SUMIF('OI 2019'!$I$113:$I$132,C31,'OI 2019'!$L$113:$L$132)</f>
        <v>0</v>
      </c>
      <c r="J31" s="1">
        <f>SUMIF('OI 2020'!$I$144:$I$165,C31,'OI 2020'!$K$144:$K$165)</f>
        <v>0</v>
      </c>
      <c r="K31" s="1">
        <f>SUMIF('OI 2021'!$I$145:$I$166,C31,'OI 2021'!$K$145:$K$166)</f>
        <v>0</v>
      </c>
      <c r="L31" s="1">
        <f>SUMIF('OI 2022'!$I$158:$I$175,$C31,'OI 2022'!$K$158:$K$175)</f>
        <v>0</v>
      </c>
      <c r="M31" s="19">
        <f>SUMIF('OI 2023'!$I$158:$I$173,$C31,'OI 2023'!$J$158:$J$173)</f>
        <v>0</v>
      </c>
      <c r="N31" s="161"/>
      <c r="O31" s="161"/>
    </row>
    <row r="32" spans="1:27" x14ac:dyDescent="0.25">
      <c r="C32" s="8" t="s">
        <v>108</v>
      </c>
      <c r="D32" s="141">
        <f>SUMIF('OI 2014'!$I$87:$I$101,C32,'OI 2014'!$L$87:$L$101)</f>
        <v>0</v>
      </c>
      <c r="E32" s="1">
        <f>SUMIF('OI 2015'!$I$87:$I$101,C32,'OI 2015'!$L$87:$L$101)</f>
        <v>33.913043478260867</v>
      </c>
      <c r="F32" s="1">
        <f>SUMIF('OI 2016'!$I$87:$I$101,C32,'OI 2016'!$L$87:$L$101)</f>
        <v>0</v>
      </c>
      <c r="G32" s="1">
        <f>SUMIF('OI 2017'!$I$112:$I$128,C32,'OI 2017'!$L$112:$L$128)</f>
        <v>634.83409610983983</v>
      </c>
      <c r="H32" s="1">
        <f>SUMIF('OI 2018'!$I$112:$I$131,C32,'OI 2018'!$L$112:$L$131)</f>
        <v>717.71789982201881</v>
      </c>
      <c r="I32" s="1">
        <f>SUMIF('OI 2019'!$I$113:$I$132,C32,'OI 2019'!$L$113:$L$132)</f>
        <v>114.88888888888889</v>
      </c>
      <c r="J32" s="1">
        <f>SUMIF('OI 2020'!$I$144:$I$165,C32,'OI 2020'!$K$144:$K$165)</f>
        <v>274</v>
      </c>
      <c r="K32" s="1">
        <f>SUMIF('OI 2021'!$I$145:$I$166,C32,'OI 2021'!$K$145:$K$166)</f>
        <v>79</v>
      </c>
      <c r="L32" s="1">
        <f>SUMIF('OI 2022'!$I$158:$I$175,$C32,'OI 2022'!$K$158:$K$175)</f>
        <v>11</v>
      </c>
      <c r="M32" s="19">
        <f>SUMIF('OI 2023'!$I$158:$I$173,$C32,'OI 2023'!$J$158:$J$173)</f>
        <v>0</v>
      </c>
      <c r="N32" s="161"/>
      <c r="O32" s="161"/>
      <c r="Q32" s="39" t="s">
        <v>401</v>
      </c>
      <c r="R32" s="6">
        <v>2014</v>
      </c>
      <c r="S32" s="6">
        <v>2015</v>
      </c>
      <c r="T32" s="6">
        <v>2016</v>
      </c>
      <c r="U32" s="6">
        <v>2017</v>
      </c>
      <c r="V32" s="6">
        <v>2018</v>
      </c>
      <c r="W32" s="6">
        <v>2019</v>
      </c>
      <c r="X32" s="7">
        <v>2020</v>
      </c>
      <c r="Y32" s="6">
        <v>2021</v>
      </c>
      <c r="Z32" s="7">
        <v>2022</v>
      </c>
      <c r="AA32" s="6">
        <v>2023</v>
      </c>
    </row>
    <row r="33" spans="3:26" x14ac:dyDescent="0.25">
      <c r="C33" s="8" t="s">
        <v>118</v>
      </c>
      <c r="D33" s="141">
        <f>SUMIF('OI 2014'!$I$87:$I$101,C33,'OI 2014'!$L$87:$L$101)</f>
        <v>0</v>
      </c>
      <c r="E33" s="1">
        <f>SUMIF('OI 2015'!$I$87:$I$101,C33,'OI 2015'!$L$87:$L$101)</f>
        <v>0</v>
      </c>
      <c r="F33" s="1">
        <f>SUMIF('OI 2016'!$I$87:$I$101,C33,'OI 2016'!$L$87:$L$101)</f>
        <v>0</v>
      </c>
      <c r="G33" s="1">
        <f>SUMIF('OI 2017'!$I$112:$I$128,C33,'OI 2017'!$L$112:$L$128)</f>
        <v>44.166666666666671</v>
      </c>
      <c r="H33" s="1">
        <f>SUMIF('OI 2018'!$I$112:$I$131,C33,'OI 2018'!$L$112:$L$131)</f>
        <v>103</v>
      </c>
      <c r="I33" s="1">
        <f>SUMIF('OI 2019'!$I$113:$I$132,C33,'OI 2019'!$L$113:$L$132)</f>
        <v>12</v>
      </c>
      <c r="J33" s="1">
        <f>SUMIF('OI 2020'!$I$144:$I$165,C33,'OI 2020'!$K$144:$K$165)</f>
        <v>1</v>
      </c>
      <c r="K33" s="1">
        <f>SUMIF('OI 2021'!$I$145:$I$166,C33,'OI 2021'!$K$145:$K$166)</f>
        <v>0</v>
      </c>
      <c r="L33" s="1">
        <f>SUMIF('OI 2022'!$I$158:$I$175,$C33,'OI 2022'!$K$158:$K$175)</f>
        <v>0</v>
      </c>
      <c r="M33" s="19">
        <f>SUMIF('OI 2023'!$I$158:$I$173,$C33,'OI 2023'!$J$158:$J$173)</f>
        <v>0</v>
      </c>
      <c r="N33" s="161"/>
      <c r="O33" s="161"/>
      <c r="Q33" s="55" t="s">
        <v>93</v>
      </c>
      <c r="R33" s="64">
        <f>'OI 2014'!G81</f>
        <v>7.7647058823529411</v>
      </c>
      <c r="S33" s="65">
        <f>'OI 2015'!G81</f>
        <v>7.7931034482758621</v>
      </c>
      <c r="T33" s="65">
        <f>'OI 2016'!G81</f>
        <v>10.24</v>
      </c>
      <c r="U33" s="65">
        <f>'OI 2017'!G106</f>
        <v>11.375</v>
      </c>
      <c r="V33" s="65">
        <f>'OI 2018'!G106</f>
        <v>10.214285714285714</v>
      </c>
      <c r="W33" s="65">
        <f>'OI 2019'!G107</f>
        <v>13.571428571428571</v>
      </c>
      <c r="X33" s="65">
        <f>'OI 2020'!G138</f>
        <v>12.75</v>
      </c>
      <c r="Y33" s="65">
        <f>'OI 2021'!G140</f>
        <v>18.125</v>
      </c>
      <c r="Z33" s="66">
        <f>'OI 2022'!G152</f>
        <v>14.5</v>
      </c>
    </row>
    <row r="34" spans="3:26" x14ac:dyDescent="0.25">
      <c r="C34" s="8" t="s">
        <v>121</v>
      </c>
      <c r="D34" s="141">
        <f>SUMIF('OI 2014'!$I$87:$I$101,C34,'OI 2014'!$L$87:$L$101)</f>
        <v>0</v>
      </c>
      <c r="E34" s="1">
        <f>SUMIF('OI 2015'!$I$87:$I$101,C34,'OI 2015'!$L$87:$L$101)</f>
        <v>0</v>
      </c>
      <c r="F34" s="1">
        <f>SUMIF('OI 2016'!$I$87:$I$101,C34,'OI 2016'!$L$87:$L$101)</f>
        <v>0</v>
      </c>
      <c r="G34" s="1">
        <f>SUMIF('OI 2017'!$I$112:$I$128,C34,'OI 2017'!$L$112:$L$128)</f>
        <v>85</v>
      </c>
      <c r="H34" s="1">
        <f>SUMIF('OI 2018'!$I$112:$I$131,C34,'OI 2018'!$L$112:$L$131)</f>
        <v>406.8095238095238</v>
      </c>
      <c r="I34" s="1">
        <f>SUMIF('OI 2019'!$I$113:$I$132,C34,'OI 2019'!$L$113:$L$132)</f>
        <v>237.91029900332228</v>
      </c>
      <c r="J34" s="1">
        <f>SUMIF('OI 2020'!$I$144:$I$165,C34,'OI 2020'!$K$144:$K$165)</f>
        <v>221</v>
      </c>
      <c r="K34" s="1">
        <f>SUMIF('OI 2021'!$I$145:$I$166,C34,'OI 2021'!$K$145:$K$166)</f>
        <v>79</v>
      </c>
      <c r="L34" s="1">
        <f>SUMIF('OI 2022'!$I$158:$I$175,$C34,'OI 2022'!$K$158:$K$175)</f>
        <v>63</v>
      </c>
      <c r="M34" s="19">
        <f>SUMIF('OI 2023'!$I$158:$I$173,$C34,'OI 2023'!$J$158:$J$173)</f>
        <v>30</v>
      </c>
      <c r="N34" s="161"/>
      <c r="O34" s="161"/>
      <c r="Q34" s="56" t="s">
        <v>94</v>
      </c>
      <c r="R34" s="67">
        <f>'OI 2014'!G80</f>
        <v>8.875</v>
      </c>
      <c r="S34" s="31">
        <f>'OI 2015'!G80</f>
        <v>10.029411764705882</v>
      </c>
      <c r="T34" s="31">
        <f>'OI 2016'!G80</f>
        <v>10.199999999999999</v>
      </c>
      <c r="U34" s="31">
        <f>'OI 2017'!G105</f>
        <v>13.916666666666666</v>
      </c>
      <c r="V34" s="31">
        <f>'OI 2018'!G105</f>
        <v>15.196078431372548</v>
      </c>
      <c r="W34" s="31">
        <f>'OI 2019'!G106</f>
        <v>18.914893617021278</v>
      </c>
      <c r="X34" s="31">
        <f>'OI 2020'!G137</f>
        <v>18.109589041095891</v>
      </c>
      <c r="Y34" s="31">
        <f>'OI 2021'!G139</f>
        <v>18.886792452830189</v>
      </c>
      <c r="Z34" s="63">
        <f>'OI 2022'!G151</f>
        <v>21.591836734693878</v>
      </c>
    </row>
    <row r="35" spans="3:26" x14ac:dyDescent="0.25">
      <c r="C35" s="8" t="s">
        <v>1559</v>
      </c>
      <c r="D35" s="141">
        <f>SUMIF('OI 2014'!$I$87:$I$101,C35,'OI 2014'!$L$87:$L$101)</f>
        <v>0</v>
      </c>
      <c r="E35" s="1">
        <f>SUMIF('OI 2015'!$I$87:$I$101,C35,'OI 2015'!$L$87:$L$101)</f>
        <v>0</v>
      </c>
      <c r="F35" s="1">
        <f>SUMIF('OI 2016'!$I$87:$I$101,C35,'OI 2016'!$L$87:$L$101)</f>
        <v>0</v>
      </c>
      <c r="G35" s="1">
        <f>SUMIF('OI 2017'!$I$112:$I$128,C35,'OI 2017'!$L$112:$L$128)</f>
        <v>0</v>
      </c>
      <c r="H35" s="1">
        <f>SUMIF('OI 2018'!$I$112:$I$131,C35,'OI 2018'!$L$112:$L$131)</f>
        <v>0</v>
      </c>
      <c r="I35" s="1">
        <f>SUMIF('OI 2019'!$I$113:$I$132,C35,'OI 2019'!$L$113:$L$132)</f>
        <v>0</v>
      </c>
      <c r="J35" s="1">
        <f>SUMIF('OI 2020'!$I$144:$I$165,C35,'OI 2020'!$K$144:$K$165)</f>
        <v>0</v>
      </c>
      <c r="K35" s="1">
        <f>SUMIF('OI 2021'!$I$145:$I$166,C35,'OI 2021'!$K$145:$K$166)</f>
        <v>0</v>
      </c>
      <c r="L35" s="1">
        <f>SUMIF('OI 2022'!$I$158:$I$175,$C35,'OI 2022'!$K$158:$K$175)</f>
        <v>116</v>
      </c>
      <c r="M35" s="19">
        <f>SUMIF('OI 2023'!$I$158:$I$173,$C35,'OI 2023'!$J$158:$J$173)</f>
        <v>136</v>
      </c>
      <c r="N35" s="161"/>
      <c r="O35" s="161"/>
    </row>
    <row r="36" spans="3:26" x14ac:dyDescent="0.25">
      <c r="C36" s="8" t="s">
        <v>619</v>
      </c>
      <c r="D36" s="141">
        <f>SUMIF('OI 2014'!$I$87:$I$101,C36,'OI 2014'!$L$87:$L$101)</f>
        <v>0</v>
      </c>
      <c r="E36" s="1">
        <f>SUMIF('OI 2015'!$I$87:$I$101,C36,'OI 2015'!$L$87:$L$101)</f>
        <v>0</v>
      </c>
      <c r="F36" s="1">
        <f>SUMIF('OI 2016'!$I$87:$I$101,C36,'OI 2016'!$L$87:$L$101)</f>
        <v>0</v>
      </c>
      <c r="G36" s="1">
        <f>SUMIF('OI 2017'!$I$112:$I$128,C36,'OI 2017'!$L$112:$L$128)</f>
        <v>0</v>
      </c>
      <c r="H36" s="1">
        <f>SUMIF('OI 2018'!$I$112:$I$131,C36,'OI 2018'!$L$112:$L$131)</f>
        <v>267</v>
      </c>
      <c r="I36" s="1">
        <f>SUMIF('OI 2019'!$I$113:$I$132,C36,'OI 2019'!$L$113:$L$132)</f>
        <v>1056.8571428571429</v>
      </c>
      <c r="J36" s="1">
        <f>SUMIF('OI 2020'!$I$144:$I$165,C36,'OI 2020'!$K$144:$K$165)</f>
        <v>1025.9047619047619</v>
      </c>
      <c r="K36" s="1">
        <f>SUMIF('OI 2021'!$I$145:$I$166,C36,'OI 2021'!$K$145:$K$166)</f>
        <v>520</v>
      </c>
      <c r="L36" s="1">
        <f>SUMIF('OI 2022'!$I$158:$I$175,$C36,'OI 2022'!$K$158:$K$175)</f>
        <v>139</v>
      </c>
      <c r="M36" s="19">
        <f>SUMIF('OI 2023'!$I$158:$I$173,$C36,'OI 2023'!$J$158:$J$173)</f>
        <v>223</v>
      </c>
      <c r="N36" s="161"/>
      <c r="O36" s="161"/>
    </row>
    <row r="37" spans="3:26" x14ac:dyDescent="0.25">
      <c r="C37" s="8" t="s">
        <v>1401</v>
      </c>
      <c r="D37" s="141">
        <f>SUMIF('OI 2014'!$I$87:$I$101,C37,'OI 2014'!$L$87:$L$101)</f>
        <v>0</v>
      </c>
      <c r="E37" s="1">
        <f>SUMIF('OI 2015'!$I$87:$I$101,C37,'OI 2015'!$L$87:$L$101)</f>
        <v>0</v>
      </c>
      <c r="F37" s="1">
        <f>SUMIF('OI 2016'!$I$87:$I$101,C37,'OI 2016'!$L$87:$L$101)</f>
        <v>0</v>
      </c>
      <c r="G37" s="1">
        <f>SUMIF('OI 2017'!$I$112:$I$128,C37,'OI 2017'!$L$112:$L$128)</f>
        <v>0</v>
      </c>
      <c r="H37" s="1">
        <f>SUMIF('OI 2018'!$I$112:$I$131,C37,'OI 2018'!$L$112:$L$131)</f>
        <v>0</v>
      </c>
      <c r="I37" s="1">
        <f>SUMIF('OI 2019'!$I$113:$I$132,C37,'OI 2019'!$L$113:$L$132)</f>
        <v>0</v>
      </c>
      <c r="J37" s="1">
        <f>SUMIF('OI 2020'!$I$144:$I$165,C37,'OI 2020'!$K$144:$K$165)</f>
        <v>29</v>
      </c>
      <c r="K37" s="1">
        <f>SUMIF('OI 2021'!$I$145:$I$166,C37,'OI 2021'!$K$145:$K$166)</f>
        <v>0</v>
      </c>
      <c r="L37" s="1">
        <f>SUMIF('OI 2022'!$I$158:$I$175,$C37,'OI 2022'!$K$158:$K$175)</f>
        <v>0</v>
      </c>
      <c r="M37" s="19">
        <f>SUMIF('OI 2023'!$I$158:$I$173,$C37,'OI 2023'!$J$158:$J$173)</f>
        <v>0</v>
      </c>
      <c r="N37" s="161"/>
      <c r="O37" s="161"/>
    </row>
    <row r="38" spans="3:26" x14ac:dyDescent="0.25">
      <c r="C38" s="8" t="s">
        <v>1400</v>
      </c>
      <c r="D38" s="141">
        <f>SUMIF('OI 2014'!$I$87:$I$101,C38,'OI 2014'!$L$87:$L$101)</f>
        <v>0</v>
      </c>
      <c r="E38" s="1">
        <f>SUMIF('OI 2015'!$I$87:$I$101,C38,'OI 2015'!$L$87:$L$101)</f>
        <v>0</v>
      </c>
      <c r="F38" s="1">
        <f>SUMIF('OI 2016'!$I$87:$I$101,C38,'OI 2016'!$L$87:$L$101)</f>
        <v>0</v>
      </c>
      <c r="G38" s="1">
        <f>SUMIF('OI 2017'!$I$112:$I$128,C38,'OI 2017'!$L$112:$L$128)</f>
        <v>0</v>
      </c>
      <c r="H38" s="1">
        <f>SUMIF('OI 2018'!$I$112:$I$131,C38,'OI 2018'!$L$112:$L$131)</f>
        <v>0</v>
      </c>
      <c r="I38" s="1">
        <f>SUMIF('OI 2019'!$I$113:$I$132,C38,'OI 2019'!$L$113:$L$132)</f>
        <v>0</v>
      </c>
      <c r="J38" s="1">
        <f>SUMIF('OI 2020'!$I$144:$I$165,C38,'OI 2020'!$K$144:$K$165)</f>
        <v>91</v>
      </c>
      <c r="K38" s="1">
        <f>SUMIF('OI 2021'!$I$145:$I$166,C38,'OI 2021'!$K$145:$K$166)</f>
        <v>257</v>
      </c>
      <c r="L38" s="1">
        <f>SUMIF('OI 2022'!$I$158:$I$175,$C38,'OI 2022'!$K$158:$K$175)</f>
        <v>742</v>
      </c>
      <c r="M38" s="19">
        <f>SUMIF('OI 2023'!$I$158:$I$173,$C38,'OI 2023'!$J$158:$J$173)</f>
        <v>668</v>
      </c>
      <c r="N38" s="161"/>
      <c r="O38" s="161"/>
    </row>
    <row r="39" spans="3:26" x14ac:dyDescent="0.25">
      <c r="C39" s="8" t="s">
        <v>1234</v>
      </c>
      <c r="D39" s="141">
        <f>SUMIF('OI 2014'!$I$87:$I$101,C39,'OI 2014'!$L$87:$L$101)</f>
        <v>0</v>
      </c>
      <c r="E39" s="1">
        <f>SUMIF('OI 2015'!$I$87:$I$101,C39,'OI 2015'!$L$87:$L$101)</f>
        <v>0</v>
      </c>
      <c r="F39" s="1">
        <f>SUMIF('OI 2016'!$I$87:$I$101,C39,'OI 2016'!$L$87:$L$101)</f>
        <v>0</v>
      </c>
      <c r="G39" s="1">
        <f>SUMIF('OI 2017'!$I$112:$I$128,C39,'OI 2017'!$L$112:$L$128)</f>
        <v>0</v>
      </c>
      <c r="H39" s="1">
        <f>SUMIF('OI 2018'!$I$112:$I$131,C39,'OI 2018'!$L$112:$L$131)</f>
        <v>0</v>
      </c>
      <c r="I39" s="1">
        <f>SUMIF('OI 2019'!$I$113:$I$132,C39,'OI 2019'!$L$113:$L$132)</f>
        <v>50.964285714285715</v>
      </c>
      <c r="J39" s="1">
        <f>SUMIF('OI 2020'!$I$144:$I$165,C39,'OI 2020'!$K$144:$K$165)</f>
        <v>22</v>
      </c>
      <c r="K39" s="1">
        <f>SUMIF('OI 2021'!$I$145:$I$166,C39,'OI 2021'!$K$145:$K$166)</f>
        <v>7</v>
      </c>
      <c r="L39" s="1">
        <f>SUMIF('OI 2022'!$I$158:$I$175,$C39,'OI 2022'!$K$158:$K$175)</f>
        <v>0</v>
      </c>
      <c r="M39" s="19">
        <f>SUMIF('OI 2023'!$I$158:$I$173,$C39,'OI 2023'!$J$158:$J$173)</f>
        <v>1</v>
      </c>
      <c r="N39" s="161"/>
      <c r="O39" s="161"/>
    </row>
    <row r="40" spans="3:26" x14ac:dyDescent="0.25">
      <c r="C40" s="8" t="s">
        <v>1357</v>
      </c>
      <c r="D40" s="141">
        <f>SUMIF('OI 2014'!$I$87:$I$101,C40,'OI 2014'!$L$87:$L$101)</f>
        <v>0</v>
      </c>
      <c r="E40" s="1">
        <f>SUMIF('OI 2015'!$I$87:$I$101,C40,'OI 2015'!$L$87:$L$101)</f>
        <v>0</v>
      </c>
      <c r="F40" s="1">
        <f>SUMIF('OI 2016'!$I$87:$I$101,C40,'OI 2016'!$L$87:$L$101)</f>
        <v>0</v>
      </c>
      <c r="G40" s="1">
        <f>SUMIF('OI 2017'!$I$112:$I$128,C40,'OI 2017'!$L$112:$L$128)</f>
        <v>0</v>
      </c>
      <c r="H40" s="1">
        <f>SUMIF('OI 2018'!$I$112:$I$131,C40,'OI 2018'!$L$112:$L$131)</f>
        <v>0</v>
      </c>
      <c r="I40" s="1">
        <f>SUMIF('OI 2019'!$I$113:$I$132,C40,'OI 2019'!$L$113:$L$132)</f>
        <v>0</v>
      </c>
      <c r="J40" s="1">
        <f>SUMIF('OI 2020'!$I$144:$I$165,C40,'OI 2020'!$K$144:$K$165)</f>
        <v>141</v>
      </c>
      <c r="K40" s="1">
        <f>SUMIF('OI 2021'!$I$145:$I$166,C40,'OI 2021'!$K$145:$K$166)</f>
        <v>0</v>
      </c>
      <c r="L40" s="1">
        <f>SUMIF('OI 2022'!$I$158:$I$175,$C40,'OI 2022'!$K$158:$K$175)</f>
        <v>0</v>
      </c>
      <c r="M40" s="19">
        <f>SUMIF('OI 2023'!$I$158:$I$173,$C40,'OI 2023'!$J$158:$J$173)</f>
        <v>0</v>
      </c>
      <c r="N40" s="161"/>
      <c r="O40" s="161"/>
    </row>
    <row r="41" spans="3:26" x14ac:dyDescent="0.25">
      <c r="C41" s="8" t="s">
        <v>1565</v>
      </c>
      <c r="D41" s="141">
        <f>SUMIF('OI 2014'!$I$87:$I$101,C41,'OI 2014'!$L$87:$L$101)</f>
        <v>0</v>
      </c>
      <c r="E41" s="1">
        <f>SUMIF('OI 2015'!$I$87:$I$101,C41,'OI 2015'!$L$87:$L$101)</f>
        <v>0</v>
      </c>
      <c r="F41" s="1">
        <f>SUMIF('OI 2016'!$I$87:$I$101,C41,'OI 2016'!$L$87:$L$101)</f>
        <v>0</v>
      </c>
      <c r="G41" s="1">
        <f>SUMIF('OI 2017'!$I$112:$I$128,C41,'OI 2017'!$L$112:$L$128)</f>
        <v>0</v>
      </c>
      <c r="H41" s="1">
        <f>SUMIF('OI 2018'!$I$112:$I$131,C41,'OI 2018'!$L$112:$L$131)</f>
        <v>0</v>
      </c>
      <c r="I41" s="1">
        <f>SUMIF('OI 2019'!$I$113:$I$132,C41,'OI 2019'!$L$113:$L$132)</f>
        <v>0</v>
      </c>
      <c r="J41" s="1">
        <f>SUMIF('OI 2020'!$I$144:$I$165,C41,'OI 2020'!$K$144:$K$165)</f>
        <v>0</v>
      </c>
      <c r="K41" s="1">
        <f>SUMIF('OI 2021'!$I$145:$I$166,C41,'OI 2021'!$K$145:$K$166)</f>
        <v>0</v>
      </c>
      <c r="L41" s="1">
        <f>SUMIF('OI 2022'!$I$158:$I$175,$C41,'OI 2022'!$K$158:$K$175)</f>
        <v>15</v>
      </c>
      <c r="M41" s="19">
        <f>SUMIF('OI 2023'!$I$158:$I$173,$C41,'OI 2023'!$J$158:$J$173)</f>
        <v>36</v>
      </c>
      <c r="N41" s="161"/>
      <c r="O41" s="161"/>
    </row>
    <row r="42" spans="3:26" x14ac:dyDescent="0.25">
      <c r="C42" s="8" t="s">
        <v>1220</v>
      </c>
      <c r="D42" s="141">
        <f>SUMIF('OI 2014'!$I$87:$I$101,C42,'OI 2014'!$L$87:$L$101)</f>
        <v>0</v>
      </c>
      <c r="E42" s="1">
        <f>SUMIF('OI 2015'!$I$87:$I$101,C42,'OI 2015'!$L$87:$L$101)</f>
        <v>0</v>
      </c>
      <c r="F42" s="1">
        <f>SUMIF('OI 2016'!$I$87:$I$101,C42,'OI 2016'!$L$87:$L$101)</f>
        <v>0</v>
      </c>
      <c r="G42" s="1">
        <f>SUMIF('OI 2017'!$I$112:$I$128,C42,'OI 2017'!$L$112:$L$128)</f>
        <v>0</v>
      </c>
      <c r="H42" s="1">
        <f>SUMIF('OI 2018'!$I$112:$I$131,C42,'OI 2018'!$L$112:$L$131)</f>
        <v>0</v>
      </c>
      <c r="I42" s="1">
        <f>SUMIF('OI 2019'!$I$113:$I$132,C42,'OI 2019'!$L$113:$L$132)</f>
        <v>45</v>
      </c>
      <c r="J42" s="1">
        <f>SUMIF('OI 2020'!$I$144:$I$165,C42,'OI 2020'!$K$144:$K$165)</f>
        <v>179</v>
      </c>
      <c r="K42" s="1">
        <f>SUMIF('OI 2021'!$I$145:$I$166,C42,'OI 2021'!$K$145:$K$166)</f>
        <v>40</v>
      </c>
      <c r="L42" s="1">
        <f>SUMIF('OI 2022'!$I$158:$I$175,$C42,'OI 2022'!$K$158:$K$175)</f>
        <v>0</v>
      </c>
      <c r="M42" s="19">
        <f>SUMIF('OI 2023'!$I$158:$I$173,$C42,'OI 2023'!$J$158:$J$173)</f>
        <v>16</v>
      </c>
      <c r="N42" s="161"/>
      <c r="O42" s="161"/>
    </row>
    <row r="43" spans="3:26" x14ac:dyDescent="0.25">
      <c r="C43" s="8" t="s">
        <v>1404</v>
      </c>
      <c r="D43" s="141">
        <f>SUMIF('OI 2014'!$I$87:$I$101,C43,'OI 2014'!$L$87:$L$101)</f>
        <v>0</v>
      </c>
      <c r="E43" s="1">
        <f>SUMIF('OI 2015'!$I$87:$I$101,C43,'OI 2015'!$L$87:$L$101)</f>
        <v>0</v>
      </c>
      <c r="F43" s="1">
        <f>SUMIF('OI 2016'!$I$87:$I$101,C43,'OI 2016'!$L$87:$L$101)</f>
        <v>0</v>
      </c>
      <c r="G43" s="1">
        <f>SUMIF('OI 2017'!$I$112:$I$128,C43,'OI 2017'!$L$112:$L$128)</f>
        <v>0</v>
      </c>
      <c r="H43" s="1">
        <f>SUMIF('OI 2018'!$I$112:$I$131,C43,'OI 2018'!$L$112:$L$131)</f>
        <v>0</v>
      </c>
      <c r="I43" s="1">
        <f>SUMIF('OI 2019'!$I$113:$I$132,C43,'OI 2019'!$L$113:$L$132)</f>
        <v>0</v>
      </c>
      <c r="J43" s="1">
        <f>SUMIF('OI 2020'!$I$144:$I$165,C43,'OI 2020'!$K$144:$K$165)</f>
        <v>38</v>
      </c>
      <c r="K43" s="1">
        <f>SUMIF('OI 2021'!$I$145:$I$166,C43,'OI 2021'!$K$145:$K$166)</f>
        <v>303</v>
      </c>
      <c r="L43" s="1">
        <f>SUMIF('OI 2022'!$I$158:$I$175,$C43,'OI 2022'!$K$158:$K$175)</f>
        <v>0</v>
      </c>
      <c r="M43" s="19">
        <f>SUMIF('OI 2023'!$I$158:$I$173,$C43,'OI 2023'!$J$158:$J$173)</f>
        <v>0</v>
      </c>
      <c r="N43" s="161"/>
      <c r="O43" s="161"/>
    </row>
    <row r="44" spans="3:26" x14ac:dyDescent="0.25">
      <c r="C44" s="8" t="s">
        <v>1486</v>
      </c>
      <c r="D44" s="141">
        <f>SUMIF('OI 2014'!$I$87:$I$101,C44,'OI 2014'!$L$87:$L$101)</f>
        <v>0</v>
      </c>
      <c r="E44" s="1">
        <f>SUMIF('OI 2015'!$I$87:$I$101,C44,'OI 2015'!$L$87:$L$101)</f>
        <v>0</v>
      </c>
      <c r="F44" s="1">
        <f>SUMIF('OI 2016'!$I$87:$I$101,C44,'OI 2016'!$L$87:$L$101)</f>
        <v>0</v>
      </c>
      <c r="G44" s="1">
        <f>SUMIF('OI 2017'!$I$112:$I$128,C44,'OI 2017'!$L$112:$L$128)</f>
        <v>0</v>
      </c>
      <c r="H44" s="1">
        <f>SUMIF('OI 2018'!$I$112:$I$131,C44,'OI 2018'!$L$112:$L$131)</f>
        <v>0</v>
      </c>
      <c r="I44" s="1">
        <f>SUMIF('OI 2019'!$I$113:$I$132,C44,'OI 2019'!$L$113:$L$132)</f>
        <v>0</v>
      </c>
      <c r="J44" s="1">
        <f>SUMIF('OI 2020'!$I$144:$I$165,C44,'OI 2020'!$K$144:$K$165)</f>
        <v>0</v>
      </c>
      <c r="K44" s="1">
        <f>SUMIF('OI 2021'!$I$145:$I$166,C44,'OI 2021'!$K$145:$K$166)</f>
        <v>176</v>
      </c>
      <c r="L44" s="1">
        <f>SUMIF('OI 2022'!$I$158:$I$175,$C44,'OI 2022'!$K$158:$K$175)</f>
        <v>392</v>
      </c>
      <c r="M44" s="19">
        <f>SUMIF('OI 2023'!$I$158:$I$173,$C44,'OI 2023'!$J$158:$J$173)</f>
        <v>281</v>
      </c>
      <c r="N44" s="161"/>
      <c r="O44" s="161"/>
    </row>
    <row r="45" spans="3:26" x14ac:dyDescent="0.25">
      <c r="C45" s="8" t="s">
        <v>1709</v>
      </c>
      <c r="D45" s="141">
        <f>SUMIF('OI 2014'!$I$87:$I$101,C45,'OI 2014'!$L$87:$L$101)</f>
        <v>0</v>
      </c>
      <c r="E45" s="1">
        <f>SUMIF('OI 2015'!$I$87:$I$101,C45,'OI 2015'!$L$87:$L$101)</f>
        <v>0</v>
      </c>
      <c r="F45" s="1">
        <f>SUMIF('OI 2016'!$I$87:$I$101,C45,'OI 2016'!$L$87:$L$101)</f>
        <v>0</v>
      </c>
      <c r="G45" s="1">
        <f>SUMIF('OI 2017'!$I$112:$I$128,C45,'OI 2017'!$L$112:$L$128)</f>
        <v>0</v>
      </c>
      <c r="H45" s="1">
        <f>SUMIF('OI 2018'!$I$112:$I$131,C45,'OI 2018'!$L$112:$L$131)</f>
        <v>0</v>
      </c>
      <c r="I45" s="1">
        <f>SUMIF('OI 2019'!$I$113:$I$132,C45,'OI 2019'!$L$113:$L$132)</f>
        <v>0</v>
      </c>
      <c r="J45" s="1">
        <f>SUMIF('OI 2020'!$I$144:$I$165,C45,'OI 2020'!$K$144:$K$165)</f>
        <v>0</v>
      </c>
      <c r="K45" s="1">
        <f>SUMIF('OI 2021'!$I$145:$I$166,C45,'OI 2021'!$K$145:$K$166)</f>
        <v>0</v>
      </c>
      <c r="L45" s="1">
        <f>SUMIF('OI 2022'!$I$158:$I$175,$C45,'OI 2022'!$K$158:$K$175)</f>
        <v>0</v>
      </c>
      <c r="M45" s="19">
        <f>SUMIF('OI 2023'!$I$158:$I$173,$C45,'OI 2023'!$J$158:$J$173)</f>
        <v>960</v>
      </c>
      <c r="N45" s="161"/>
      <c r="O45" s="161"/>
    </row>
    <row r="46" spans="3:26" x14ac:dyDescent="0.25">
      <c r="C46" s="8" t="s">
        <v>1545</v>
      </c>
      <c r="D46" s="141">
        <f>SUMIF('OI 2014'!$I$87:$I$101,C46,'OI 2014'!$L$87:$L$101)</f>
        <v>0</v>
      </c>
      <c r="E46" s="1">
        <f>SUMIF('OI 2015'!$I$87:$I$101,C46,'OI 2015'!$L$87:$L$101)</f>
        <v>0</v>
      </c>
      <c r="F46" s="1">
        <f>SUMIF('OI 2016'!$I$87:$I$101,C46,'OI 2016'!$L$87:$L$101)</f>
        <v>0</v>
      </c>
      <c r="G46" s="1">
        <f>SUMIF('OI 2017'!$I$112:$I$128,C46,'OI 2017'!$L$112:$L$128)</f>
        <v>0</v>
      </c>
      <c r="H46" s="1">
        <f>SUMIF('OI 2018'!$I$112:$I$131,C46,'OI 2018'!$L$112:$L$131)</f>
        <v>0</v>
      </c>
      <c r="I46" s="1">
        <f>SUMIF('OI 2019'!$I$113:$I$132,C46,'OI 2019'!$L$113:$L$132)</f>
        <v>0</v>
      </c>
      <c r="J46" s="1">
        <f>SUMIF('OI 2020'!$I$144:$I$165,C46,'OI 2020'!$K$144:$K$165)</f>
        <v>0</v>
      </c>
      <c r="K46" s="1">
        <f>SUMIF('OI 2021'!$I$145:$I$166,C46,'OI 2021'!$K$145:$K$166)</f>
        <v>0</v>
      </c>
      <c r="L46" s="1">
        <f>SUMIF('OI 2022'!$I$158:$I$175,$C46,'OI 2022'!$K$158:$K$175)</f>
        <v>6</v>
      </c>
      <c r="M46" s="19">
        <f>SUMIF('OI 2023'!$I$158:$I$173,$C46,'OI 2023'!$J$158:$J$173)</f>
        <v>0</v>
      </c>
      <c r="N46" s="161"/>
      <c r="O46" s="161"/>
    </row>
    <row r="47" spans="3:26" x14ac:dyDescent="0.25">
      <c r="C47" s="10" t="s">
        <v>1481</v>
      </c>
      <c r="D47" s="142">
        <f>SUMIF('OI 2014'!$I$87:$I$101,C47,'OI 2014'!$L$87:$L$101)</f>
        <v>0</v>
      </c>
      <c r="E47" s="28">
        <f>SUMIF('OI 2015'!$I$87:$I$101,C47,'OI 2015'!$L$87:$L$101)</f>
        <v>0</v>
      </c>
      <c r="F47" s="28">
        <f>SUMIF('OI 2016'!$I$87:$I$101,C47,'OI 2016'!$L$87:$L$101)</f>
        <v>0</v>
      </c>
      <c r="G47" s="28">
        <f>SUMIF('OI 2017'!$I$112:$I$128,C47,'OI 2017'!$L$112:$L$128)</f>
        <v>0</v>
      </c>
      <c r="H47" s="28">
        <f>SUMIF('OI 2018'!$I$112:$I$131,C47,'OI 2018'!$L$112:$L$131)</f>
        <v>0</v>
      </c>
      <c r="I47" s="28">
        <f>SUMIF('OI 2019'!$I$113:$I$132,C47,'OI 2019'!$L$113:$L$132)</f>
        <v>0</v>
      </c>
      <c r="J47" s="28">
        <f>SUMIF('OI 2020'!$I$144:$I$165,C47,'OI 2020'!$K$144:$K$165)</f>
        <v>0</v>
      </c>
      <c r="K47" s="28">
        <f>SUMIF('OI 2021'!$I$145:$I$166,C47,'OI 2021'!$K$145:$K$166)</f>
        <v>77</v>
      </c>
      <c r="L47" s="28">
        <f>SUMIF('OI 2022'!$I$158:$I$175,$C47,'OI 2022'!$K$158:$K$175)</f>
        <v>62</v>
      </c>
      <c r="M47" s="20">
        <f>SUMIF('OI 2023'!$I$158:$I$173,$C47,'OI 2023'!$J$158:$J$173)</f>
        <v>0</v>
      </c>
      <c r="N47" s="161"/>
      <c r="O47" s="161"/>
    </row>
    <row r="53" spans="3:22" ht="21" x14ac:dyDescent="0.35">
      <c r="Q53" s="59" t="s">
        <v>137</v>
      </c>
    </row>
    <row r="54" spans="3:22" x14ac:dyDescent="0.25">
      <c r="Q54" t="s">
        <v>1492</v>
      </c>
    </row>
    <row r="55" spans="3:22" x14ac:dyDescent="0.25">
      <c r="Q55" s="36" t="s">
        <v>398</v>
      </c>
      <c r="R55" s="36">
        <v>2015</v>
      </c>
      <c r="S55" s="37">
        <v>2016</v>
      </c>
      <c r="T55" s="37">
        <v>2017</v>
      </c>
      <c r="U55" s="37">
        <v>2018</v>
      </c>
      <c r="V55" s="38">
        <v>2019</v>
      </c>
    </row>
    <row r="56" spans="3:22" x14ac:dyDescent="0.25">
      <c r="Q56" s="8" t="s">
        <v>93</v>
      </c>
      <c r="R56" s="8"/>
      <c r="T56">
        <f>AVERAGEIFS('OI 2017'!F$2:F$91,'OI 2017'!C$2:C$91,"India",'OI 2017'!E$2:E$91,"AOM4000")</f>
        <v>10</v>
      </c>
      <c r="V56" s="9"/>
    </row>
    <row r="57" spans="3:22" x14ac:dyDescent="0.25">
      <c r="Q57" s="10" t="s">
        <v>94</v>
      </c>
      <c r="R57" s="10">
        <f>AVERAGEIFS('OI 2015'!F$2:F$72,'OI 2015'!C$2:C$72,"India",'OI 2015'!E$2:E$72,"AOM5000")</f>
        <v>10</v>
      </c>
      <c r="S57" s="11"/>
      <c r="T57" s="11">
        <f>AVERAGEIFS('OI 2017'!F$2:F$91,'OI 2017'!C$2:C$91,"India",'OI 2017'!E$2:E$91,"AOM5000")</f>
        <v>15</v>
      </c>
      <c r="U57" s="11">
        <f>AVERAGEIFS('OI 2018'!F$2:F$100,'OI 2018'!C$2:C$100,"India",'OI 2018'!E$2:E$100,"AOM5000")</f>
        <v>11.666666666666666</v>
      </c>
      <c r="V57" s="12">
        <f>AVERAGEIFS('OI 2019'!F$2:F$94,'OI 2019'!C$2:C$94,"India",'OI 2019'!E$2:E$94,"AOM5000")</f>
        <v>15</v>
      </c>
    </row>
    <row r="59" spans="3:22" x14ac:dyDescent="0.25">
      <c r="Q59" t="s">
        <v>1568</v>
      </c>
    </row>
    <row r="60" spans="3:22" x14ac:dyDescent="0.25">
      <c r="Q60" s="36" t="s">
        <v>398</v>
      </c>
      <c r="R60" s="36">
        <v>2015</v>
      </c>
      <c r="S60" s="37">
        <v>2016</v>
      </c>
      <c r="T60" s="37">
        <v>2017</v>
      </c>
      <c r="U60" s="37">
        <v>2018</v>
      </c>
      <c r="V60" s="38">
        <v>2019</v>
      </c>
    </row>
    <row r="61" spans="3:22" x14ac:dyDescent="0.25">
      <c r="Q61" s="8" t="s">
        <v>93</v>
      </c>
      <c r="R61" s="8">
        <f>'OI 2015'!F99</f>
        <v>0</v>
      </c>
      <c r="S61">
        <v>0</v>
      </c>
      <c r="T61">
        <f>'OI 2017'!F115</f>
        <v>350</v>
      </c>
      <c r="U61">
        <f>'OI 2018'!F115</f>
        <v>0</v>
      </c>
      <c r="V61" s="9">
        <f>'OI 2019'!F116</f>
        <v>0</v>
      </c>
    </row>
    <row r="62" spans="3:22" x14ac:dyDescent="0.25">
      <c r="Q62" s="8" t="s">
        <v>94</v>
      </c>
      <c r="R62" s="8">
        <f>'OI 2015'!G99</f>
        <v>74</v>
      </c>
      <c r="S62">
        <v>0</v>
      </c>
      <c r="T62">
        <f>'OI 2017'!G115</f>
        <v>216</v>
      </c>
      <c r="U62">
        <f>'OI 2018'!G115</f>
        <v>322</v>
      </c>
      <c r="V62" s="9">
        <f>'OI 2019'!G116</f>
        <v>101</v>
      </c>
    </row>
    <row r="63" spans="3:22" x14ac:dyDescent="0.25">
      <c r="Q63" s="8" t="s">
        <v>399</v>
      </c>
      <c r="R63" s="8">
        <v>0</v>
      </c>
      <c r="S63">
        <v>0</v>
      </c>
      <c r="T63">
        <v>0</v>
      </c>
      <c r="U63">
        <f>'OI 2018'!E115-'Order and Service summary'!U62-'Order and Service summary'!U61</f>
        <v>100</v>
      </c>
      <c r="V63" s="9">
        <f>'OI 2019'!E116-'Order and Service summary'!V62-'Order and Service summary'!V61</f>
        <v>0</v>
      </c>
    </row>
    <row r="64" spans="3:22" x14ac:dyDescent="0.25">
      <c r="C64" s="5" t="s">
        <v>20</v>
      </c>
      <c r="D64" s="5">
        <v>2014</v>
      </c>
      <c r="E64" s="6">
        <v>2015</v>
      </c>
      <c r="F64" s="6">
        <v>2016</v>
      </c>
      <c r="G64" s="6">
        <v>2017</v>
      </c>
      <c r="H64" s="7">
        <v>2018</v>
      </c>
      <c r="I64" s="6">
        <v>2019</v>
      </c>
      <c r="J64" s="6">
        <v>2020</v>
      </c>
      <c r="K64" s="7">
        <v>2021</v>
      </c>
      <c r="L64" s="6">
        <v>2022</v>
      </c>
      <c r="M64" s="6">
        <v>2023</v>
      </c>
      <c r="N64" s="160"/>
      <c r="O64" s="160"/>
      <c r="Q64" s="36" t="s">
        <v>400</v>
      </c>
      <c r="R64" s="36">
        <f>SUM(R61:R63)</f>
        <v>74</v>
      </c>
      <c r="S64" s="37">
        <f>SUM(S61:S63)</f>
        <v>0</v>
      </c>
      <c r="T64" s="37">
        <f>SUM(T61:T63)</f>
        <v>566</v>
      </c>
      <c r="U64" s="37">
        <f>SUM(U61:U63)</f>
        <v>422</v>
      </c>
      <c r="V64" s="38">
        <f>SUM(V61:V63)</f>
        <v>101</v>
      </c>
    </row>
    <row r="65" spans="3:37" x14ac:dyDescent="0.25">
      <c r="C65" s="55" t="s">
        <v>93</v>
      </c>
      <c r="D65" s="8">
        <f>'OI 2014'!F86</f>
        <v>0</v>
      </c>
      <c r="E65">
        <f>'OI 2015'!F86</f>
        <v>438</v>
      </c>
      <c r="F65">
        <f>'OI 2016'!F86</f>
        <v>0</v>
      </c>
      <c r="G65">
        <f>'OI 2017'!F111</f>
        <v>200</v>
      </c>
      <c r="H65" s="9">
        <f>'OI 2018'!F111</f>
        <v>0</v>
      </c>
    </row>
    <row r="66" spans="3:37" x14ac:dyDescent="0.25">
      <c r="C66" s="55" t="s">
        <v>94</v>
      </c>
      <c r="D66" s="8">
        <f>'OI 2014'!G86</f>
        <v>1978</v>
      </c>
      <c r="E66">
        <f>'OI 2015'!G86</f>
        <v>2172</v>
      </c>
      <c r="F66">
        <f>'OI 2016'!G86</f>
        <v>1008</v>
      </c>
      <c r="G66">
        <f>'OI 2017'!_xlnm.Extract</f>
        <v>1510</v>
      </c>
      <c r="H66" s="9">
        <f>'OI 2018'!_xlnm.Extract</f>
        <v>2599</v>
      </c>
      <c r="Q66" s="36" t="s">
        <v>398</v>
      </c>
      <c r="R66" s="5">
        <v>2015</v>
      </c>
      <c r="S66" s="6">
        <v>2016</v>
      </c>
      <c r="T66" s="6">
        <v>2017</v>
      </c>
      <c r="U66" s="6">
        <v>2018</v>
      </c>
      <c r="V66" s="6">
        <v>2019</v>
      </c>
      <c r="W66" s="6">
        <v>2020</v>
      </c>
      <c r="X66" s="6">
        <v>2021</v>
      </c>
      <c r="Y66" s="7">
        <v>2022</v>
      </c>
      <c r="AG66" s="13" t="s">
        <v>1570</v>
      </c>
      <c r="AH66" s="14" t="s">
        <v>549</v>
      </c>
      <c r="AI66" s="14" t="s">
        <v>1571</v>
      </c>
      <c r="AJ66" s="14" t="s">
        <v>551</v>
      </c>
      <c r="AK66" s="15" t="s">
        <v>552</v>
      </c>
    </row>
    <row r="67" spans="3:37" x14ac:dyDescent="0.25">
      <c r="C67" s="55" t="s">
        <v>399</v>
      </c>
      <c r="D67" s="8">
        <f>'OI 2014'!E86-'OI 2014'!F86-'OI 2014'!G86</f>
        <v>0</v>
      </c>
      <c r="E67">
        <f>'OI 2015'!E86-'OI 2015'!F86-'OI 2015'!G86</f>
        <v>258</v>
      </c>
      <c r="F67">
        <f>'OI 2016'!E86-'OI 2016'!F86-'OI 2016'!G86</f>
        <v>2276</v>
      </c>
      <c r="G67">
        <f>'OI 2017'!E111-'OI 2017'!F111-'OI 2017'!_xlnm.Extract</f>
        <v>1206</v>
      </c>
      <c r="H67" s="9">
        <f>'OI 2018'!E111-'OI 2018'!F111-'OI 2018'!_xlnm.Extract</f>
        <v>1252</v>
      </c>
      <c r="Q67" s="8" t="s">
        <v>382</v>
      </c>
      <c r="R67" s="13">
        <f>SUMIFS('OI 2015'!D2:D72,'OI 2015'!C2:C72,"=India",'OI 2015'!K2:K72,"&lt;2")</f>
        <v>0</v>
      </c>
      <c r="S67" s="14">
        <f>SUMIFS('OI 2016'!D2:D73,'OI 2016'!C2:C73,"=India",'OI 2016'!K2:K73,"&lt;2")</f>
        <v>0</v>
      </c>
      <c r="T67" s="14">
        <f>SUMIFS('OI 2017'!D2:D91,'OI 2017'!C2:C91,"=India",'OI 2017'!K2:K91,"&lt;2")</f>
        <v>0</v>
      </c>
      <c r="U67" s="14">
        <f>SUMIFS('OI 2018'!D2:D92,'OI 2018'!C2:C92,"=India",'OI 2018'!K2:K92,"&lt;2")</f>
        <v>0</v>
      </c>
      <c r="V67" s="14">
        <f>SUMIFS('OI 2019'!D2:D92,'OI 2019'!C2:C92,"=India",'OI 2019'!K2:K92,"&lt;2")</f>
        <v>0</v>
      </c>
      <c r="W67" s="14">
        <f>SUMIFS('OI 2020'!D2:D122,'OI 2020'!C2:C122,"=India",'OI 2020'!K2:K122,"&lt;2")</f>
        <v>0</v>
      </c>
      <c r="X67" s="14">
        <f>SUMIFS('OI 2021'!D2:D122,'OI 2021'!C2:C122,"=India",'OI 2021'!K2:K122,"&lt;2")</f>
        <v>0</v>
      </c>
      <c r="Y67" s="15">
        <f>SUMIFS('OI 2022'!D2:D122,'OI 2022'!C2:C122,"=India",'OI 2022'!K2:K122,"&lt;2")</f>
        <v>0</v>
      </c>
      <c r="AG67" s="13" t="s">
        <v>545</v>
      </c>
      <c r="AH67" s="14">
        <v>2017</v>
      </c>
      <c r="AI67" s="14">
        <v>2016</v>
      </c>
      <c r="AJ67" s="14">
        <v>2015</v>
      </c>
      <c r="AK67" s="15">
        <v>2014</v>
      </c>
    </row>
    <row r="68" spans="3:37" x14ac:dyDescent="0.25">
      <c r="C68" s="56" t="s">
        <v>400</v>
      </c>
      <c r="D68" s="10">
        <f>SUM(D65:D67)</f>
        <v>1978</v>
      </c>
      <c r="E68" s="11">
        <f>SUM(E65:E67)</f>
        <v>2868</v>
      </c>
      <c r="F68" s="11">
        <f>SUM(F65:F67)</f>
        <v>3284</v>
      </c>
      <c r="G68" s="11">
        <f>SUM(G65:G67)</f>
        <v>2916</v>
      </c>
      <c r="H68" s="12">
        <f>SUM(H65:H67)</f>
        <v>3851</v>
      </c>
      <c r="Q68" s="8" t="s">
        <v>384</v>
      </c>
      <c r="R68" s="8">
        <f>SUMIFS('OI 2015'!D2:D72,'OI 2015'!C2:C72,"=India",'OI 2015'!K2:K72,"&lt;3")-R67</f>
        <v>74</v>
      </c>
      <c r="S68">
        <f>SUMIFS('OI 2016'!D2:D73,'OI 2016'!C2:C73,"=India",'OI 2016'!K2:K73,"&lt;3")-S67</f>
        <v>0</v>
      </c>
      <c r="T68">
        <f>SUMIFS('OI 2017'!D2:D91,'OI 2017'!C2:C91,"=India",'OI 2017'!K2:K91,"&lt;3")-T67</f>
        <v>566</v>
      </c>
      <c r="U68">
        <f>SUMIFS('OI 2018'!D2:D92,'OI 2018'!C2:C92,"=India",'OI 2018'!K2:K92,"&lt;3")-U67</f>
        <v>422</v>
      </c>
      <c r="V68">
        <f>SUMIFS('OI 2019'!D2:D92,'OI 2019'!C2:C92,"=India",'OI 2019'!K2:K92,"&lt;3")-V67</f>
        <v>101</v>
      </c>
      <c r="W68">
        <f>SUMIFS('OI 2020'!D2:D122,'OI 2020'!C2:C122,"=India",'OI 2020'!K2:K122,"&lt;3")-W67</f>
        <v>17</v>
      </c>
      <c r="X68">
        <f>SUMIFS('OI 2021'!D2:D122,'OI 2021'!C2:C122,"=India",'OI 2021'!K2:K122,"&lt;3")-X67</f>
        <v>202</v>
      </c>
      <c r="Y68" s="9">
        <f>SUMIFS('OI 2022'!D2:D122,'OI 2022'!C2:C122,"=India",'OI 2022'!K2:K122,"&lt;3")-Y67</f>
        <v>51</v>
      </c>
      <c r="AG68" s="8" t="s">
        <v>547</v>
      </c>
      <c r="AH68">
        <v>1.3</v>
      </c>
      <c r="AI68">
        <v>2.7</v>
      </c>
      <c r="AJ68">
        <v>4.3</v>
      </c>
      <c r="AK68" s="9">
        <v>0.2</v>
      </c>
    </row>
    <row r="69" spans="3:37" x14ac:dyDescent="0.25">
      <c r="Q69" s="8" t="s">
        <v>385</v>
      </c>
      <c r="R69" s="10">
        <f>SUMIFS('OI 2015'!D2:D72,'OI 2015'!C2:C72,"=India",'OI 2015'!K2:K72,"&lt;4")-R67-R68</f>
        <v>0</v>
      </c>
      <c r="S69" s="11">
        <f>SUMIFS('OI 2016'!D2:D73,'OI 2016'!C2:C73,"=India",'OI 2016'!K2:K73,"&lt;4")-S67-S68</f>
        <v>0</v>
      </c>
      <c r="T69" s="11">
        <f>SUMIFS('OI 2017'!D2:D91,'OI 2017'!C2:C91,"=India",'OI 2017'!K2:K91,"&lt;4")-T67-T68</f>
        <v>0</v>
      </c>
      <c r="U69" s="11">
        <f>SUMIFS('OI 2018'!D2:D92,'OI 2018'!C2:C92,"=India",'OI 2018'!K2:K92,"&lt;4")-U67-U68</f>
        <v>0</v>
      </c>
      <c r="V69" s="11">
        <f>SUMIFS('OI 2019'!D2:D92,'OI 2019'!C2:C92,"=India",'OI 2019'!K2:K92,"&lt;4")-V68-V67</f>
        <v>0</v>
      </c>
      <c r="W69" s="11">
        <f>SUMIFS('OI 2020'!D2:D122,'OI 2020'!C2:C122,"=India",'OI 2020'!K2:K122,"&lt;4")-W68-W67</f>
        <v>0</v>
      </c>
      <c r="X69" s="11">
        <f>SUMIFS('OI 2021'!D2:D122,'OI 2021'!C2:C122,"=India",'OI 2021'!K2:K122,"&lt;4")-X68-X67</f>
        <v>0</v>
      </c>
      <c r="Y69" s="12">
        <f>SUMIFS('OI 2022'!D2:D122,'OI 2022'!C2:C122,"=India",'OI 2022'!K2:K122,"&lt;4")-Y68-Y67</f>
        <v>54</v>
      </c>
      <c r="AG69" s="8" t="s">
        <v>546</v>
      </c>
      <c r="AH69">
        <v>3.4</v>
      </c>
      <c r="AI69">
        <v>4.2</v>
      </c>
      <c r="AJ69">
        <v>6.4</v>
      </c>
      <c r="AK69" s="9">
        <v>1.3</v>
      </c>
    </row>
    <row r="70" spans="3:37" x14ac:dyDescent="0.25">
      <c r="Q70" s="36" t="s">
        <v>1163</v>
      </c>
      <c r="R70" s="56">
        <f>SUM(R67:R69)</f>
        <v>74</v>
      </c>
      <c r="S70" s="143">
        <f>SUM(S67:S69)</f>
        <v>0</v>
      </c>
      <c r="T70" s="143">
        <f>SUM(T67:T69)</f>
        <v>566</v>
      </c>
      <c r="U70" s="143">
        <f>SUM(U67:U69)</f>
        <v>422</v>
      </c>
      <c r="V70" s="143">
        <f>SUM(V67:V69)</f>
        <v>101</v>
      </c>
      <c r="W70" s="143">
        <f t="shared" ref="W70:Y70" si="1">SUM(W67:W69)</f>
        <v>17</v>
      </c>
      <c r="X70" s="143">
        <f t="shared" si="1"/>
        <v>202</v>
      </c>
      <c r="Y70" s="144">
        <f t="shared" si="1"/>
        <v>105</v>
      </c>
      <c r="AG70" s="8" t="s">
        <v>93</v>
      </c>
      <c r="AH70">
        <v>33.700000000000003</v>
      </c>
      <c r="AI70">
        <v>47</v>
      </c>
      <c r="AJ70">
        <v>42.3</v>
      </c>
      <c r="AK70" s="9">
        <v>40.9</v>
      </c>
    </row>
    <row r="71" spans="3:37" x14ac:dyDescent="0.25">
      <c r="AG71" s="10" t="s">
        <v>94</v>
      </c>
      <c r="AH71" s="11">
        <v>61.6</v>
      </c>
      <c r="AI71" s="11">
        <v>46.1</v>
      </c>
      <c r="AJ71" s="11">
        <v>47</v>
      </c>
      <c r="AK71" s="12">
        <v>57.6</v>
      </c>
    </row>
    <row r="77" spans="3:37" x14ac:dyDescent="0.25">
      <c r="P77" s="5"/>
      <c r="Q77" s="5">
        <v>2014</v>
      </c>
      <c r="R77" s="7">
        <v>2014</v>
      </c>
      <c r="S77" s="5">
        <v>2015</v>
      </c>
      <c r="T77" s="7">
        <v>2015</v>
      </c>
      <c r="U77" s="5">
        <v>2016</v>
      </c>
      <c r="V77" s="7">
        <v>2016</v>
      </c>
      <c r="W77" s="6">
        <v>2017</v>
      </c>
      <c r="X77" s="7">
        <v>2017</v>
      </c>
      <c r="Y77" s="5">
        <v>2018</v>
      </c>
      <c r="Z77" s="7">
        <v>2018</v>
      </c>
      <c r="AA77" s="5">
        <v>2019</v>
      </c>
      <c r="AB77" s="7">
        <v>2019</v>
      </c>
      <c r="AC77" s="5">
        <v>2020</v>
      </c>
      <c r="AD77" s="7">
        <v>2020</v>
      </c>
      <c r="AE77" s="5">
        <v>2021</v>
      </c>
      <c r="AF77" s="7">
        <v>2021</v>
      </c>
      <c r="AG77" s="5">
        <v>2022</v>
      </c>
      <c r="AH77" s="7">
        <v>2022</v>
      </c>
    </row>
    <row r="78" spans="3:37" x14ac:dyDescent="0.25">
      <c r="P78" s="5"/>
      <c r="Q78" s="5" t="s">
        <v>93</v>
      </c>
      <c r="R78" s="7" t="s">
        <v>94</v>
      </c>
      <c r="S78" s="5" t="s">
        <v>93</v>
      </c>
      <c r="T78" s="7" t="s">
        <v>94</v>
      </c>
      <c r="U78" s="5" t="s">
        <v>93</v>
      </c>
      <c r="V78" s="7" t="s">
        <v>94</v>
      </c>
      <c r="W78" s="6" t="s">
        <v>93</v>
      </c>
      <c r="X78" s="7" t="s">
        <v>94</v>
      </c>
      <c r="Y78" s="36" t="s">
        <v>93</v>
      </c>
      <c r="Z78" s="38" t="s">
        <v>94</v>
      </c>
      <c r="AA78" s="5" t="s">
        <v>93</v>
      </c>
      <c r="AB78" s="7" t="s">
        <v>94</v>
      </c>
      <c r="AC78" s="36" t="s">
        <v>93</v>
      </c>
      <c r="AD78" s="38" t="s">
        <v>94</v>
      </c>
      <c r="AE78" s="36" t="s">
        <v>93</v>
      </c>
      <c r="AF78" s="38" t="s">
        <v>94</v>
      </c>
      <c r="AG78" s="5" t="s">
        <v>93</v>
      </c>
      <c r="AH78" s="7" t="s">
        <v>94</v>
      </c>
    </row>
    <row r="79" spans="3:37" x14ac:dyDescent="0.25">
      <c r="P79" s="5" t="s">
        <v>402</v>
      </c>
      <c r="Q79" s="13">
        <f>'OI 2014'!D116</f>
        <v>606</v>
      </c>
      <c r="R79" s="15">
        <f>'OI 2014'!E116</f>
        <v>1177</v>
      </c>
      <c r="S79" s="14">
        <f>'OI 2015'!D116</f>
        <v>33</v>
      </c>
      <c r="T79" s="15">
        <f>'OI 2015'!E116</f>
        <v>0</v>
      </c>
      <c r="U79" s="13">
        <f>'OI 2016'!D116</f>
        <v>438</v>
      </c>
      <c r="V79" s="15">
        <f>'OI 2016'!E116</f>
        <v>1880</v>
      </c>
      <c r="W79" s="14">
        <f>'OI 2017'!D140</f>
        <v>297</v>
      </c>
      <c r="X79" s="15">
        <f>'OI 2017'!E140</f>
        <v>726</v>
      </c>
      <c r="Y79" s="13">
        <f>'OI 2018'!D147</f>
        <v>580</v>
      </c>
      <c r="Z79" s="14">
        <f>'OI 2018'!E147</f>
        <v>1808</v>
      </c>
      <c r="AA79" s="13">
        <f>'OI 2019'!D148</f>
        <v>324</v>
      </c>
      <c r="AB79" s="15">
        <f>'OI 2019'!E148</f>
        <v>417</v>
      </c>
      <c r="AC79" s="8">
        <f>'OI 2020'!D179</f>
        <v>993</v>
      </c>
      <c r="AD79" s="9">
        <f>'OI 2020'!E179</f>
        <v>399</v>
      </c>
      <c r="AE79" s="8">
        <f>'OI 2021'!D181</f>
        <v>0</v>
      </c>
      <c r="AF79" s="9">
        <f>'OI 2021'!E181</f>
        <v>0</v>
      </c>
      <c r="AG79" s="13">
        <f>'OI 2022'!D193</f>
        <v>0</v>
      </c>
      <c r="AH79" s="15">
        <f>'OI 2022'!E193</f>
        <v>0</v>
      </c>
    </row>
    <row r="80" spans="3:37" x14ac:dyDescent="0.25">
      <c r="P80" s="58" t="s">
        <v>403</v>
      </c>
      <c r="Q80" s="8">
        <f>'OI 2014'!D117</f>
        <v>201</v>
      </c>
      <c r="R80" s="9">
        <f>'OI 2014'!E117</f>
        <v>1092</v>
      </c>
      <c r="S80">
        <f>'OI 2015'!D117</f>
        <v>0</v>
      </c>
      <c r="T80" s="9">
        <f>'OI 2015'!E117</f>
        <v>0</v>
      </c>
      <c r="U80" s="8">
        <f>'OI 2016'!D117</f>
        <v>521</v>
      </c>
      <c r="V80" s="9">
        <f>'OI 2016'!E117</f>
        <v>365</v>
      </c>
      <c r="W80">
        <f>'OI 2017'!D141</f>
        <v>447</v>
      </c>
      <c r="X80" s="9">
        <f>'OI 2017'!E141</f>
        <v>765</v>
      </c>
      <c r="Y80" s="8">
        <f>'OI 2018'!D148</f>
        <v>0</v>
      </c>
      <c r="Z80">
        <f>'OI 2018'!E148</f>
        <v>1594</v>
      </c>
      <c r="AA80" s="8">
        <f>'OI 2019'!D149</f>
        <v>98</v>
      </c>
      <c r="AB80" s="9">
        <f>'OI 2019'!E149</f>
        <v>2040</v>
      </c>
      <c r="AC80" s="8">
        <f>'OI 2020'!D180</f>
        <v>327</v>
      </c>
      <c r="AD80" s="9">
        <f>'OI 2020'!E180</f>
        <v>1615</v>
      </c>
      <c r="AE80" s="8">
        <f>'OI 2021'!D182</f>
        <v>0</v>
      </c>
      <c r="AF80" s="9">
        <f>'OI 2021'!E182</f>
        <v>0</v>
      </c>
      <c r="AG80" s="8">
        <f>'OI 2022'!D194</f>
        <v>0</v>
      </c>
      <c r="AH80" s="9">
        <f>'OI 2022'!E194</f>
        <v>0</v>
      </c>
    </row>
    <row r="81" spans="3:34" x14ac:dyDescent="0.25">
      <c r="P81" s="58" t="s">
        <v>404</v>
      </c>
      <c r="Q81" s="8">
        <f>'OI 2014'!D118</f>
        <v>427</v>
      </c>
      <c r="R81" s="9">
        <f>'OI 2014'!E118</f>
        <v>290</v>
      </c>
      <c r="S81">
        <f>'OI 2015'!D118</f>
        <v>0</v>
      </c>
      <c r="T81" s="9">
        <f>'OI 2015'!E118</f>
        <v>0</v>
      </c>
      <c r="U81" s="8">
        <f>'OI 2016'!D118</f>
        <v>323</v>
      </c>
      <c r="V81" s="9">
        <f>'OI 2016'!E118</f>
        <v>351</v>
      </c>
      <c r="W81">
        <f>'OI 2017'!D142</f>
        <v>310</v>
      </c>
      <c r="X81" s="9">
        <f>'OI 2017'!E142</f>
        <v>966</v>
      </c>
      <c r="Y81" s="8">
        <f>'OI 2018'!D149</f>
        <v>154</v>
      </c>
      <c r="Z81">
        <f>'OI 2018'!E149</f>
        <v>946.39999999999964</v>
      </c>
      <c r="AA81" s="8">
        <f>'OI 2019'!D150</f>
        <v>783</v>
      </c>
      <c r="AB81" s="9">
        <f>'OI 2019'!E150</f>
        <v>522</v>
      </c>
      <c r="AC81" s="8">
        <f>'OI 2020'!D181</f>
        <v>46</v>
      </c>
      <c r="AD81" s="9">
        <f>'OI 2020'!E181</f>
        <v>1189</v>
      </c>
      <c r="AE81" s="8">
        <f>'OI 2021'!D183</f>
        <v>0</v>
      </c>
      <c r="AF81" s="9">
        <f>'OI 2021'!E183</f>
        <v>0</v>
      </c>
      <c r="AG81" s="8">
        <f>'OI 2022'!D195</f>
        <v>0</v>
      </c>
      <c r="AH81" s="9">
        <f>'OI 2022'!E195</f>
        <v>0</v>
      </c>
    </row>
    <row r="82" spans="3:34" x14ac:dyDescent="0.25">
      <c r="P82" s="58" t="s">
        <v>102</v>
      </c>
      <c r="Q82" s="8">
        <f>'OI 2014'!D119</f>
        <v>0</v>
      </c>
      <c r="R82" s="9">
        <f>'OI 2014'!E119</f>
        <v>0</v>
      </c>
      <c r="S82">
        <f>'OI 2015'!D119</f>
        <v>0</v>
      </c>
      <c r="T82" s="9">
        <f>'OI 2015'!E119</f>
        <v>0</v>
      </c>
      <c r="U82" s="8">
        <f>'OI 2016'!D119</f>
        <v>536</v>
      </c>
      <c r="V82" s="9">
        <f>'OI 2016'!E119</f>
        <v>172</v>
      </c>
      <c r="W82">
        <f>'OI 2017'!D143</f>
        <v>255</v>
      </c>
      <c r="X82" s="9">
        <f>'OI 2017'!E143</f>
        <v>1236</v>
      </c>
      <c r="Y82" s="8">
        <f>'OI 2018'!D150</f>
        <v>131.79999999999995</v>
      </c>
      <c r="Z82">
        <f>'OI 2018'!E150</f>
        <v>1092</v>
      </c>
      <c r="AA82" s="8">
        <f>'OI 2019'!D151</f>
        <v>763</v>
      </c>
      <c r="AB82" s="9">
        <f>'OI 2019'!E151</f>
        <v>1067</v>
      </c>
      <c r="AC82" s="8">
        <f>'OI 2020'!D182</f>
        <v>653</v>
      </c>
      <c r="AD82" s="9">
        <f>'OI 2020'!E182</f>
        <v>3255</v>
      </c>
      <c r="AE82" s="8">
        <f>'OI 2021'!D184</f>
        <v>0</v>
      </c>
      <c r="AF82" s="9">
        <f>'OI 2021'!E184</f>
        <v>0</v>
      </c>
      <c r="AG82" s="8">
        <f>'OI 2022'!D196</f>
        <v>0</v>
      </c>
      <c r="AH82" s="9">
        <f>'OI 2022'!E196</f>
        <v>0</v>
      </c>
    </row>
    <row r="83" spans="3:34" x14ac:dyDescent="0.25">
      <c r="P83" s="55" t="s">
        <v>405</v>
      </c>
      <c r="Q83" s="8">
        <f>'OI 2014'!D120</f>
        <v>0</v>
      </c>
      <c r="R83" s="9">
        <f>'OI 2014'!E120</f>
        <v>0</v>
      </c>
      <c r="S83">
        <f>'OI 2015'!D120</f>
        <v>0</v>
      </c>
      <c r="T83" s="9">
        <f>'OI 2015'!E120</f>
        <v>0</v>
      </c>
      <c r="U83" s="8">
        <f>'OI 2016'!D120</f>
        <v>0</v>
      </c>
      <c r="V83" s="9">
        <f>'OI 2016'!E120</f>
        <v>0</v>
      </c>
      <c r="W83">
        <f>'OI 2017'!D144</f>
        <v>54</v>
      </c>
      <c r="X83" s="9">
        <f>'OI 2017'!E144</f>
        <v>49</v>
      </c>
      <c r="Y83" s="8">
        <f>'OI 2018'!D151</f>
        <v>0</v>
      </c>
      <c r="Z83">
        <f>'OI 2018'!E151</f>
        <v>1402</v>
      </c>
      <c r="AA83" s="8">
        <f>'OI 2019'!D152</f>
        <v>246</v>
      </c>
      <c r="AB83" s="9">
        <f>'OI 2019'!E152</f>
        <v>2167</v>
      </c>
      <c r="AC83" s="8">
        <f>'OI 2020'!D183</f>
        <v>68</v>
      </c>
      <c r="AD83" s="9">
        <f>'OI 2020'!E183</f>
        <v>2125</v>
      </c>
      <c r="AE83" s="8">
        <f>'OI 2021'!D185</f>
        <v>0</v>
      </c>
      <c r="AF83" s="9">
        <f>'OI 2021'!E185</f>
        <v>0</v>
      </c>
      <c r="AG83" s="8">
        <f>'OI 2022'!D197</f>
        <v>0</v>
      </c>
      <c r="AH83" s="9">
        <f>'OI 2022'!E197</f>
        <v>0</v>
      </c>
    </row>
    <row r="84" spans="3:34" x14ac:dyDescent="0.25">
      <c r="P84" s="56" t="s">
        <v>406</v>
      </c>
      <c r="Q84" s="10">
        <f>'OI 2014'!D121</f>
        <v>0</v>
      </c>
      <c r="R84" s="12">
        <f>'OI 2014'!E121</f>
        <v>0</v>
      </c>
      <c r="S84" s="11">
        <f>'OI 2015'!D121</f>
        <v>2330</v>
      </c>
      <c r="T84" s="12">
        <f>'OI 2015'!E121</f>
        <v>3421</v>
      </c>
      <c r="U84" s="10">
        <f>'OI 2016'!D121</f>
        <v>31</v>
      </c>
      <c r="V84" s="12">
        <f>'OI 2016'!E121</f>
        <v>422</v>
      </c>
      <c r="W84" s="11">
        <f>'OI 2017'!D145</f>
        <v>422</v>
      </c>
      <c r="X84" s="12">
        <f>'OI 2017'!E145</f>
        <v>809</v>
      </c>
      <c r="Y84" s="10">
        <f>'OI 2018'!D152</f>
        <v>337</v>
      </c>
      <c r="Z84" s="11">
        <f>'OI 2018'!E152</f>
        <v>518</v>
      </c>
      <c r="AA84" s="10">
        <f>'OI 2019'!D153</f>
        <v>0</v>
      </c>
      <c r="AB84" s="12">
        <f>'OI 2019'!E153</f>
        <v>388</v>
      </c>
      <c r="AC84" s="10">
        <f>'OI 2020'!D184</f>
        <v>0</v>
      </c>
      <c r="AD84" s="12">
        <f>'OI 2020'!E184</f>
        <v>921</v>
      </c>
      <c r="AE84" s="10">
        <f>'OI 2021'!D186</f>
        <v>587</v>
      </c>
      <c r="AF84" s="12">
        <f>'OI 2021'!E186</f>
        <v>8612</v>
      </c>
      <c r="AG84" s="10">
        <f>'OI 2022'!D198</f>
        <v>568</v>
      </c>
      <c r="AH84" s="12">
        <f>'OI 2022'!E198</f>
        <v>7190</v>
      </c>
    </row>
    <row r="85" spans="3:34" x14ac:dyDescent="0.25">
      <c r="C85" s="5" t="s">
        <v>138</v>
      </c>
      <c r="D85" s="14">
        <v>2014</v>
      </c>
      <c r="E85" s="14">
        <v>2015</v>
      </c>
      <c r="F85" s="14">
        <v>2016</v>
      </c>
      <c r="G85" s="14">
        <v>2017</v>
      </c>
      <c r="H85" s="15">
        <v>2018</v>
      </c>
      <c r="P85" s="55" t="s">
        <v>1637</v>
      </c>
      <c r="Q85">
        <f>SUM(Q79:Q83)</f>
        <v>1234</v>
      </c>
      <c r="R85">
        <f t="shared" ref="R85:AH85" si="2">SUM(R79:R83)</f>
        <v>2559</v>
      </c>
      <c r="S85">
        <f t="shared" si="2"/>
        <v>33</v>
      </c>
      <c r="T85">
        <f t="shared" si="2"/>
        <v>0</v>
      </c>
      <c r="U85">
        <f t="shared" si="2"/>
        <v>1818</v>
      </c>
      <c r="V85">
        <f t="shared" si="2"/>
        <v>2768</v>
      </c>
      <c r="W85">
        <f t="shared" si="2"/>
        <v>1363</v>
      </c>
      <c r="X85">
        <f t="shared" si="2"/>
        <v>3742</v>
      </c>
      <c r="Y85">
        <f t="shared" si="2"/>
        <v>865.8</v>
      </c>
      <c r="Z85">
        <f t="shared" si="2"/>
        <v>6842.4</v>
      </c>
      <c r="AA85">
        <f t="shared" si="2"/>
        <v>2214</v>
      </c>
      <c r="AB85">
        <f t="shared" si="2"/>
        <v>6213</v>
      </c>
      <c r="AC85">
        <f t="shared" si="2"/>
        <v>2087</v>
      </c>
      <c r="AD85">
        <f t="shared" si="2"/>
        <v>8583</v>
      </c>
      <c r="AE85">
        <f t="shared" si="2"/>
        <v>0</v>
      </c>
      <c r="AF85">
        <f t="shared" si="2"/>
        <v>0</v>
      </c>
      <c r="AG85">
        <f t="shared" si="2"/>
        <v>0</v>
      </c>
      <c r="AH85">
        <f t="shared" si="2"/>
        <v>0</v>
      </c>
    </row>
    <row r="86" spans="3:34" x14ac:dyDescent="0.25">
      <c r="C86" s="8" t="s">
        <v>93</v>
      </c>
      <c r="D86">
        <f>'OI 2014'!F90</f>
        <v>79</v>
      </c>
      <c r="E86">
        <f>'OI 2015'!F90</f>
        <v>26</v>
      </c>
      <c r="F86">
        <f>'OI 2016'!F90</f>
        <v>76</v>
      </c>
      <c r="G86">
        <f>'OI 2017'!F114</f>
        <v>53</v>
      </c>
      <c r="H86" s="9">
        <f>'OI 2018'!F114</f>
        <v>58.800000000000004</v>
      </c>
    </row>
    <row r="87" spans="3:34" x14ac:dyDescent="0.25">
      <c r="C87" s="8" t="s">
        <v>94</v>
      </c>
      <c r="D87">
        <f>'OI 2014'!G90</f>
        <v>99</v>
      </c>
      <c r="E87">
        <f>'OI 2015'!G90</f>
        <v>126</v>
      </c>
      <c r="F87">
        <f>'OI 2016'!G90</f>
        <v>83</v>
      </c>
      <c r="G87">
        <f>'OI 2017'!G114</f>
        <v>125</v>
      </c>
      <c r="H87" s="9">
        <f>'OI 2018'!G114</f>
        <v>21</v>
      </c>
    </row>
    <row r="88" spans="3:34" x14ac:dyDescent="0.25">
      <c r="C88" s="8" t="s">
        <v>399</v>
      </c>
      <c r="D88">
        <f>'OI 2014'!E90-'OI 2014'!F90-'OI 2014'!G90</f>
        <v>0</v>
      </c>
      <c r="E88">
        <f>'OI 2015'!E90-'OI 2015'!F90-'OI 2015'!G90</f>
        <v>0</v>
      </c>
      <c r="F88">
        <f>'OI 2016'!E90-'OI 2016'!F90-'OI 2016'!G90</f>
        <v>0</v>
      </c>
      <c r="G88">
        <f>'OI 2017'!E114-'OI 2017'!F114-'OI 2017'!G114</f>
        <v>41</v>
      </c>
      <c r="H88" s="9">
        <f>'OI 2018'!E114-'OI 2018'!F114-'OI 2018'!G114</f>
        <v>0</v>
      </c>
    </row>
    <row r="89" spans="3:34" x14ac:dyDescent="0.25">
      <c r="C89" s="10" t="s">
        <v>400</v>
      </c>
      <c r="D89" s="11">
        <f>SUM(D86:D88)</f>
        <v>178</v>
      </c>
      <c r="E89" s="11">
        <f>SUM(E86:E88)</f>
        <v>152</v>
      </c>
      <c r="F89" s="11">
        <f>SUM(F86:F88)</f>
        <v>159</v>
      </c>
      <c r="G89" s="11">
        <f>SUM(G86:G88)</f>
        <v>219</v>
      </c>
      <c r="H89" s="12">
        <f>SUM(H86:H88)</f>
        <v>79.800000000000011</v>
      </c>
    </row>
    <row r="106" spans="3:37" ht="18.75" x14ac:dyDescent="0.3">
      <c r="Q106" s="13"/>
      <c r="R106" s="14"/>
      <c r="S106" s="57" t="s">
        <v>1567</v>
      </c>
      <c r="T106" s="14"/>
      <c r="U106" s="14"/>
      <c r="V106" s="14"/>
      <c r="W106" s="14"/>
      <c r="X106" s="14"/>
      <c r="Y106" s="14"/>
      <c r="Z106" s="14"/>
      <c r="AA106" s="14"/>
      <c r="AB106" s="14"/>
      <c r="AC106" s="14"/>
      <c r="AD106" s="14"/>
      <c r="AE106" s="14"/>
      <c r="AF106" s="14"/>
      <c r="AG106" s="14"/>
      <c r="AH106" s="14"/>
      <c r="AI106" s="14"/>
      <c r="AJ106" s="14"/>
      <c r="AK106" s="15"/>
    </row>
    <row r="107" spans="3:37" x14ac:dyDescent="0.25">
      <c r="Q107" s="8"/>
      <c r="AK107" s="9"/>
    </row>
    <row r="108" spans="3:37" x14ac:dyDescent="0.25">
      <c r="C108" t="s">
        <v>142</v>
      </c>
      <c r="D108" t="s">
        <v>130</v>
      </c>
      <c r="E108" t="s">
        <v>91</v>
      </c>
      <c r="Q108" s="8"/>
      <c r="R108" s="5" t="s">
        <v>380</v>
      </c>
      <c r="S108" s="6">
        <v>2008</v>
      </c>
      <c r="T108" s="6">
        <v>2009</v>
      </c>
      <c r="U108" s="6">
        <v>2010</v>
      </c>
      <c r="V108" s="6">
        <v>2011</v>
      </c>
      <c r="W108" s="6">
        <v>2012</v>
      </c>
      <c r="X108" s="6">
        <v>2013</v>
      </c>
      <c r="Y108" s="6">
        <v>2014</v>
      </c>
      <c r="Z108" s="6">
        <v>2015</v>
      </c>
      <c r="AA108" s="6">
        <v>2016</v>
      </c>
      <c r="AB108" s="6">
        <v>2017</v>
      </c>
      <c r="AC108" s="6">
        <v>2018</v>
      </c>
      <c r="AD108" s="7">
        <v>2019</v>
      </c>
      <c r="AE108" s="6">
        <v>2020</v>
      </c>
      <c r="AF108" s="7">
        <v>2021</v>
      </c>
      <c r="AK108" s="9"/>
    </row>
    <row r="109" spans="3:37" x14ac:dyDescent="0.25">
      <c r="C109">
        <v>2023</v>
      </c>
      <c r="D109">
        <v>0</v>
      </c>
      <c r="Q109" s="8"/>
      <c r="R109" s="8" t="s">
        <v>1538</v>
      </c>
      <c r="S109">
        <v>27</v>
      </c>
      <c r="T109">
        <v>26</v>
      </c>
      <c r="U109">
        <v>65</v>
      </c>
      <c r="V109">
        <v>56</v>
      </c>
      <c r="W109">
        <v>33</v>
      </c>
      <c r="X109">
        <v>48</v>
      </c>
      <c r="Y109">
        <v>46</v>
      </c>
      <c r="Z109">
        <v>71</v>
      </c>
      <c r="AA109">
        <v>72</v>
      </c>
      <c r="AB109">
        <v>90</v>
      </c>
      <c r="AC109">
        <v>91</v>
      </c>
      <c r="AD109">
        <v>92</v>
      </c>
      <c r="AE109">
        <v>120</v>
      </c>
      <c r="AF109" s="9">
        <v>82</v>
      </c>
      <c r="AK109" s="9"/>
    </row>
    <row r="110" spans="3:37" x14ac:dyDescent="0.25">
      <c r="C110">
        <v>2022</v>
      </c>
      <c r="D110">
        <f>'OI 2022'!E158</f>
        <v>0</v>
      </c>
      <c r="Q110" s="8"/>
      <c r="R110" s="8" t="s">
        <v>1536</v>
      </c>
      <c r="S110">
        <v>3</v>
      </c>
      <c r="T110">
        <v>0</v>
      </c>
      <c r="U110">
        <v>9</v>
      </c>
      <c r="V110">
        <v>0</v>
      </c>
      <c r="W110">
        <v>1</v>
      </c>
      <c r="X110">
        <v>6</v>
      </c>
      <c r="Y110">
        <v>5</v>
      </c>
      <c r="Z110">
        <v>3</v>
      </c>
      <c r="AA110">
        <v>10</v>
      </c>
      <c r="AB110">
        <v>10</v>
      </c>
      <c r="AC110">
        <v>6</v>
      </c>
      <c r="AD110">
        <v>10</v>
      </c>
      <c r="AE110">
        <v>27</v>
      </c>
      <c r="AF110" s="9">
        <v>18</v>
      </c>
      <c r="AK110" s="9"/>
    </row>
    <row r="111" spans="3:37" x14ac:dyDescent="0.25">
      <c r="C111">
        <v>2021</v>
      </c>
      <c r="D111">
        <f>'OI 2021'!E146</f>
        <v>0</v>
      </c>
      <c r="Q111" s="8"/>
      <c r="R111" s="8" t="s">
        <v>1537</v>
      </c>
      <c r="S111">
        <v>0</v>
      </c>
      <c r="T111">
        <v>0</v>
      </c>
      <c r="U111">
        <v>0</v>
      </c>
      <c r="V111">
        <v>0</v>
      </c>
      <c r="W111">
        <v>0</v>
      </c>
      <c r="X111">
        <v>0</v>
      </c>
      <c r="Y111">
        <v>0</v>
      </c>
      <c r="Z111">
        <v>0</v>
      </c>
      <c r="AA111">
        <v>0</v>
      </c>
      <c r="AB111">
        <v>4</v>
      </c>
      <c r="AC111">
        <v>1</v>
      </c>
      <c r="AD111">
        <v>2</v>
      </c>
      <c r="AE111">
        <v>3</v>
      </c>
      <c r="AF111" s="9">
        <v>1</v>
      </c>
      <c r="AK111" s="9"/>
    </row>
    <row r="112" spans="3:37" x14ac:dyDescent="0.25">
      <c r="C112">
        <v>2020</v>
      </c>
      <c r="D112">
        <f>'OI 2020'!E144</f>
        <v>1331</v>
      </c>
      <c r="Q112" s="8"/>
      <c r="R112" s="10" t="s">
        <v>1539</v>
      </c>
      <c r="S112" s="11">
        <v>0</v>
      </c>
      <c r="T112" s="11">
        <v>0</v>
      </c>
      <c r="U112" s="11">
        <v>0</v>
      </c>
      <c r="V112" s="11">
        <v>0</v>
      </c>
      <c r="W112" s="11">
        <v>0</v>
      </c>
      <c r="X112" s="11">
        <v>0</v>
      </c>
      <c r="Y112" s="11">
        <v>0</v>
      </c>
      <c r="Z112" s="11">
        <v>0</v>
      </c>
      <c r="AA112" s="11">
        <v>8</v>
      </c>
      <c r="AB112" s="11">
        <v>22</v>
      </c>
      <c r="AC112" s="11">
        <v>35</v>
      </c>
      <c r="AD112" s="11">
        <v>18</v>
      </c>
      <c r="AE112" s="11">
        <v>50</v>
      </c>
      <c r="AF112" s="12">
        <v>22</v>
      </c>
      <c r="AK112" s="9"/>
    </row>
    <row r="113" spans="3:37" x14ac:dyDescent="0.25">
      <c r="C113">
        <v>2019</v>
      </c>
      <c r="D113">
        <f>'OI 2019'!E113</f>
        <v>317</v>
      </c>
      <c r="Q113" s="8"/>
      <c r="R113" s="8"/>
      <c r="AF113" s="9"/>
      <c r="AK113" s="9"/>
    </row>
    <row r="114" spans="3:37" x14ac:dyDescent="0.25">
      <c r="C114">
        <v>2018</v>
      </c>
      <c r="D114">
        <f>'OI 2018'!E112</f>
        <v>291</v>
      </c>
      <c r="Q114" s="8"/>
      <c r="R114" s="8"/>
      <c r="AF114" s="9"/>
      <c r="AK114" s="9"/>
    </row>
    <row r="115" spans="3:37" x14ac:dyDescent="0.25">
      <c r="C115">
        <v>2017</v>
      </c>
      <c r="D115">
        <f>'OI 2017'!E112</f>
        <v>758</v>
      </c>
      <c r="Q115" s="8"/>
      <c r="R115" s="5" t="s">
        <v>380</v>
      </c>
      <c r="S115" s="6">
        <v>2008</v>
      </c>
      <c r="T115" s="6">
        <v>2009</v>
      </c>
      <c r="U115" s="6">
        <v>2010</v>
      </c>
      <c r="V115" s="6">
        <v>2011</v>
      </c>
      <c r="W115" s="6">
        <v>2012</v>
      </c>
      <c r="X115" s="6">
        <v>2013</v>
      </c>
      <c r="Y115" s="6">
        <v>2014</v>
      </c>
      <c r="Z115" s="6">
        <v>2015</v>
      </c>
      <c r="AA115" s="6">
        <v>2016</v>
      </c>
      <c r="AB115" s="6">
        <v>2017</v>
      </c>
      <c r="AC115" s="6">
        <v>2018</v>
      </c>
      <c r="AD115" s="7">
        <v>2019</v>
      </c>
      <c r="AE115" s="6">
        <v>2020</v>
      </c>
      <c r="AF115" s="7">
        <v>2021</v>
      </c>
      <c r="AK115" s="9"/>
    </row>
    <row r="116" spans="3:37" x14ac:dyDescent="0.25">
      <c r="C116">
        <v>2016</v>
      </c>
      <c r="D116">
        <f>'OI 2016'!E87</f>
        <v>399</v>
      </c>
      <c r="Q116" s="8"/>
      <c r="R116" s="8" t="s">
        <v>1536</v>
      </c>
      <c r="S116" s="50">
        <f t="shared" ref="S116:AF116" si="3">S110/S$109</f>
        <v>0.1111111111111111</v>
      </c>
      <c r="T116" s="50">
        <f t="shared" si="3"/>
        <v>0</v>
      </c>
      <c r="U116" s="50">
        <f t="shared" si="3"/>
        <v>0.13846153846153847</v>
      </c>
      <c r="V116" s="50">
        <f t="shared" si="3"/>
        <v>0</v>
      </c>
      <c r="W116" s="50">
        <f t="shared" si="3"/>
        <v>3.0303030303030304E-2</v>
      </c>
      <c r="X116" s="50">
        <f t="shared" si="3"/>
        <v>0.125</v>
      </c>
      <c r="Y116" s="50">
        <f t="shared" si="3"/>
        <v>0.10869565217391304</v>
      </c>
      <c r="Z116" s="50">
        <f t="shared" si="3"/>
        <v>4.2253521126760563E-2</v>
      </c>
      <c r="AA116" s="50">
        <f t="shared" si="3"/>
        <v>0.1388888888888889</v>
      </c>
      <c r="AB116" s="50">
        <f t="shared" si="3"/>
        <v>0.1111111111111111</v>
      </c>
      <c r="AC116" s="50">
        <f t="shared" si="3"/>
        <v>6.5934065934065936E-2</v>
      </c>
      <c r="AD116" s="50">
        <f t="shared" si="3"/>
        <v>0.10869565217391304</v>
      </c>
      <c r="AE116" s="50">
        <f t="shared" si="3"/>
        <v>0.22500000000000001</v>
      </c>
      <c r="AF116" s="51">
        <f t="shared" si="3"/>
        <v>0.21951219512195122</v>
      </c>
      <c r="AK116" s="9"/>
    </row>
    <row r="117" spans="3:37" x14ac:dyDescent="0.25">
      <c r="C117">
        <v>2015</v>
      </c>
      <c r="D117">
        <f>'OI 2015'!E87</f>
        <v>520</v>
      </c>
      <c r="Q117" s="8"/>
      <c r="R117" s="8" t="s">
        <v>1537</v>
      </c>
      <c r="S117" s="50">
        <f t="shared" ref="S117:AF117" si="4">S111/S$109</f>
        <v>0</v>
      </c>
      <c r="T117" s="50">
        <f t="shared" si="4"/>
        <v>0</v>
      </c>
      <c r="U117" s="50">
        <f t="shared" si="4"/>
        <v>0</v>
      </c>
      <c r="V117" s="50">
        <f t="shared" si="4"/>
        <v>0</v>
      </c>
      <c r="W117" s="50">
        <f t="shared" si="4"/>
        <v>0</v>
      </c>
      <c r="X117" s="50">
        <f t="shared" si="4"/>
        <v>0</v>
      </c>
      <c r="Y117" s="50">
        <f t="shared" si="4"/>
        <v>0</v>
      </c>
      <c r="Z117" s="50">
        <f t="shared" si="4"/>
        <v>0</v>
      </c>
      <c r="AA117" s="50">
        <f t="shared" si="4"/>
        <v>0</v>
      </c>
      <c r="AB117" s="50">
        <f t="shared" si="4"/>
        <v>4.4444444444444446E-2</v>
      </c>
      <c r="AC117" s="50">
        <f t="shared" si="4"/>
        <v>1.098901098901099E-2</v>
      </c>
      <c r="AD117" s="50">
        <f t="shared" si="4"/>
        <v>2.1739130434782608E-2</v>
      </c>
      <c r="AE117" s="50">
        <f t="shared" si="4"/>
        <v>2.5000000000000001E-2</v>
      </c>
      <c r="AF117" s="51">
        <f t="shared" si="4"/>
        <v>1.2195121951219513E-2</v>
      </c>
      <c r="AK117" s="9"/>
    </row>
    <row r="118" spans="3:37" x14ac:dyDescent="0.25">
      <c r="C118">
        <v>2014</v>
      </c>
      <c r="D118">
        <f>'OI 2014'!E93</f>
        <v>102</v>
      </c>
      <c r="Q118" s="8"/>
      <c r="R118" s="10" t="s">
        <v>1539</v>
      </c>
      <c r="S118" s="52">
        <f t="shared" ref="S118:AF118" si="5">S112/S$109</f>
        <v>0</v>
      </c>
      <c r="T118" s="52">
        <f t="shared" si="5"/>
        <v>0</v>
      </c>
      <c r="U118" s="52">
        <f t="shared" si="5"/>
        <v>0</v>
      </c>
      <c r="V118" s="52">
        <f t="shared" si="5"/>
        <v>0</v>
      </c>
      <c r="W118" s="52">
        <f t="shared" si="5"/>
        <v>0</v>
      </c>
      <c r="X118" s="52">
        <f t="shared" si="5"/>
        <v>0</v>
      </c>
      <c r="Y118" s="52">
        <f t="shared" si="5"/>
        <v>0</v>
      </c>
      <c r="Z118" s="52">
        <f t="shared" si="5"/>
        <v>0</v>
      </c>
      <c r="AA118" s="52">
        <f t="shared" si="5"/>
        <v>0.1111111111111111</v>
      </c>
      <c r="AB118" s="52">
        <f t="shared" si="5"/>
        <v>0.24444444444444444</v>
      </c>
      <c r="AC118" s="52">
        <f t="shared" si="5"/>
        <v>0.38461538461538464</v>
      </c>
      <c r="AD118" s="52">
        <f t="shared" si="5"/>
        <v>0.19565217391304349</v>
      </c>
      <c r="AE118" s="52">
        <f t="shared" si="5"/>
        <v>0.41666666666666669</v>
      </c>
      <c r="AF118" s="53">
        <f t="shared" si="5"/>
        <v>0.26829268292682928</v>
      </c>
      <c r="AK118" s="9"/>
    </row>
    <row r="119" spans="3:37" x14ac:dyDescent="0.25">
      <c r="C119">
        <v>2013</v>
      </c>
      <c r="D119">
        <f>'OI 2013'!E87</f>
        <v>198</v>
      </c>
      <c r="Q119" s="8"/>
      <c r="AK119" s="9"/>
    </row>
    <row r="120" spans="3:37" x14ac:dyDescent="0.25">
      <c r="C120">
        <v>2012</v>
      </c>
      <c r="D120">
        <f>'OI 2012'!E87</f>
        <v>296.39999999999998</v>
      </c>
      <c r="Q120" s="8"/>
      <c r="AK120" s="9"/>
    </row>
    <row r="121" spans="3:37" x14ac:dyDescent="0.25">
      <c r="C121">
        <v>2011</v>
      </c>
      <c r="D121">
        <f>'OI 2011'!E95</f>
        <v>394</v>
      </c>
      <c r="Q121" s="8"/>
      <c r="AK121" s="9"/>
    </row>
    <row r="122" spans="3:37" x14ac:dyDescent="0.25">
      <c r="C122">
        <v>2010</v>
      </c>
      <c r="D122">
        <f>'OI 2010'!E95</f>
        <v>824</v>
      </c>
      <c r="Q122" s="8"/>
      <c r="AK122" s="9"/>
    </row>
    <row r="123" spans="3:37" x14ac:dyDescent="0.25">
      <c r="C123">
        <v>2009</v>
      </c>
      <c r="D123">
        <f>'OI 2009'!E95</f>
        <v>248</v>
      </c>
      <c r="Q123" s="8"/>
      <c r="AK123" s="9"/>
    </row>
    <row r="124" spans="3:37" x14ac:dyDescent="0.25">
      <c r="C124">
        <v>2008</v>
      </c>
      <c r="D124">
        <f>'OI 2008'!E95</f>
        <v>497.2</v>
      </c>
      <c r="Q124" s="8"/>
      <c r="AK124" s="9"/>
    </row>
    <row r="125" spans="3:37" x14ac:dyDescent="0.25">
      <c r="Q125" s="8"/>
      <c r="AK125" s="9"/>
    </row>
    <row r="126" spans="3:37" x14ac:dyDescent="0.25">
      <c r="Q126" s="8"/>
      <c r="AK126" s="9"/>
    </row>
    <row r="127" spans="3:37" x14ac:dyDescent="0.25">
      <c r="Q127" s="8"/>
      <c r="AK127" s="9"/>
    </row>
    <row r="128" spans="3:37" x14ac:dyDescent="0.25">
      <c r="Q128" s="8"/>
      <c r="AK128" s="9"/>
    </row>
    <row r="129" spans="17:37" x14ac:dyDescent="0.25">
      <c r="Q129" s="8"/>
      <c r="AK129" s="9"/>
    </row>
    <row r="130" spans="17:37" x14ac:dyDescent="0.25">
      <c r="Q130" s="8"/>
      <c r="AK130" s="9"/>
    </row>
    <row r="131" spans="17:37" x14ac:dyDescent="0.25">
      <c r="Q131" s="8"/>
      <c r="AK131" s="9"/>
    </row>
    <row r="132" spans="17:37" x14ac:dyDescent="0.25">
      <c r="Q132" s="8"/>
      <c r="AK132" s="9"/>
    </row>
    <row r="133" spans="17:37" x14ac:dyDescent="0.25">
      <c r="Q133" s="8"/>
      <c r="AK133" s="9"/>
    </row>
    <row r="134" spans="17:37" x14ac:dyDescent="0.25">
      <c r="Q134" s="8"/>
      <c r="AK134" s="9"/>
    </row>
    <row r="135" spans="17:37" x14ac:dyDescent="0.25">
      <c r="Q135" s="8"/>
      <c r="AK135" s="9"/>
    </row>
    <row r="136" spans="17:37" x14ac:dyDescent="0.25">
      <c r="Q136" s="8"/>
      <c r="AK136" s="9"/>
    </row>
    <row r="137" spans="17:37" x14ac:dyDescent="0.25">
      <c r="Q137" s="8"/>
      <c r="AK137" s="9"/>
    </row>
    <row r="138" spans="17:37" x14ac:dyDescent="0.25">
      <c r="Q138" s="8"/>
      <c r="AK138" s="9"/>
    </row>
    <row r="139" spans="17:37" x14ac:dyDescent="0.25">
      <c r="Q139" s="8"/>
      <c r="AK139" s="9"/>
    </row>
    <row r="140" spans="17:37" x14ac:dyDescent="0.25">
      <c r="Q140" s="8"/>
      <c r="AK140" s="9"/>
    </row>
    <row r="141" spans="17:37" x14ac:dyDescent="0.25">
      <c r="Q141" s="8"/>
      <c r="AK141" s="9"/>
    </row>
    <row r="142" spans="17:37" x14ac:dyDescent="0.25">
      <c r="Q142" s="8"/>
      <c r="AK142" s="9"/>
    </row>
    <row r="143" spans="17:37" x14ac:dyDescent="0.25">
      <c r="Q143" s="8"/>
      <c r="AK143" s="9"/>
    </row>
    <row r="144" spans="17:37" x14ac:dyDescent="0.25">
      <c r="Q144" s="10"/>
      <c r="R144" s="11"/>
      <c r="S144" s="11"/>
      <c r="T144" s="11"/>
      <c r="U144" s="11"/>
      <c r="V144" s="11"/>
      <c r="W144" s="11"/>
      <c r="X144" s="11"/>
      <c r="Y144" s="11"/>
      <c r="Z144" s="11"/>
      <c r="AA144" s="11"/>
      <c r="AB144" s="11"/>
      <c r="AC144" s="11"/>
      <c r="AD144" s="11"/>
      <c r="AE144" s="11"/>
      <c r="AF144" s="11"/>
      <c r="AG144" s="11"/>
      <c r="AH144" s="11"/>
      <c r="AI144" s="11"/>
      <c r="AJ144" s="11"/>
      <c r="AK144" s="12"/>
    </row>
  </sheetData>
  <sortState xmlns:xlrd2="http://schemas.microsoft.com/office/spreadsheetml/2017/richdata2" ref="E4:E30">
    <sortCondition ref="E4:E30"/>
  </sortState>
  <pageMargins left="0.7" right="0.7" top="0.75" bottom="0.75" header="0.3" footer="0.3"/>
  <pageSetup paperSize="9" orientation="portrait" r:id="rId1"/>
  <headerFooter>
    <oddFooter>&amp;L&amp;1#&amp;"Arial"&amp;8&amp;KD5DAD9</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DBA1E-DDFA-4B9A-8BF8-AA087A412938}">
  <dimension ref="C6:S12"/>
  <sheetViews>
    <sheetView workbookViewId="0">
      <selection activeCell="P48" sqref="P48"/>
    </sheetView>
  </sheetViews>
  <sheetFormatPr defaultRowHeight="15" x14ac:dyDescent="0.25"/>
  <sheetData>
    <row r="6" spans="3:19" x14ac:dyDescent="0.25">
      <c r="D6" s="3">
        <v>2026</v>
      </c>
      <c r="E6" s="3">
        <v>2025</v>
      </c>
      <c r="F6" s="3">
        <v>2024</v>
      </c>
      <c r="G6" s="3">
        <v>2023</v>
      </c>
      <c r="H6" s="3">
        <v>2022</v>
      </c>
      <c r="I6" s="3">
        <v>2021</v>
      </c>
      <c r="J6" s="3">
        <v>2020</v>
      </c>
      <c r="K6" s="3">
        <v>2019</v>
      </c>
      <c r="L6" s="3">
        <v>2018</v>
      </c>
      <c r="M6" s="3">
        <v>2017</v>
      </c>
      <c r="N6" s="3">
        <v>2016</v>
      </c>
      <c r="O6" s="3">
        <v>2015</v>
      </c>
      <c r="P6" s="3">
        <v>2014</v>
      </c>
      <c r="Q6" s="3">
        <v>2013</v>
      </c>
      <c r="R6" s="3">
        <v>2012</v>
      </c>
      <c r="S6" s="3">
        <v>2011</v>
      </c>
    </row>
    <row r="7" spans="3:19" x14ac:dyDescent="0.25">
      <c r="C7" s="3" t="s">
        <v>1642</v>
      </c>
      <c r="F7" s="34">
        <f>'OI 2024'!H233</f>
        <v>2.7769721577726218E-2</v>
      </c>
      <c r="G7" s="34">
        <f>'OI 2023'!H213</f>
        <v>3.5627742484773073E-2</v>
      </c>
      <c r="J7" s="34">
        <f>'OI 2020'!H218</f>
        <v>2.0171295925718404E-2</v>
      </c>
    </row>
    <row r="8" spans="3:19" x14ac:dyDescent="0.25">
      <c r="C8" s="3" t="s">
        <v>1638</v>
      </c>
      <c r="E8" s="34">
        <f>'OI 2025'!H236</f>
        <v>7.6372315035799526E-2</v>
      </c>
      <c r="F8" s="34">
        <f>'OI 2024'!H237</f>
        <v>5.7497099767981438E-2</v>
      </c>
      <c r="G8" s="34">
        <f>'OI 2023'!H217</f>
        <v>3.3204532058419022E-2</v>
      </c>
      <c r="H8" s="34">
        <f>'OI 2022'!H216</f>
        <v>0.10445845004668534</v>
      </c>
      <c r="I8" s="34">
        <f>'OI 2021'!H216</f>
        <v>6.1167390255668114E-2</v>
      </c>
      <c r="J8" s="34">
        <f>'OI 2020'!H222</f>
        <v>0.20179300408228609</v>
      </c>
    </row>
    <row r="9" spans="3:19" x14ac:dyDescent="0.25">
      <c r="C9" s="3" t="s">
        <v>1641</v>
      </c>
      <c r="E9" s="34">
        <f>'OI 2025'!H238</f>
        <v>4.6269920702132573E-2</v>
      </c>
      <c r="F9" s="34">
        <f>'OI 2024'!H239</f>
        <v>9.4765081206496515E-2</v>
      </c>
      <c r="G9" s="34">
        <f>'OI 2023'!H219</f>
        <v>1.6635012116052131E-2</v>
      </c>
      <c r="H9" s="34">
        <f>'OI 2022'!H218</f>
        <v>0.13153594771241831</v>
      </c>
      <c r="I9" s="34">
        <f>'OI 2021'!H217</f>
        <v>7.641099855282199E-2</v>
      </c>
      <c r="J9" s="34">
        <f>'OI 2020'!H223</f>
        <v>5.7712318898583206E-2</v>
      </c>
    </row>
    <row r="10" spans="3:19" x14ac:dyDescent="0.25">
      <c r="C10" s="3" t="s">
        <v>1639</v>
      </c>
      <c r="E10" s="34">
        <f>'OI 2025'!H252</f>
        <v>0.49973054122719224</v>
      </c>
      <c r="F10" s="34">
        <f>'OI 2024'!H255</f>
        <v>0.50442285382830632</v>
      </c>
      <c r="G10" s="34">
        <f>'OI 2023'!H233</f>
        <v>0.37016176566900255</v>
      </c>
      <c r="H10" s="34">
        <f>'OI 2022'!H233</f>
        <v>0.29190009337068162</v>
      </c>
      <c r="I10" s="34">
        <f>'OI 2021'!H235</f>
        <v>0.45036179450072361</v>
      </c>
      <c r="J10" s="34">
        <f>'OI 2020'!H238</f>
        <v>0.36156247498599214</v>
      </c>
    </row>
    <row r="11" spans="3:19" x14ac:dyDescent="0.25">
      <c r="C11" s="3" t="s">
        <v>1419</v>
      </c>
      <c r="E11" s="34">
        <f>'OI 2025'!H256</f>
        <v>0.27946724151204866</v>
      </c>
      <c r="F11" s="34">
        <f>'OI 2024'!H261</f>
        <v>0.33642691415313225</v>
      </c>
      <c r="G11" s="34">
        <f>'OI 2023'!H235</f>
        <v>0.46250573056519745</v>
      </c>
      <c r="H11" s="34">
        <f>'OI 2022'!H234</f>
        <v>0.21930438842203548</v>
      </c>
      <c r="I11" s="34">
        <f>'OI 2021'!H238</f>
        <v>0.28760250844187168</v>
      </c>
      <c r="J11" s="34">
        <f>'OI 2020'!H241</f>
        <v>0.19618986632514207</v>
      </c>
    </row>
    <row r="12" spans="3:19" x14ac:dyDescent="0.25">
      <c r="C12" s="3" t="s">
        <v>1640</v>
      </c>
      <c r="E12" s="34">
        <f>'OI 2025'!H259</f>
        <v>9.8159981522827011E-2</v>
      </c>
      <c r="F12" s="34">
        <f>'OI 2024'!H263</f>
        <v>6.8880510440835268E-3</v>
      </c>
      <c r="G12" s="34">
        <f>'OI 2023'!H237</f>
        <v>0.11749295959132884</v>
      </c>
      <c r="H12" s="34">
        <f>'OI 2022'!H236</f>
        <v>0.25280112044817926</v>
      </c>
      <c r="I12" s="34">
        <f>'OI 2021'!H240</f>
        <v>0.12445730824891461</v>
      </c>
      <c r="J12" s="34">
        <f>'OI 2020'!H244</f>
        <v>0.16257103978227808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F1005-57C7-41E9-B5A9-F9EA66EB7337}">
  <dimension ref="A1:Z39"/>
  <sheetViews>
    <sheetView workbookViewId="0">
      <selection activeCell="G26" sqref="G26"/>
    </sheetView>
  </sheetViews>
  <sheetFormatPr defaultRowHeight="15" x14ac:dyDescent="0.25"/>
  <cols>
    <col min="2" max="2" width="13.28515625" bestFit="1" customWidth="1"/>
    <col min="20" max="20" width="12.85546875" bestFit="1" customWidth="1"/>
  </cols>
  <sheetData>
    <row r="1" spans="1:22" x14ac:dyDescent="0.25">
      <c r="C1" t="s">
        <v>1652</v>
      </c>
      <c r="G1" t="s">
        <v>1653</v>
      </c>
    </row>
    <row r="2" spans="1:22" x14ac:dyDescent="0.25">
      <c r="B2" t="s">
        <v>90</v>
      </c>
      <c r="C2" s="3">
        <v>2023</v>
      </c>
      <c r="D2" s="3">
        <v>2024</v>
      </c>
      <c r="E2" s="3">
        <v>2025</v>
      </c>
      <c r="F2" s="3"/>
      <c r="G2" s="3">
        <v>2023</v>
      </c>
      <c r="H2" s="3">
        <v>2024</v>
      </c>
      <c r="I2" s="3">
        <v>2025</v>
      </c>
    </row>
    <row r="3" spans="1:22" x14ac:dyDescent="0.25">
      <c r="A3" t="str">
        <f>LEFT(B3,4)</f>
        <v>V100</v>
      </c>
      <c r="B3" s="46" t="s">
        <v>113</v>
      </c>
      <c r="C3">
        <f t="shared" ref="C3:C14" si="0">SUMIF(N$7:N$39,B3,P$7:P$39)</f>
        <v>2</v>
      </c>
      <c r="D3">
        <f>SUMIF(T$7:T$39,B3,S$7:S$39)</f>
        <v>0</v>
      </c>
      <c r="G3">
        <f>C3*3</f>
        <v>6</v>
      </c>
      <c r="H3">
        <f>D3*3</f>
        <v>0</v>
      </c>
    </row>
    <row r="4" spans="1:22" x14ac:dyDescent="0.25">
      <c r="A4" t="str">
        <f t="shared" ref="A4:A14" si="1">LEFT(B4,4)</f>
        <v>V110</v>
      </c>
      <c r="B4" s="46" t="s">
        <v>119</v>
      </c>
      <c r="C4">
        <f t="shared" si="0"/>
        <v>33</v>
      </c>
      <c r="D4">
        <f t="shared" ref="D4:D14" si="2">SUMIF(T$7:T$39,B4,S$7:S$39)</f>
        <v>0</v>
      </c>
      <c r="G4">
        <f t="shared" ref="G4:H14" si="3">C4*3</f>
        <v>99</v>
      </c>
      <c r="H4">
        <f t="shared" si="3"/>
        <v>0</v>
      </c>
    </row>
    <row r="5" spans="1:22" x14ac:dyDescent="0.25">
      <c r="A5" t="str">
        <f t="shared" si="1"/>
        <v>V117</v>
      </c>
      <c r="B5" s="46" t="s">
        <v>1156</v>
      </c>
      <c r="C5">
        <f t="shared" si="0"/>
        <v>22</v>
      </c>
      <c r="D5">
        <f t="shared" si="2"/>
        <v>12</v>
      </c>
      <c r="G5">
        <f t="shared" si="3"/>
        <v>66</v>
      </c>
      <c r="H5">
        <f t="shared" si="3"/>
        <v>36</v>
      </c>
    </row>
    <row r="6" spans="1:22" x14ac:dyDescent="0.25">
      <c r="A6" t="str">
        <f t="shared" si="1"/>
        <v>V126</v>
      </c>
      <c r="B6" s="46" t="s">
        <v>109</v>
      </c>
      <c r="C6">
        <f t="shared" si="0"/>
        <v>11</v>
      </c>
      <c r="D6">
        <f t="shared" si="2"/>
        <v>0</v>
      </c>
      <c r="G6">
        <f t="shared" si="3"/>
        <v>33</v>
      </c>
      <c r="H6">
        <f t="shared" si="3"/>
        <v>0</v>
      </c>
      <c r="P6" s="3">
        <v>2023</v>
      </c>
      <c r="S6" s="3">
        <v>2024</v>
      </c>
    </row>
    <row r="7" spans="1:22" x14ac:dyDescent="0.25">
      <c r="A7" t="str">
        <f t="shared" si="1"/>
        <v>V136</v>
      </c>
      <c r="B7" s="46" t="s">
        <v>121</v>
      </c>
      <c r="C7">
        <f t="shared" si="0"/>
        <v>49</v>
      </c>
      <c r="D7">
        <f t="shared" si="2"/>
        <v>0</v>
      </c>
      <c r="G7">
        <f t="shared" si="3"/>
        <v>147</v>
      </c>
      <c r="H7">
        <f t="shared" si="3"/>
        <v>0</v>
      </c>
      <c r="N7" t="s">
        <v>1156</v>
      </c>
      <c r="P7" s="1">
        <v>10</v>
      </c>
      <c r="S7" s="46">
        <v>43</v>
      </c>
      <c r="T7" s="44" t="s">
        <v>1400</v>
      </c>
      <c r="V7" s="3"/>
    </row>
    <row r="8" spans="1:22" x14ac:dyDescent="0.25">
      <c r="A8" t="str">
        <f t="shared" si="1"/>
        <v>V136</v>
      </c>
      <c r="B8" s="46" t="s">
        <v>1559</v>
      </c>
      <c r="C8">
        <f t="shared" si="0"/>
        <v>67</v>
      </c>
      <c r="D8">
        <f t="shared" si="2"/>
        <v>0</v>
      </c>
      <c r="G8">
        <f t="shared" si="3"/>
        <v>201</v>
      </c>
      <c r="H8">
        <f t="shared" si="3"/>
        <v>0</v>
      </c>
      <c r="N8" t="s">
        <v>619</v>
      </c>
      <c r="P8" s="1">
        <v>20</v>
      </c>
      <c r="S8" s="46">
        <v>31</v>
      </c>
      <c r="T8" s="46" t="s">
        <v>1481</v>
      </c>
    </row>
    <row r="9" spans="1:22" x14ac:dyDescent="0.25">
      <c r="A9" t="str">
        <f t="shared" si="1"/>
        <v>V150</v>
      </c>
      <c r="B9" s="46" t="s">
        <v>619</v>
      </c>
      <c r="C9">
        <f t="shared" si="0"/>
        <v>135</v>
      </c>
      <c r="D9">
        <f t="shared" si="2"/>
        <v>0</v>
      </c>
      <c r="G9">
        <f t="shared" si="3"/>
        <v>405</v>
      </c>
      <c r="H9">
        <f t="shared" si="3"/>
        <v>0</v>
      </c>
      <c r="N9" t="s">
        <v>619</v>
      </c>
      <c r="P9" s="1">
        <v>81</v>
      </c>
      <c r="S9" s="1">
        <v>94</v>
      </c>
      <c r="T9" s="46" t="s">
        <v>1400</v>
      </c>
    </row>
    <row r="10" spans="1:22" x14ac:dyDescent="0.25">
      <c r="A10" t="str">
        <f t="shared" si="1"/>
        <v>V150</v>
      </c>
      <c r="B10" s="46" t="s">
        <v>1400</v>
      </c>
      <c r="C10">
        <f t="shared" si="0"/>
        <v>234</v>
      </c>
      <c r="D10">
        <f t="shared" si="2"/>
        <v>276</v>
      </c>
      <c r="G10">
        <f t="shared" si="3"/>
        <v>702</v>
      </c>
      <c r="H10">
        <f t="shared" si="3"/>
        <v>828</v>
      </c>
      <c r="N10" t="s">
        <v>1481</v>
      </c>
      <c r="O10" s="11"/>
      <c r="P10" s="1">
        <v>50</v>
      </c>
      <c r="S10" s="1">
        <v>3</v>
      </c>
      <c r="T10" s="46" t="s">
        <v>1545</v>
      </c>
    </row>
    <row r="11" spans="1:22" x14ac:dyDescent="0.25">
      <c r="A11" t="str">
        <f t="shared" si="1"/>
        <v>V162</v>
      </c>
      <c r="B11" s="46" t="s">
        <v>1404</v>
      </c>
      <c r="C11">
        <f t="shared" si="0"/>
        <v>7</v>
      </c>
      <c r="D11">
        <f t="shared" si="2"/>
        <v>0</v>
      </c>
      <c r="G11">
        <f t="shared" si="3"/>
        <v>21</v>
      </c>
      <c r="H11">
        <f t="shared" si="3"/>
        <v>0</v>
      </c>
      <c r="N11" s="46" t="s">
        <v>1400</v>
      </c>
      <c r="P11" s="44">
        <v>22</v>
      </c>
      <c r="S11" s="1">
        <v>19</v>
      </c>
      <c r="T11" s="46" t="s">
        <v>1400</v>
      </c>
    </row>
    <row r="12" spans="1:22" x14ac:dyDescent="0.25">
      <c r="A12" t="str">
        <f t="shared" si="1"/>
        <v>V162</v>
      </c>
      <c r="B12" s="46" t="s">
        <v>1486</v>
      </c>
      <c r="C12">
        <f t="shared" si="0"/>
        <v>53</v>
      </c>
      <c r="D12">
        <f t="shared" si="2"/>
        <v>12</v>
      </c>
      <c r="G12">
        <f t="shared" si="3"/>
        <v>159</v>
      </c>
      <c r="H12">
        <f t="shared" si="3"/>
        <v>36</v>
      </c>
      <c r="N12" s="44" t="s">
        <v>1404</v>
      </c>
      <c r="P12" s="44">
        <v>7</v>
      </c>
      <c r="S12" s="1">
        <v>120</v>
      </c>
      <c r="T12" s="46" t="s">
        <v>1400</v>
      </c>
    </row>
    <row r="13" spans="1:22" x14ac:dyDescent="0.25">
      <c r="A13" t="str">
        <f t="shared" si="1"/>
        <v>V164</v>
      </c>
      <c r="B13" s="46" t="s">
        <v>1545</v>
      </c>
      <c r="C13">
        <f t="shared" si="0"/>
        <v>0</v>
      </c>
      <c r="D13">
        <f t="shared" si="2"/>
        <v>3</v>
      </c>
      <c r="G13">
        <f t="shared" si="3"/>
        <v>0</v>
      </c>
      <c r="H13">
        <f t="shared" si="3"/>
        <v>9</v>
      </c>
      <c r="N13" s="44" t="s">
        <v>1400</v>
      </c>
      <c r="P13" s="44">
        <v>25</v>
      </c>
      <c r="S13" s="1">
        <v>12</v>
      </c>
      <c r="T13" s="46" t="s">
        <v>1156</v>
      </c>
    </row>
    <row r="14" spans="1:22" x14ac:dyDescent="0.25">
      <c r="A14" t="str">
        <f t="shared" si="1"/>
        <v>V174</v>
      </c>
      <c r="B14" s="46" t="s">
        <v>1481</v>
      </c>
      <c r="C14">
        <f t="shared" si="0"/>
        <v>81</v>
      </c>
      <c r="D14">
        <f t="shared" si="2"/>
        <v>31</v>
      </c>
      <c r="G14">
        <f t="shared" si="3"/>
        <v>243</v>
      </c>
      <c r="H14">
        <f t="shared" si="3"/>
        <v>93</v>
      </c>
      <c r="N14" s="44" t="s">
        <v>1400</v>
      </c>
      <c r="P14" s="44">
        <v>55</v>
      </c>
      <c r="S14" s="1">
        <v>12</v>
      </c>
      <c r="T14" s="46" t="s">
        <v>1486</v>
      </c>
    </row>
    <row r="15" spans="1:22" x14ac:dyDescent="0.25">
      <c r="N15" s="46" t="s">
        <v>121</v>
      </c>
      <c r="P15" s="46">
        <v>5</v>
      </c>
    </row>
    <row r="16" spans="1:22" x14ac:dyDescent="0.25">
      <c r="N16" s="46" t="s">
        <v>1400</v>
      </c>
      <c r="P16" s="46">
        <v>7</v>
      </c>
    </row>
    <row r="17" spans="2:26" x14ac:dyDescent="0.25">
      <c r="N17" s="46" t="s">
        <v>1400</v>
      </c>
      <c r="P17" s="46">
        <v>19</v>
      </c>
    </row>
    <row r="18" spans="2:26" x14ac:dyDescent="0.25">
      <c r="N18" s="46" t="s">
        <v>619</v>
      </c>
      <c r="P18" s="46">
        <v>7</v>
      </c>
    </row>
    <row r="19" spans="2:26" x14ac:dyDescent="0.25">
      <c r="C19" t="s">
        <v>1652</v>
      </c>
      <c r="G19" t="s">
        <v>1653</v>
      </c>
      <c r="N19" s="46" t="s">
        <v>1156</v>
      </c>
      <c r="P19" s="46">
        <v>12</v>
      </c>
    </row>
    <row r="20" spans="2:26" x14ac:dyDescent="0.25">
      <c r="C20" s="3">
        <v>2023</v>
      </c>
      <c r="D20" s="3">
        <v>2024</v>
      </c>
      <c r="E20" s="3">
        <v>2025</v>
      </c>
      <c r="F20" s="3"/>
      <c r="G20" s="3">
        <v>2023</v>
      </c>
      <c r="H20" s="3">
        <v>2024</v>
      </c>
      <c r="I20" s="3">
        <v>2025</v>
      </c>
      <c r="N20" s="46" t="s">
        <v>619</v>
      </c>
      <c r="P20" s="46">
        <v>18</v>
      </c>
    </row>
    <row r="21" spans="2:26" x14ac:dyDescent="0.25">
      <c r="B21" t="s">
        <v>949</v>
      </c>
      <c r="C21">
        <f>SUMIF(A$3:A$14,B21,C$3:C$14)</f>
        <v>2</v>
      </c>
      <c r="D21">
        <f>SUMIF(A$3:A$14,B21,D$3:D$14)</f>
        <v>0</v>
      </c>
      <c r="G21">
        <f>C21*3</f>
        <v>6</v>
      </c>
      <c r="H21">
        <f>D21*3</f>
        <v>0</v>
      </c>
      <c r="N21" s="46" t="s">
        <v>1486</v>
      </c>
      <c r="P21" s="46">
        <v>15</v>
      </c>
    </row>
    <row r="22" spans="2:26" x14ac:dyDescent="0.25">
      <c r="B22" t="s">
        <v>951</v>
      </c>
      <c r="C22">
        <f t="shared" ref="C22:C29" si="4">SUMIF(A$3:A$14,B22,C$3:C$14)</f>
        <v>33</v>
      </c>
      <c r="D22">
        <f t="shared" ref="D22:D29" si="5">SUMIF(A$3:A$14,B22,D$3:D$14)</f>
        <v>0</v>
      </c>
      <c r="G22">
        <f t="shared" ref="G22:H29" si="6">C22*3</f>
        <v>99</v>
      </c>
      <c r="H22">
        <f t="shared" si="6"/>
        <v>0</v>
      </c>
      <c r="N22" s="46" t="s">
        <v>1559</v>
      </c>
      <c r="P22" s="46">
        <v>8</v>
      </c>
    </row>
    <row r="23" spans="2:26" x14ac:dyDescent="0.25">
      <c r="B23" t="s">
        <v>954</v>
      </c>
      <c r="C23">
        <f t="shared" si="4"/>
        <v>22</v>
      </c>
      <c r="D23">
        <f t="shared" si="5"/>
        <v>12</v>
      </c>
      <c r="G23">
        <f t="shared" si="6"/>
        <v>66</v>
      </c>
      <c r="H23">
        <f t="shared" si="6"/>
        <v>36</v>
      </c>
      <c r="N23" s="46" t="s">
        <v>121</v>
      </c>
      <c r="P23" s="46">
        <v>3</v>
      </c>
      <c r="X23" s="11"/>
      <c r="Y23" s="11"/>
      <c r="Z23" s="11"/>
    </row>
    <row r="24" spans="2:26" x14ac:dyDescent="0.25">
      <c r="B24" t="s">
        <v>956</v>
      </c>
      <c r="C24">
        <f t="shared" si="4"/>
        <v>11</v>
      </c>
      <c r="D24">
        <f t="shared" si="5"/>
        <v>0</v>
      </c>
      <c r="G24">
        <f t="shared" si="6"/>
        <v>33</v>
      </c>
      <c r="H24">
        <f t="shared" si="6"/>
        <v>0</v>
      </c>
      <c r="N24" s="46" t="s">
        <v>1481</v>
      </c>
      <c r="P24" s="46">
        <v>31</v>
      </c>
    </row>
    <row r="25" spans="2:26" x14ac:dyDescent="0.25">
      <c r="B25" t="s">
        <v>957</v>
      </c>
      <c r="C25">
        <f t="shared" si="4"/>
        <v>116</v>
      </c>
      <c r="D25">
        <f t="shared" si="5"/>
        <v>0</v>
      </c>
      <c r="G25">
        <f t="shared" si="6"/>
        <v>348</v>
      </c>
      <c r="H25">
        <f t="shared" si="6"/>
        <v>0</v>
      </c>
      <c r="N25" s="46" t="s">
        <v>121</v>
      </c>
      <c r="P25" s="1">
        <v>24</v>
      </c>
    </row>
    <row r="26" spans="2:26" x14ac:dyDescent="0.25">
      <c r="B26" t="s">
        <v>958</v>
      </c>
      <c r="C26">
        <f t="shared" si="4"/>
        <v>369</v>
      </c>
      <c r="D26">
        <f t="shared" si="5"/>
        <v>276</v>
      </c>
      <c r="G26">
        <f t="shared" si="6"/>
        <v>1107</v>
      </c>
      <c r="H26">
        <f t="shared" si="6"/>
        <v>828</v>
      </c>
      <c r="N26" s="46" t="s">
        <v>119</v>
      </c>
      <c r="P26" s="1">
        <v>33</v>
      </c>
    </row>
    <row r="27" spans="2:26" x14ac:dyDescent="0.25">
      <c r="B27" t="s">
        <v>1627</v>
      </c>
      <c r="C27">
        <f t="shared" si="4"/>
        <v>60</v>
      </c>
      <c r="D27">
        <f t="shared" si="5"/>
        <v>12</v>
      </c>
      <c r="G27">
        <f t="shared" si="6"/>
        <v>180</v>
      </c>
      <c r="H27">
        <f t="shared" si="6"/>
        <v>36</v>
      </c>
      <c r="N27" s="46" t="s">
        <v>1400</v>
      </c>
      <c r="P27" s="1">
        <v>19</v>
      </c>
    </row>
    <row r="28" spans="2:26" x14ac:dyDescent="0.25">
      <c r="B28" t="s">
        <v>1628</v>
      </c>
      <c r="C28">
        <f t="shared" si="4"/>
        <v>0</v>
      </c>
      <c r="D28">
        <f t="shared" si="5"/>
        <v>3</v>
      </c>
      <c r="G28">
        <f t="shared" si="6"/>
        <v>0</v>
      </c>
      <c r="H28">
        <f t="shared" si="6"/>
        <v>9</v>
      </c>
      <c r="N28" s="46" t="s">
        <v>619</v>
      </c>
      <c r="P28" s="1">
        <v>9</v>
      </c>
    </row>
    <row r="29" spans="2:26" x14ac:dyDescent="0.25">
      <c r="B29" t="s">
        <v>1629</v>
      </c>
      <c r="C29">
        <f t="shared" si="4"/>
        <v>81</v>
      </c>
      <c r="D29">
        <f t="shared" si="5"/>
        <v>31</v>
      </c>
      <c r="G29">
        <f t="shared" si="6"/>
        <v>243</v>
      </c>
      <c r="H29">
        <f t="shared" si="6"/>
        <v>93</v>
      </c>
      <c r="N29" s="46" t="s">
        <v>1486</v>
      </c>
      <c r="P29" s="1">
        <v>15</v>
      </c>
    </row>
    <row r="30" spans="2:26" x14ac:dyDescent="0.25">
      <c r="N30" s="46" t="s">
        <v>109</v>
      </c>
      <c r="P30" s="1">
        <v>11</v>
      </c>
    </row>
    <row r="31" spans="2:26" x14ac:dyDescent="0.25">
      <c r="N31" s="46" t="s">
        <v>121</v>
      </c>
      <c r="P31" s="1">
        <v>7</v>
      </c>
    </row>
    <row r="32" spans="2:26" x14ac:dyDescent="0.25">
      <c r="N32" s="46" t="s">
        <v>113</v>
      </c>
      <c r="P32" s="1">
        <v>2</v>
      </c>
    </row>
    <row r="33" spans="14:16" x14ac:dyDescent="0.25">
      <c r="N33" s="11" t="s">
        <v>1559</v>
      </c>
      <c r="P33" s="28">
        <v>59</v>
      </c>
    </row>
    <row r="34" spans="14:16" x14ac:dyDescent="0.25">
      <c r="N34" s="46" t="s">
        <v>121</v>
      </c>
      <c r="P34" s="1">
        <v>10</v>
      </c>
    </row>
    <row r="35" spans="14:16" x14ac:dyDescent="0.25">
      <c r="N35" s="46" t="s">
        <v>1400</v>
      </c>
      <c r="P35" s="1">
        <v>23</v>
      </c>
    </row>
    <row r="36" spans="14:16" x14ac:dyDescent="0.25">
      <c r="N36" s="46" t="s">
        <v>1400</v>
      </c>
      <c r="P36" s="1">
        <v>23</v>
      </c>
    </row>
    <row r="37" spans="14:16" x14ac:dyDescent="0.25">
      <c r="N37" s="46" t="s">
        <v>1486</v>
      </c>
      <c r="P37" s="1">
        <v>11</v>
      </c>
    </row>
    <row r="38" spans="14:16" x14ac:dyDescent="0.25">
      <c r="N38" s="46" t="s">
        <v>1400</v>
      </c>
      <c r="P38" s="1">
        <v>41</v>
      </c>
    </row>
    <row r="39" spans="14:16" x14ac:dyDescent="0.25">
      <c r="N39" s="48" t="s">
        <v>1486</v>
      </c>
      <c r="P39" s="28">
        <v>12</v>
      </c>
    </row>
  </sheetData>
  <sortState xmlns:xlrd2="http://schemas.microsoft.com/office/spreadsheetml/2017/richdata2" ref="B3:D12">
    <sortCondition ref="B3:B12"/>
  </sortState>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870F5-C5AB-4E9F-86A4-826ECD288A39}">
  <dimension ref="A1:AQ63"/>
  <sheetViews>
    <sheetView workbookViewId="0">
      <selection activeCell="F28" sqref="F28"/>
    </sheetView>
  </sheetViews>
  <sheetFormatPr defaultRowHeight="15" x14ac:dyDescent="0.25"/>
  <cols>
    <col min="2" max="2" width="13.28515625" bestFit="1" customWidth="1"/>
    <col min="19" max="19" width="12.85546875" bestFit="1" customWidth="1"/>
  </cols>
  <sheetData>
    <row r="1" spans="1:40" x14ac:dyDescent="0.25">
      <c r="B1" s="3" t="s">
        <v>86</v>
      </c>
      <c r="C1" s="3" t="s">
        <v>87</v>
      </c>
      <c r="D1" s="3" t="s">
        <v>88</v>
      </c>
      <c r="E1" s="3" t="s">
        <v>98</v>
      </c>
      <c r="F1" s="3" t="s">
        <v>100</v>
      </c>
      <c r="G1" s="3" t="s">
        <v>89</v>
      </c>
      <c r="H1" s="3" t="s">
        <v>91</v>
      </c>
      <c r="I1" s="3" t="s">
        <v>90</v>
      </c>
      <c r="J1" s="3" t="s">
        <v>131</v>
      </c>
      <c r="K1" s="3" t="s">
        <v>130</v>
      </c>
      <c r="L1" s="3" t="s">
        <v>103</v>
      </c>
      <c r="M1" s="3" t="s">
        <v>101</v>
      </c>
      <c r="N1" s="3" t="s">
        <v>107</v>
      </c>
      <c r="O1" s="3" t="s">
        <v>91</v>
      </c>
      <c r="P1" s="3" t="s">
        <v>105</v>
      </c>
      <c r="Q1" s="3" t="s">
        <v>131</v>
      </c>
      <c r="R1" s="3" t="s">
        <v>130</v>
      </c>
      <c r="S1" s="3" t="s">
        <v>103</v>
      </c>
      <c r="T1" s="3" t="s">
        <v>101</v>
      </c>
      <c r="U1" s="3" t="s">
        <v>91</v>
      </c>
      <c r="V1" s="3" t="s">
        <v>105</v>
      </c>
      <c r="W1" s="3" t="s">
        <v>131</v>
      </c>
      <c r="X1" s="3" t="s">
        <v>130</v>
      </c>
      <c r="Z1" s="3" t="s">
        <v>601</v>
      </c>
      <c r="AA1" s="3" t="s">
        <v>1630</v>
      </c>
      <c r="AB1" s="3" t="s">
        <v>1631</v>
      </c>
      <c r="AC1" s="3" t="s">
        <v>1632</v>
      </c>
      <c r="AD1" s="3" t="s">
        <v>1633</v>
      </c>
    </row>
    <row r="3" spans="1:40" x14ac:dyDescent="0.25">
      <c r="A3" s="40"/>
      <c r="B3" t="s">
        <v>1463</v>
      </c>
      <c r="C3" s="43" t="s">
        <v>138</v>
      </c>
      <c r="D3">
        <v>476</v>
      </c>
      <c r="E3" t="s">
        <v>881</v>
      </c>
      <c r="F3">
        <v>10</v>
      </c>
      <c r="G3" t="s">
        <v>816</v>
      </c>
      <c r="H3" s="1">
        <v>50</v>
      </c>
      <c r="I3" t="s">
        <v>1481</v>
      </c>
      <c r="J3">
        <v>174</v>
      </c>
      <c r="K3">
        <v>9.5</v>
      </c>
      <c r="Z3" t="s">
        <v>1483</v>
      </c>
      <c r="AB3" s="93">
        <v>2024</v>
      </c>
      <c r="AC3" s="40">
        <f t="shared" ref="AC3" si="0">COUNTIF($I$146:$I$176,I3)</f>
        <v>0</v>
      </c>
      <c r="AD3">
        <f t="shared" ref="AD3" si="1">COUNTIF($C$145:$C$176,C3)</f>
        <v>0</v>
      </c>
      <c r="AF3" s="93" t="s">
        <v>1634</v>
      </c>
    </row>
    <row r="4" spans="1:40" x14ac:dyDescent="0.25">
      <c r="B4" s="46" t="s">
        <v>1542</v>
      </c>
      <c r="C4" s="46" t="s">
        <v>141</v>
      </c>
      <c r="D4" s="46">
        <v>194</v>
      </c>
      <c r="E4" s="46" t="s">
        <v>94</v>
      </c>
      <c r="F4" s="46">
        <v>5</v>
      </c>
      <c r="H4" s="46">
        <v>43</v>
      </c>
      <c r="I4" s="46" t="s">
        <v>1400</v>
      </c>
      <c r="J4" s="46">
        <v>150</v>
      </c>
      <c r="K4" s="69">
        <v>4.5</v>
      </c>
      <c r="V4" s="46"/>
      <c r="W4" s="46"/>
      <c r="X4" s="46"/>
      <c r="AB4" s="46"/>
      <c r="AC4" s="46"/>
      <c r="AD4" s="46"/>
      <c r="AH4">
        <v>2024</v>
      </c>
      <c r="AI4">
        <v>1</v>
      </c>
      <c r="AJ4">
        <v>1</v>
      </c>
    </row>
    <row r="5" spans="1:40" x14ac:dyDescent="0.25">
      <c r="B5" s="46" t="s">
        <v>1544</v>
      </c>
      <c r="C5" s="47" t="s">
        <v>1140</v>
      </c>
      <c r="D5" s="46">
        <v>295</v>
      </c>
      <c r="E5" s="46" t="s">
        <v>94</v>
      </c>
      <c r="F5" s="46">
        <v>15</v>
      </c>
      <c r="G5" s="46" t="s">
        <v>570</v>
      </c>
      <c r="H5" s="46">
        <v>31</v>
      </c>
      <c r="I5" s="46" t="s">
        <v>1481</v>
      </c>
      <c r="J5" s="46">
        <v>174</v>
      </c>
      <c r="K5" s="69">
        <v>9.5</v>
      </c>
      <c r="AG5">
        <v>1</v>
      </c>
      <c r="AH5">
        <v>2024</v>
      </c>
      <c r="AI5">
        <v>1</v>
      </c>
      <c r="AJ5">
        <v>1</v>
      </c>
      <c r="AM5" s="1">
        <v>33</v>
      </c>
      <c r="AN5" s="46" t="s">
        <v>119</v>
      </c>
    </row>
    <row r="6" spans="1:40" x14ac:dyDescent="0.25">
      <c r="B6" s="46" t="s">
        <v>1581</v>
      </c>
      <c r="C6" s="46" t="s">
        <v>141</v>
      </c>
      <c r="D6" s="46">
        <v>423</v>
      </c>
      <c r="E6" s="46" t="s">
        <v>94</v>
      </c>
      <c r="F6" s="46">
        <v>20</v>
      </c>
      <c r="G6" t="s">
        <v>1582</v>
      </c>
      <c r="H6" s="1">
        <v>94</v>
      </c>
      <c r="I6" s="46" t="s">
        <v>1400</v>
      </c>
      <c r="J6" s="46">
        <v>150</v>
      </c>
      <c r="K6" s="69">
        <v>4.5</v>
      </c>
      <c r="AH6">
        <v>2024</v>
      </c>
      <c r="AI6">
        <v>1</v>
      </c>
      <c r="AJ6">
        <v>1</v>
      </c>
      <c r="AM6" s="1">
        <v>7</v>
      </c>
      <c r="AN6" s="46" t="s">
        <v>121</v>
      </c>
    </row>
    <row r="7" spans="1:40" x14ac:dyDescent="0.25">
      <c r="B7" s="46" t="s">
        <v>1595</v>
      </c>
      <c r="C7" s="68" t="s">
        <v>206</v>
      </c>
      <c r="D7" s="46">
        <v>30</v>
      </c>
      <c r="E7" s="46" t="s">
        <v>94</v>
      </c>
      <c r="F7" s="46">
        <v>15</v>
      </c>
      <c r="G7" s="46" t="s">
        <v>1599</v>
      </c>
      <c r="H7" s="1">
        <v>3</v>
      </c>
      <c r="I7" s="46" t="s">
        <v>1545</v>
      </c>
      <c r="J7" s="46">
        <v>164</v>
      </c>
      <c r="K7" s="69">
        <v>10</v>
      </c>
      <c r="AF7" t="s">
        <v>1600</v>
      </c>
      <c r="AG7">
        <v>3</v>
      </c>
      <c r="AH7">
        <v>2024</v>
      </c>
      <c r="AI7">
        <v>1</v>
      </c>
      <c r="AJ7">
        <v>1</v>
      </c>
      <c r="AM7" s="1">
        <v>10</v>
      </c>
      <c r="AN7" s="46" t="s">
        <v>121</v>
      </c>
    </row>
    <row r="8" spans="1:40" x14ac:dyDescent="0.25">
      <c r="B8" s="46" t="s">
        <v>1598</v>
      </c>
      <c r="C8" t="s">
        <v>141</v>
      </c>
      <c r="D8" s="46">
        <v>86</v>
      </c>
      <c r="E8" s="46" t="s">
        <v>94</v>
      </c>
      <c r="F8" s="46">
        <v>25</v>
      </c>
      <c r="G8" s="46" t="s">
        <v>1605</v>
      </c>
      <c r="H8" s="1">
        <v>19</v>
      </c>
      <c r="I8" s="46" t="s">
        <v>1400</v>
      </c>
      <c r="J8" s="46">
        <v>150</v>
      </c>
      <c r="K8" s="69">
        <v>4.5</v>
      </c>
      <c r="AH8">
        <v>2024</v>
      </c>
      <c r="AI8">
        <v>1</v>
      </c>
      <c r="AJ8">
        <v>1</v>
      </c>
      <c r="AM8" s="28">
        <v>12</v>
      </c>
      <c r="AN8" s="48" t="s">
        <v>1486</v>
      </c>
    </row>
    <row r="9" spans="1:40" x14ac:dyDescent="0.25">
      <c r="A9" s="40"/>
      <c r="B9" s="46" t="s">
        <v>1598</v>
      </c>
      <c r="C9" t="s">
        <v>165</v>
      </c>
      <c r="D9" s="46">
        <v>67</v>
      </c>
      <c r="E9" s="46" t="s">
        <v>94</v>
      </c>
      <c r="G9" s="46" t="s">
        <v>1606</v>
      </c>
      <c r="H9" s="1">
        <v>13</v>
      </c>
      <c r="I9" s="46" t="s">
        <v>1559</v>
      </c>
      <c r="J9" s="46">
        <v>136</v>
      </c>
      <c r="K9" s="69">
        <v>4.5</v>
      </c>
      <c r="O9" s="40">
        <v>2</v>
      </c>
      <c r="P9" s="40" t="s">
        <v>1156</v>
      </c>
      <c r="Q9" s="40">
        <v>117</v>
      </c>
      <c r="R9" s="40">
        <v>4.2</v>
      </c>
      <c r="S9" s="40"/>
      <c r="T9" s="40"/>
      <c r="U9" s="40"/>
      <c r="V9" s="40"/>
      <c r="W9" s="40"/>
      <c r="X9" s="40"/>
      <c r="Y9" s="40"/>
      <c r="Z9" s="40"/>
      <c r="AA9" s="40"/>
      <c r="AB9" s="40"/>
      <c r="AC9" s="40"/>
      <c r="AD9" s="40"/>
      <c r="AE9" s="40"/>
      <c r="AF9" s="40"/>
      <c r="AG9" s="40">
        <v>1</v>
      </c>
      <c r="AH9">
        <v>2024</v>
      </c>
      <c r="AI9" s="40">
        <v>1</v>
      </c>
      <c r="AJ9">
        <v>1</v>
      </c>
      <c r="AK9" s="40"/>
    </row>
    <row r="10" spans="1:40" x14ac:dyDescent="0.25">
      <c r="A10" s="40"/>
      <c r="B10" s="46" t="s">
        <v>1615</v>
      </c>
      <c r="C10" t="s">
        <v>141</v>
      </c>
      <c r="D10" s="46">
        <v>540</v>
      </c>
      <c r="E10" s="46" t="s">
        <v>94</v>
      </c>
      <c r="F10" s="46">
        <v>25</v>
      </c>
      <c r="G10" s="46" t="s">
        <v>1620</v>
      </c>
      <c r="H10" s="1">
        <v>120</v>
      </c>
      <c r="I10" s="46" t="s">
        <v>1400</v>
      </c>
      <c r="J10" s="46">
        <v>150</v>
      </c>
      <c r="K10" s="69">
        <v>4.5</v>
      </c>
      <c r="O10" s="40"/>
      <c r="P10" s="40"/>
      <c r="Q10" s="40"/>
      <c r="R10" s="40"/>
      <c r="S10" s="40"/>
      <c r="T10" s="40"/>
      <c r="U10" s="40"/>
      <c r="V10" s="40"/>
      <c r="W10" s="40"/>
      <c r="X10" s="40"/>
      <c r="Y10" s="40"/>
      <c r="Z10" s="40"/>
      <c r="AA10" s="40"/>
      <c r="AB10" s="40"/>
      <c r="AC10" s="40"/>
      <c r="AD10" s="40"/>
      <c r="AE10" s="40"/>
      <c r="AF10" s="40"/>
      <c r="AG10" s="40">
        <v>3</v>
      </c>
      <c r="AH10">
        <v>2024</v>
      </c>
      <c r="AI10" s="40">
        <v>1</v>
      </c>
      <c r="AJ10">
        <v>1</v>
      </c>
      <c r="AK10" s="40"/>
    </row>
    <row r="11" spans="1:40" x14ac:dyDescent="0.25">
      <c r="B11" s="46" t="s">
        <v>1615</v>
      </c>
      <c r="C11" t="s">
        <v>605</v>
      </c>
      <c r="D11" s="46">
        <v>50</v>
      </c>
      <c r="E11" s="46" t="s">
        <v>94</v>
      </c>
      <c r="F11" s="46">
        <v>20</v>
      </c>
      <c r="G11" s="46" t="s">
        <v>1621</v>
      </c>
      <c r="H11" s="1">
        <v>12</v>
      </c>
      <c r="I11" s="46" t="s">
        <v>1156</v>
      </c>
      <c r="J11" s="46">
        <v>117</v>
      </c>
      <c r="K11" s="69">
        <v>4.2</v>
      </c>
      <c r="M11" t="s">
        <v>1622</v>
      </c>
      <c r="AG11" s="40">
        <v>2</v>
      </c>
      <c r="AH11">
        <v>2024</v>
      </c>
      <c r="AI11" s="40">
        <v>1</v>
      </c>
      <c r="AJ11">
        <v>1</v>
      </c>
    </row>
    <row r="12" spans="1:40" x14ac:dyDescent="0.25">
      <c r="A12" s="40"/>
      <c r="B12" s="46" t="s">
        <v>1615</v>
      </c>
      <c r="C12" t="s">
        <v>318</v>
      </c>
      <c r="D12" s="46">
        <v>74</v>
      </c>
      <c r="E12" s="46" t="s">
        <v>94</v>
      </c>
      <c r="F12" s="46">
        <v>30</v>
      </c>
      <c r="H12" s="1">
        <v>12</v>
      </c>
      <c r="I12" s="46" t="s">
        <v>1486</v>
      </c>
      <c r="J12" s="46">
        <v>162</v>
      </c>
      <c r="K12" s="69">
        <v>6.2</v>
      </c>
      <c r="AG12" s="40">
        <v>2</v>
      </c>
      <c r="AH12">
        <v>2024</v>
      </c>
      <c r="AI12" s="40">
        <v>1</v>
      </c>
      <c r="AJ12">
        <v>1</v>
      </c>
    </row>
    <row r="13" spans="1:40" x14ac:dyDescent="0.25">
      <c r="B13" s="46"/>
      <c r="C13" s="46"/>
      <c r="D13" s="46"/>
      <c r="E13" s="46"/>
      <c r="F13" s="46"/>
      <c r="G13" s="46"/>
      <c r="H13" s="46"/>
      <c r="I13" s="46"/>
      <c r="J13" s="46"/>
      <c r="K13" s="69"/>
      <c r="M13" s="46"/>
    </row>
    <row r="14" spans="1:40" x14ac:dyDescent="0.25">
      <c r="B14" s="46"/>
      <c r="C14" s="46"/>
      <c r="D14" s="46"/>
      <c r="E14" s="46"/>
      <c r="F14" s="46"/>
      <c r="G14" s="46"/>
      <c r="H14" s="46"/>
      <c r="I14" s="46"/>
      <c r="J14" s="46"/>
      <c r="K14" s="69"/>
    </row>
    <row r="15" spans="1:40" x14ac:dyDescent="0.25">
      <c r="B15" s="46"/>
      <c r="C15" s="46"/>
      <c r="D15" s="46"/>
      <c r="E15" s="46"/>
      <c r="F15" s="46"/>
      <c r="G15" s="46"/>
      <c r="H15" s="46"/>
      <c r="I15" s="46"/>
      <c r="J15" s="46"/>
      <c r="K15" s="69"/>
    </row>
    <row r="16" spans="1:40" x14ac:dyDescent="0.25">
      <c r="B16" s="46"/>
      <c r="C16" s="46"/>
      <c r="D16" s="46"/>
      <c r="E16" s="46"/>
      <c r="F16" s="46"/>
      <c r="G16" s="46"/>
      <c r="H16" s="46"/>
      <c r="I16" s="46"/>
      <c r="J16" s="46"/>
      <c r="K16" s="69"/>
    </row>
    <row r="17" spans="1:43" x14ac:dyDescent="0.25">
      <c r="B17" s="46"/>
      <c r="C17" s="46"/>
      <c r="D17" s="46"/>
      <c r="E17" s="46"/>
      <c r="F17" s="46"/>
      <c r="G17" s="46"/>
      <c r="H17" s="46"/>
      <c r="I17" s="46"/>
      <c r="J17" s="46"/>
      <c r="K17" s="69"/>
      <c r="AM17" s="46"/>
      <c r="AN17" s="46"/>
      <c r="AP17" s="1"/>
      <c r="AQ17" s="46"/>
    </row>
    <row r="18" spans="1:43" x14ac:dyDescent="0.25">
      <c r="B18" s="46"/>
      <c r="C18" s="46"/>
      <c r="D18" s="46"/>
      <c r="E18" s="46"/>
      <c r="G18" s="46"/>
      <c r="H18" s="46"/>
      <c r="I18" s="46"/>
      <c r="J18" s="46"/>
      <c r="K18" s="69"/>
      <c r="AM18" s="46"/>
      <c r="AN18" s="46"/>
      <c r="AP18" s="1"/>
      <c r="AQ18" s="46"/>
    </row>
    <row r="19" spans="1:43" x14ac:dyDescent="0.25">
      <c r="B19" s="46"/>
      <c r="C19" s="46"/>
      <c r="D19" s="46"/>
      <c r="E19" s="46"/>
      <c r="G19" s="46"/>
      <c r="H19" s="46"/>
      <c r="I19" s="46"/>
      <c r="J19" s="46"/>
      <c r="K19" s="69"/>
      <c r="AM19" s="46"/>
      <c r="AN19" s="46"/>
      <c r="AP19" s="1"/>
      <c r="AQ19" s="46"/>
    </row>
    <row r="20" spans="1:43" x14ac:dyDescent="0.25">
      <c r="B20" s="5" t="s">
        <v>1649</v>
      </c>
      <c r="C20" s="6" t="s">
        <v>1650</v>
      </c>
      <c r="D20" s="7" t="s">
        <v>1651</v>
      </c>
      <c r="E20" s="46"/>
      <c r="G20" s="46"/>
      <c r="H20" s="46"/>
      <c r="I20" s="46"/>
      <c r="J20" s="46"/>
      <c r="K20" s="69"/>
      <c r="AM20" s="46"/>
      <c r="AN20" s="46"/>
      <c r="AP20" s="1"/>
      <c r="AQ20" s="46"/>
    </row>
    <row r="21" spans="1:43" x14ac:dyDescent="0.25">
      <c r="B21" s="104" t="s">
        <v>1638</v>
      </c>
      <c r="C21" s="14" t="s">
        <v>605</v>
      </c>
      <c r="D21" s="105">
        <f t="shared" ref="D21:D27" si="2">SUMIF(C$2:C$13,C21,D$2:D$13)</f>
        <v>50</v>
      </c>
      <c r="E21" s="46"/>
      <c r="F21" s="46"/>
      <c r="G21" s="46"/>
      <c r="H21" s="46"/>
      <c r="I21" s="46"/>
      <c r="J21" s="46"/>
      <c r="K21" s="69"/>
      <c r="AM21" s="46"/>
      <c r="AN21" s="46"/>
      <c r="AP21" s="1"/>
      <c r="AQ21" s="46"/>
    </row>
    <row r="22" spans="1:43" x14ac:dyDescent="0.25">
      <c r="B22" s="106" t="s">
        <v>1638</v>
      </c>
      <c r="C22" s="102" t="s">
        <v>1140</v>
      </c>
      <c r="D22" s="107">
        <f t="shared" si="2"/>
        <v>295</v>
      </c>
      <c r="E22" s="46"/>
      <c r="F22" s="46"/>
      <c r="G22" s="46"/>
      <c r="H22" s="46"/>
      <c r="I22" s="46"/>
      <c r="J22" s="46"/>
      <c r="K22" s="69"/>
      <c r="AM22" s="1"/>
      <c r="AN22" s="46"/>
    </row>
    <row r="23" spans="1:43" x14ac:dyDescent="0.25">
      <c r="B23" s="104" t="s">
        <v>1639</v>
      </c>
      <c r="C23" s="14" t="s">
        <v>318</v>
      </c>
      <c r="D23" s="105">
        <f t="shared" si="2"/>
        <v>74</v>
      </c>
      <c r="E23" s="46"/>
      <c r="F23" s="46">
        <f t="shared" ref="F23:F26" si="3">SQRT(D23)/5</f>
        <v>1.7204650534085253</v>
      </c>
      <c r="G23" s="46"/>
      <c r="H23" s="1"/>
      <c r="I23" s="46"/>
      <c r="J23" s="46"/>
      <c r="K23" s="69"/>
      <c r="AM23" s="1"/>
    </row>
    <row r="24" spans="1:43" x14ac:dyDescent="0.25">
      <c r="B24" s="108" t="s">
        <v>1639</v>
      </c>
      <c r="C24" s="68" t="s">
        <v>206</v>
      </c>
      <c r="D24" s="109">
        <f t="shared" si="2"/>
        <v>30</v>
      </c>
      <c r="E24" s="46"/>
      <c r="F24" s="46">
        <f t="shared" si="3"/>
        <v>1.0954451150103321</v>
      </c>
      <c r="G24" s="46"/>
      <c r="H24" s="1"/>
      <c r="I24" s="46"/>
      <c r="J24" s="46"/>
      <c r="K24" s="69"/>
      <c r="M24" s="46"/>
      <c r="AM24" s="1"/>
      <c r="AN24" s="46"/>
    </row>
    <row r="25" spans="1:43" x14ac:dyDescent="0.25">
      <c r="B25" s="108" t="s">
        <v>1639</v>
      </c>
      <c r="C25" s="43" t="s">
        <v>138</v>
      </c>
      <c r="D25" s="109">
        <f t="shared" si="2"/>
        <v>476</v>
      </c>
      <c r="E25" s="46"/>
      <c r="F25" s="46">
        <f t="shared" si="3"/>
        <v>4.3634848458542859</v>
      </c>
      <c r="G25" s="46"/>
      <c r="H25" s="1"/>
      <c r="I25" s="46"/>
      <c r="J25" s="46"/>
      <c r="K25" s="69"/>
      <c r="AM25" s="1"/>
      <c r="AN25" s="46"/>
    </row>
    <row r="26" spans="1:43" x14ac:dyDescent="0.25">
      <c r="B26" s="106" t="s">
        <v>1639</v>
      </c>
      <c r="C26" s="11" t="s">
        <v>165</v>
      </c>
      <c r="D26" s="107">
        <f t="shared" si="2"/>
        <v>67</v>
      </c>
      <c r="E26" s="46"/>
      <c r="F26" s="46">
        <f t="shared" si="3"/>
        <v>1.6370705543744901</v>
      </c>
      <c r="G26" s="46"/>
      <c r="H26" s="1"/>
      <c r="I26" s="46"/>
      <c r="J26" s="46"/>
      <c r="K26" s="69"/>
      <c r="AM26" s="1"/>
      <c r="AN26" s="46"/>
    </row>
    <row r="27" spans="1:43" x14ac:dyDescent="0.25">
      <c r="A27" s="40"/>
      <c r="B27" s="110" t="s">
        <v>1640</v>
      </c>
      <c r="C27" s="111" t="s">
        <v>141</v>
      </c>
      <c r="D27" s="112">
        <f t="shared" si="2"/>
        <v>1243</v>
      </c>
      <c r="E27" s="46"/>
      <c r="F27" s="46"/>
      <c r="G27" s="46"/>
      <c r="H27" s="1"/>
      <c r="I27" s="46"/>
      <c r="J27" s="46"/>
      <c r="K27" s="69"/>
      <c r="AM27" s="1"/>
      <c r="AN27" s="46"/>
    </row>
    <row r="28" spans="1:43" x14ac:dyDescent="0.25">
      <c r="A28" s="40"/>
      <c r="B28" s="46"/>
      <c r="D28" s="46"/>
      <c r="E28" s="46"/>
      <c r="F28" s="46"/>
      <c r="G28" s="46"/>
      <c r="H28" s="1"/>
      <c r="I28" s="46"/>
      <c r="J28" s="46"/>
      <c r="K28" s="69"/>
      <c r="O28" s="40"/>
      <c r="P28" s="40"/>
      <c r="Q28" s="40"/>
      <c r="R28" s="40"/>
      <c r="S28" s="40"/>
      <c r="T28" s="40"/>
      <c r="U28" s="40"/>
      <c r="V28" s="40"/>
      <c r="W28" s="40"/>
      <c r="X28" s="40"/>
      <c r="Y28" s="40"/>
      <c r="Z28" s="40"/>
      <c r="AA28" s="40"/>
      <c r="AB28" s="40"/>
      <c r="AC28" s="40"/>
      <c r="AD28" s="40"/>
      <c r="AE28" s="40"/>
      <c r="AF28" s="40"/>
      <c r="AG28" s="40"/>
      <c r="AI28" s="40"/>
      <c r="AK28" s="40"/>
    </row>
    <row r="29" spans="1:43" x14ac:dyDescent="0.25">
      <c r="B29" s="46"/>
      <c r="D29" s="46"/>
      <c r="E29" s="46"/>
      <c r="F29" s="46"/>
      <c r="G29" s="46"/>
      <c r="H29" s="1"/>
      <c r="I29" s="46"/>
      <c r="J29" s="46"/>
      <c r="K29" s="69"/>
      <c r="O29" s="40"/>
      <c r="P29" s="40"/>
      <c r="Q29" s="40"/>
      <c r="R29" s="40"/>
      <c r="S29" s="40"/>
      <c r="T29" s="40"/>
      <c r="U29" s="40"/>
      <c r="V29" s="40"/>
      <c r="W29" s="40"/>
      <c r="X29" s="40"/>
      <c r="Y29" s="40"/>
      <c r="Z29" s="40"/>
      <c r="AA29" s="40"/>
      <c r="AB29" s="40"/>
      <c r="AC29" s="40"/>
      <c r="AD29" s="40"/>
      <c r="AE29" s="40"/>
      <c r="AF29" s="40"/>
      <c r="AG29" s="40"/>
      <c r="AI29" s="40"/>
      <c r="AK29" s="40"/>
    </row>
    <row r="30" spans="1:43" x14ac:dyDescent="0.25">
      <c r="A30" s="40"/>
      <c r="B30" s="46"/>
      <c r="D30" s="46"/>
      <c r="E30" s="46"/>
      <c r="F30" s="46"/>
      <c r="G30" s="46"/>
      <c r="H30" s="1"/>
      <c r="I30" s="46"/>
      <c r="J30" s="46"/>
      <c r="K30" s="69"/>
      <c r="O30" s="40"/>
      <c r="P30" s="40"/>
      <c r="Q30" s="40"/>
      <c r="R30" s="40"/>
      <c r="S30" s="40"/>
      <c r="T30" s="40"/>
      <c r="U30" s="40"/>
      <c r="V30" s="40"/>
      <c r="W30" s="40"/>
      <c r="X30" s="40"/>
      <c r="Y30" s="40"/>
      <c r="Z30" s="40"/>
      <c r="AA30" s="40"/>
      <c r="AB30" s="40"/>
      <c r="AC30" s="40"/>
      <c r="AD30" s="40"/>
      <c r="AE30" s="40"/>
      <c r="AF30" s="40"/>
      <c r="AG30" s="40"/>
      <c r="AI30" s="40"/>
      <c r="AK30" s="40"/>
    </row>
    <row r="31" spans="1:43" x14ac:dyDescent="0.25">
      <c r="B31" s="46"/>
      <c r="D31" s="46"/>
      <c r="H31" s="1"/>
      <c r="K31" s="24"/>
      <c r="O31" s="40"/>
      <c r="P31" s="40"/>
      <c r="Q31" s="40"/>
      <c r="R31" s="40"/>
      <c r="S31" s="40"/>
      <c r="T31" s="40"/>
      <c r="U31" s="40"/>
      <c r="V31" s="40"/>
      <c r="W31" s="40"/>
      <c r="X31" s="40"/>
      <c r="Y31" s="40"/>
      <c r="Z31" s="40"/>
      <c r="AA31" s="40"/>
      <c r="AB31" s="40"/>
      <c r="AC31" s="40"/>
      <c r="AD31" s="40"/>
      <c r="AE31" s="40"/>
      <c r="AF31" s="40"/>
      <c r="AG31" s="40"/>
      <c r="AI31" s="40"/>
      <c r="AK31" s="40"/>
    </row>
    <row r="32" spans="1:43" x14ac:dyDescent="0.25">
      <c r="A32" s="40"/>
      <c r="B32" s="46"/>
      <c r="D32" s="46"/>
      <c r="E32" s="46"/>
      <c r="F32" s="46"/>
      <c r="G32" s="46"/>
      <c r="H32" s="1"/>
      <c r="I32" s="46"/>
      <c r="J32" s="46"/>
      <c r="K32" s="69"/>
      <c r="O32" s="40"/>
      <c r="P32" s="40"/>
      <c r="Q32" s="40"/>
      <c r="R32" s="40"/>
      <c r="S32" s="40"/>
      <c r="T32" s="40"/>
      <c r="U32" s="40"/>
      <c r="V32" s="40"/>
      <c r="W32" s="40"/>
      <c r="X32" s="40"/>
      <c r="Y32" s="40"/>
      <c r="Z32" s="40"/>
      <c r="AA32" s="40"/>
      <c r="AB32" s="40"/>
      <c r="AC32" s="40"/>
      <c r="AD32" s="40"/>
      <c r="AE32" s="40"/>
      <c r="AF32" s="40"/>
      <c r="AG32" s="40"/>
      <c r="AI32" s="40"/>
      <c r="AK32" s="40"/>
    </row>
    <row r="33" spans="1:37" ht="15.75" customHeight="1" x14ac:dyDescent="0.25">
      <c r="A33" s="40"/>
      <c r="B33" s="46"/>
      <c r="D33" s="46"/>
      <c r="E33" s="46"/>
      <c r="F33" s="46"/>
      <c r="G33" s="46"/>
      <c r="H33" s="1"/>
      <c r="I33" s="46"/>
      <c r="J33" s="46"/>
      <c r="K33" s="69"/>
      <c r="O33" s="40"/>
      <c r="P33" s="40"/>
      <c r="Q33" s="40"/>
      <c r="R33" s="40"/>
      <c r="S33" s="40"/>
      <c r="T33" s="40"/>
      <c r="U33" s="40"/>
      <c r="V33" s="40"/>
      <c r="W33" s="40"/>
      <c r="X33" s="40"/>
      <c r="Y33" s="40"/>
      <c r="Z33" s="40"/>
      <c r="AA33" s="40"/>
      <c r="AB33" s="40"/>
      <c r="AC33" s="40"/>
      <c r="AD33" s="40"/>
      <c r="AE33" s="40"/>
      <c r="AF33" s="40"/>
      <c r="AG33" s="40"/>
      <c r="AI33" s="40"/>
      <c r="AK33" s="40"/>
    </row>
    <row r="34" spans="1:37" x14ac:dyDescent="0.25">
      <c r="A34" s="40"/>
      <c r="B34" s="46"/>
      <c r="D34" s="46"/>
      <c r="E34" s="46"/>
      <c r="F34" s="46"/>
      <c r="G34" s="46"/>
      <c r="H34" s="1"/>
      <c r="I34" s="46"/>
      <c r="J34" s="46"/>
      <c r="K34" s="69"/>
      <c r="O34" s="40"/>
      <c r="P34" s="40"/>
      <c r="Q34" s="40"/>
      <c r="R34" s="40"/>
      <c r="S34" s="40"/>
      <c r="T34" s="40"/>
      <c r="U34" s="40"/>
      <c r="V34" s="40"/>
      <c r="W34" s="40"/>
      <c r="X34" s="40"/>
      <c r="Y34" s="40"/>
      <c r="Z34" s="40"/>
      <c r="AA34" s="40"/>
      <c r="AB34" s="40"/>
      <c r="AC34" s="40"/>
      <c r="AD34" s="40"/>
      <c r="AE34" s="40"/>
      <c r="AF34" s="40"/>
      <c r="AG34" s="40"/>
      <c r="AI34" s="40"/>
      <c r="AK34" s="40"/>
    </row>
    <row r="35" spans="1:37" x14ac:dyDescent="0.25">
      <c r="A35" s="40"/>
      <c r="B35" s="46"/>
      <c r="D35" s="46"/>
      <c r="E35" s="46"/>
      <c r="F35" s="46"/>
      <c r="G35" s="46"/>
      <c r="H35" s="1"/>
      <c r="I35" s="46"/>
      <c r="J35" s="46"/>
      <c r="K35" s="69"/>
      <c r="O35" s="40"/>
      <c r="P35" s="40"/>
      <c r="Q35" s="40"/>
      <c r="R35" s="40"/>
      <c r="S35" s="40"/>
      <c r="T35" s="40"/>
      <c r="U35" s="40"/>
      <c r="V35" s="40"/>
      <c r="W35" s="40"/>
      <c r="X35" s="40"/>
      <c r="Y35" s="40"/>
      <c r="Z35" s="40"/>
      <c r="AA35" s="40"/>
      <c r="AB35" s="40"/>
      <c r="AC35" s="40"/>
      <c r="AD35" s="40"/>
      <c r="AE35" s="40"/>
      <c r="AF35" s="40"/>
      <c r="AG35" s="40"/>
      <c r="AI35" s="40"/>
      <c r="AK35" s="40"/>
    </row>
    <row r="36" spans="1:37" x14ac:dyDescent="0.25">
      <c r="A36" s="40"/>
      <c r="B36" s="46"/>
      <c r="D36" s="46"/>
      <c r="E36" s="46"/>
      <c r="H36" s="1"/>
      <c r="I36" s="46"/>
      <c r="J36" s="46"/>
      <c r="K36" s="69"/>
      <c r="O36" s="40"/>
      <c r="P36" s="40"/>
      <c r="Q36" s="40"/>
      <c r="R36" s="40"/>
      <c r="S36" s="40"/>
      <c r="T36" s="40"/>
      <c r="U36" s="40"/>
      <c r="V36" s="40"/>
      <c r="W36" s="40"/>
      <c r="X36" s="40"/>
      <c r="Y36" s="40"/>
      <c r="Z36" s="40"/>
      <c r="AA36" s="40"/>
      <c r="AB36" s="40"/>
      <c r="AC36" s="40"/>
      <c r="AD36" s="40"/>
      <c r="AE36" s="40"/>
      <c r="AF36" s="40"/>
      <c r="AG36" s="40"/>
      <c r="AI36" s="40"/>
      <c r="AK36" s="40"/>
    </row>
    <row r="37" spans="1:37" x14ac:dyDescent="0.25">
      <c r="B37" s="46"/>
      <c r="D37" s="46"/>
      <c r="E37" s="46"/>
      <c r="F37" s="46"/>
      <c r="G37" s="46"/>
      <c r="H37" s="1"/>
      <c r="I37" s="46"/>
      <c r="J37" s="46"/>
      <c r="K37" s="69"/>
      <c r="AI37" s="40"/>
    </row>
    <row r="38" spans="1:37" x14ac:dyDescent="0.25">
      <c r="A38" s="40"/>
      <c r="B38" s="99"/>
      <c r="C38" s="100"/>
      <c r="D38" s="44"/>
      <c r="E38" s="44"/>
      <c r="F38" s="44"/>
      <c r="G38" s="44"/>
      <c r="H38" s="1"/>
      <c r="I38" s="44"/>
      <c r="J38" s="44"/>
      <c r="K38" s="101"/>
      <c r="AG38" s="40"/>
      <c r="AI38" s="40"/>
    </row>
    <row r="39" spans="1:37" x14ac:dyDescent="0.25">
      <c r="M39" s="46"/>
      <c r="O39" s="1"/>
    </row>
    <row r="46" spans="1:37" x14ac:dyDescent="0.25">
      <c r="B46" s="3"/>
      <c r="C46" s="3"/>
      <c r="D46" s="3"/>
    </row>
    <row r="48" spans="1:37" x14ac:dyDescent="0.25">
      <c r="C48" s="47"/>
    </row>
    <row r="49" spans="3:3" x14ac:dyDescent="0.25">
      <c r="C49" s="46"/>
    </row>
    <row r="52" spans="3:3" x14ac:dyDescent="0.25">
      <c r="C52" s="46"/>
    </row>
    <row r="53" spans="3:3" x14ac:dyDescent="0.25">
      <c r="C53" s="44"/>
    </row>
    <row r="54" spans="3:3" x14ac:dyDescent="0.25">
      <c r="C54" s="44"/>
    </row>
    <row r="55" spans="3:3" x14ac:dyDescent="0.25">
      <c r="C55" s="46"/>
    </row>
    <row r="57" spans="3:3" x14ac:dyDescent="0.25">
      <c r="C57" s="46"/>
    </row>
    <row r="63" spans="3:3" x14ac:dyDescent="0.25">
      <c r="C63" s="46"/>
    </row>
  </sheetData>
  <sortState xmlns:xlrd2="http://schemas.microsoft.com/office/spreadsheetml/2017/richdata2" ref="B21:D27">
    <sortCondition ref="B21:B27"/>
    <sortCondition ref="C21:C27"/>
  </sortState>
  <conditionalFormatting sqref="AC3:AD3">
    <cfRule type="cellIs" dxfId="10" priority="2" operator="equal">
      <formula>1</formula>
    </cfRule>
  </conditionalFormatting>
  <conditionalFormatting sqref="AI4:AJ38">
    <cfRule type="cellIs" dxfId="9" priority="1" operator="equal">
      <formula>1</formula>
    </cfRule>
  </conditionalFormatting>
  <pageMargins left="0.7" right="0.7" top="0.75" bottom="0.75" header="0.3" footer="0.3"/>
  <pageSetup paperSize="9"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8008D-D3FD-447B-846A-3F8349A29C84}">
  <dimension ref="A1:AQ64"/>
  <sheetViews>
    <sheetView topLeftCell="A16" workbookViewId="0">
      <selection activeCell="F51" sqref="F51"/>
    </sheetView>
  </sheetViews>
  <sheetFormatPr defaultRowHeight="15" x14ac:dyDescent="0.25"/>
  <cols>
    <col min="2" max="2" width="13.28515625" bestFit="1" customWidth="1"/>
    <col min="19" max="19" width="12.85546875" bestFit="1" customWidth="1"/>
  </cols>
  <sheetData>
    <row r="1" spans="1:37" x14ac:dyDescent="0.25">
      <c r="B1" s="3" t="s">
        <v>86</v>
      </c>
      <c r="C1" s="3" t="s">
        <v>87</v>
      </c>
      <c r="D1" s="3" t="s">
        <v>88</v>
      </c>
      <c r="E1" s="3" t="s">
        <v>98</v>
      </c>
      <c r="F1" s="3" t="s">
        <v>100</v>
      </c>
      <c r="G1" s="3" t="s">
        <v>89</v>
      </c>
      <c r="H1" s="3" t="s">
        <v>91</v>
      </c>
      <c r="I1" s="3" t="s">
        <v>90</v>
      </c>
      <c r="J1" s="3" t="s">
        <v>131</v>
      </c>
      <c r="K1" s="3" t="s">
        <v>130</v>
      </c>
      <c r="L1" s="3" t="s">
        <v>103</v>
      </c>
      <c r="M1" s="3" t="s">
        <v>101</v>
      </c>
      <c r="N1" s="3" t="s">
        <v>107</v>
      </c>
      <c r="O1" s="3" t="s">
        <v>91</v>
      </c>
      <c r="P1" s="3" t="s">
        <v>105</v>
      </c>
      <c r="Q1" s="3" t="s">
        <v>131</v>
      </c>
      <c r="R1" s="3" t="s">
        <v>130</v>
      </c>
      <c r="S1" s="3" t="s">
        <v>103</v>
      </c>
      <c r="T1" s="3" t="s">
        <v>101</v>
      </c>
      <c r="U1" s="3" t="s">
        <v>91</v>
      </c>
      <c r="V1" s="3" t="s">
        <v>105</v>
      </c>
      <c r="W1" s="3" t="s">
        <v>131</v>
      </c>
      <c r="X1" s="3" t="s">
        <v>130</v>
      </c>
      <c r="Z1" s="3" t="s">
        <v>601</v>
      </c>
      <c r="AA1" s="3" t="s">
        <v>1630</v>
      </c>
      <c r="AB1" s="3" t="s">
        <v>1631</v>
      </c>
      <c r="AC1" s="3" t="s">
        <v>1632</v>
      </c>
      <c r="AD1" s="3" t="s">
        <v>1633</v>
      </c>
    </row>
    <row r="3" spans="1:37" x14ac:dyDescent="0.25">
      <c r="B3" t="s">
        <v>1439</v>
      </c>
      <c r="C3" t="s">
        <v>162</v>
      </c>
      <c r="D3">
        <v>30</v>
      </c>
      <c r="E3" t="s">
        <v>94</v>
      </c>
      <c r="H3" s="1">
        <v>7</v>
      </c>
      <c r="I3" t="s">
        <v>1156</v>
      </c>
      <c r="J3">
        <v>117</v>
      </c>
      <c r="K3">
        <v>4.3</v>
      </c>
      <c r="L3" t="s">
        <v>1405</v>
      </c>
      <c r="M3">
        <v>76.5</v>
      </c>
      <c r="AA3">
        <v>2</v>
      </c>
      <c r="AB3">
        <v>2023</v>
      </c>
      <c r="AC3">
        <v>1</v>
      </c>
      <c r="AD3">
        <v>1</v>
      </c>
    </row>
    <row r="4" spans="1:37" x14ac:dyDescent="0.25">
      <c r="B4" t="s">
        <v>1439</v>
      </c>
      <c r="C4" t="s">
        <v>605</v>
      </c>
      <c r="D4">
        <v>42</v>
      </c>
      <c r="E4" t="s">
        <v>94</v>
      </c>
      <c r="F4">
        <v>20</v>
      </c>
      <c r="G4" t="s">
        <v>1446</v>
      </c>
      <c r="H4" s="1">
        <v>10</v>
      </c>
      <c r="I4" t="s">
        <v>1156</v>
      </c>
      <c r="J4">
        <v>117</v>
      </c>
      <c r="K4">
        <v>4.2</v>
      </c>
      <c r="L4" t="s">
        <v>651</v>
      </c>
      <c r="M4">
        <v>94</v>
      </c>
      <c r="AA4">
        <v>1</v>
      </c>
      <c r="AB4">
        <v>2023</v>
      </c>
      <c r="AC4">
        <v>1</v>
      </c>
      <c r="AD4">
        <v>1</v>
      </c>
      <c r="AK4">
        <v>2023</v>
      </c>
    </row>
    <row r="5" spans="1:37" x14ac:dyDescent="0.25">
      <c r="A5" s="40"/>
      <c r="B5" t="s">
        <v>1449</v>
      </c>
      <c r="C5" t="s">
        <v>140</v>
      </c>
      <c r="D5">
        <v>86</v>
      </c>
      <c r="E5" t="s">
        <v>94</v>
      </c>
      <c r="F5">
        <v>30</v>
      </c>
      <c r="G5" t="s">
        <v>68</v>
      </c>
      <c r="H5" s="1">
        <v>20</v>
      </c>
      <c r="I5" t="s">
        <v>619</v>
      </c>
      <c r="J5">
        <v>150</v>
      </c>
      <c r="K5">
        <v>4.3</v>
      </c>
      <c r="L5" t="s">
        <v>1405</v>
      </c>
      <c r="O5" s="40"/>
      <c r="P5" s="40"/>
      <c r="Q5" s="40"/>
      <c r="R5" s="40"/>
      <c r="S5" s="40"/>
      <c r="T5" s="40"/>
      <c r="U5" s="40"/>
      <c r="V5" s="40"/>
      <c r="W5" s="40"/>
      <c r="X5" s="40"/>
      <c r="Y5" s="40"/>
      <c r="Z5" s="40"/>
      <c r="AA5" s="40">
        <v>2</v>
      </c>
      <c r="AB5">
        <v>2023</v>
      </c>
      <c r="AC5" s="40">
        <v>1</v>
      </c>
      <c r="AD5">
        <v>1</v>
      </c>
      <c r="AE5" s="40"/>
      <c r="AI5" s="44" t="s">
        <v>1400</v>
      </c>
      <c r="AK5" s="44">
        <v>25</v>
      </c>
    </row>
    <row r="6" spans="1:37" x14ac:dyDescent="0.25">
      <c r="A6" s="40"/>
      <c r="B6" t="s">
        <v>1456</v>
      </c>
      <c r="C6" t="s">
        <v>141</v>
      </c>
      <c r="D6">
        <v>348</v>
      </c>
      <c r="E6" t="s">
        <v>94</v>
      </c>
      <c r="F6">
        <v>5</v>
      </c>
      <c r="H6" s="1">
        <v>81</v>
      </c>
      <c r="I6" t="s">
        <v>619</v>
      </c>
      <c r="J6">
        <v>150</v>
      </c>
      <c r="K6">
        <v>4.3</v>
      </c>
      <c r="L6" t="s">
        <v>1405</v>
      </c>
      <c r="O6" s="40"/>
      <c r="P6" s="40"/>
      <c r="Q6" s="40"/>
      <c r="R6" s="40"/>
      <c r="S6" s="40"/>
      <c r="T6" s="40"/>
      <c r="U6" s="40"/>
      <c r="V6" s="40"/>
      <c r="W6" s="40"/>
      <c r="X6" s="40"/>
      <c r="Y6" s="40"/>
      <c r="Z6" s="40"/>
      <c r="AA6" s="40"/>
      <c r="AB6">
        <v>2023</v>
      </c>
      <c r="AC6" s="40">
        <v>1</v>
      </c>
      <c r="AD6">
        <v>1</v>
      </c>
      <c r="AE6" s="40"/>
    </row>
    <row r="7" spans="1:37" x14ac:dyDescent="0.25">
      <c r="A7" s="40"/>
      <c r="B7" s="44" t="s">
        <v>1512</v>
      </c>
      <c r="C7" s="44" t="s">
        <v>141</v>
      </c>
      <c r="D7" s="44">
        <v>189</v>
      </c>
      <c r="E7" s="44" t="s">
        <v>94</v>
      </c>
      <c r="F7" s="44">
        <v>20</v>
      </c>
      <c r="G7" t="s">
        <v>1102</v>
      </c>
      <c r="H7" s="44">
        <v>42</v>
      </c>
      <c r="I7" s="44" t="s">
        <v>619</v>
      </c>
      <c r="J7" s="44">
        <v>150</v>
      </c>
      <c r="K7" s="44">
        <v>4.5</v>
      </c>
      <c r="L7" t="s">
        <v>1410</v>
      </c>
      <c r="AA7">
        <v>3</v>
      </c>
      <c r="AB7">
        <v>2023</v>
      </c>
      <c r="AC7" s="40">
        <v>1</v>
      </c>
      <c r="AD7">
        <v>1</v>
      </c>
    </row>
    <row r="8" spans="1:37" x14ac:dyDescent="0.25">
      <c r="A8" s="40"/>
      <c r="B8" s="46" t="s">
        <v>1580</v>
      </c>
      <c r="C8" s="46" t="s">
        <v>141</v>
      </c>
      <c r="D8" s="44">
        <v>99</v>
      </c>
      <c r="E8" s="46" t="s">
        <v>94</v>
      </c>
      <c r="F8" s="44">
        <v>15</v>
      </c>
      <c r="H8" s="44">
        <v>22</v>
      </c>
      <c r="I8" s="46" t="s">
        <v>1400</v>
      </c>
      <c r="J8" s="44">
        <v>150</v>
      </c>
      <c r="K8" s="44">
        <v>4.5</v>
      </c>
      <c r="AB8">
        <v>2023</v>
      </c>
      <c r="AC8" s="40">
        <v>1</v>
      </c>
      <c r="AD8">
        <v>1</v>
      </c>
    </row>
    <row r="9" spans="1:37" x14ac:dyDescent="0.25">
      <c r="B9" s="44" t="s">
        <v>1517</v>
      </c>
      <c r="C9" s="44" t="s">
        <v>318</v>
      </c>
      <c r="D9" s="44">
        <v>87</v>
      </c>
      <c r="E9" s="44" t="s">
        <v>94</v>
      </c>
      <c r="F9" s="44">
        <v>25</v>
      </c>
      <c r="G9" t="s">
        <v>1529</v>
      </c>
      <c r="H9" s="44">
        <v>14</v>
      </c>
      <c r="I9" s="44" t="s">
        <v>1486</v>
      </c>
      <c r="J9" s="44">
        <v>162</v>
      </c>
      <c r="K9" s="44">
        <v>6.2</v>
      </c>
      <c r="AA9">
        <v>2</v>
      </c>
      <c r="AB9">
        <v>2023</v>
      </c>
      <c r="AC9" s="40">
        <v>1</v>
      </c>
      <c r="AD9" s="40">
        <v>1</v>
      </c>
    </row>
    <row r="10" spans="1:37" x14ac:dyDescent="0.25">
      <c r="B10" s="44" t="s">
        <v>1518</v>
      </c>
      <c r="C10" s="44" t="s">
        <v>138</v>
      </c>
      <c r="D10" s="44">
        <v>42</v>
      </c>
      <c r="E10" s="44" t="s">
        <v>93</v>
      </c>
      <c r="F10" s="44">
        <v>20</v>
      </c>
      <c r="G10" t="s">
        <v>1526</v>
      </c>
      <c r="H10" s="44">
        <v>7</v>
      </c>
      <c r="I10" s="44" t="s">
        <v>1404</v>
      </c>
      <c r="J10" s="44">
        <v>162</v>
      </c>
      <c r="K10" s="44">
        <v>6</v>
      </c>
      <c r="AA10">
        <v>1</v>
      </c>
      <c r="AB10">
        <v>2023</v>
      </c>
      <c r="AC10" s="40">
        <v>1</v>
      </c>
      <c r="AD10" s="40">
        <v>1</v>
      </c>
    </row>
    <row r="11" spans="1:37" x14ac:dyDescent="0.25">
      <c r="B11" s="44" t="s">
        <v>1519</v>
      </c>
      <c r="C11" s="44" t="s">
        <v>141</v>
      </c>
      <c r="D11" s="44">
        <v>113</v>
      </c>
      <c r="E11" s="44" t="s">
        <v>94</v>
      </c>
      <c r="F11" s="44">
        <v>15</v>
      </c>
      <c r="H11" s="44">
        <v>25</v>
      </c>
      <c r="I11" s="44" t="s">
        <v>1400</v>
      </c>
      <c r="J11" s="44">
        <v>150</v>
      </c>
      <c r="K11" s="44">
        <v>4.5</v>
      </c>
      <c r="AA11">
        <v>2</v>
      </c>
      <c r="AB11">
        <v>2023</v>
      </c>
      <c r="AC11" s="40">
        <v>1</v>
      </c>
      <c r="AD11" s="40">
        <v>1</v>
      </c>
    </row>
    <row r="12" spans="1:37" x14ac:dyDescent="0.25">
      <c r="B12" s="44" t="s">
        <v>1519</v>
      </c>
      <c r="C12" s="44" t="s">
        <v>141</v>
      </c>
      <c r="D12" s="44">
        <v>248</v>
      </c>
      <c r="E12" s="44" t="s">
        <v>94</v>
      </c>
      <c r="F12" s="44">
        <v>20</v>
      </c>
      <c r="G12" t="s">
        <v>1521</v>
      </c>
      <c r="H12" s="44">
        <v>55</v>
      </c>
      <c r="I12" s="44" t="s">
        <v>1400</v>
      </c>
      <c r="J12" s="44">
        <v>150</v>
      </c>
      <c r="K12" s="44">
        <v>4.5</v>
      </c>
      <c r="AA12">
        <v>2</v>
      </c>
      <c r="AB12">
        <v>2023</v>
      </c>
      <c r="AC12" s="40">
        <v>1</v>
      </c>
      <c r="AD12" s="40">
        <v>1</v>
      </c>
    </row>
    <row r="13" spans="1:37" x14ac:dyDescent="0.25">
      <c r="B13" s="46" t="s">
        <v>1540</v>
      </c>
      <c r="C13" s="46" t="s">
        <v>1541</v>
      </c>
      <c r="D13" s="46">
        <v>21</v>
      </c>
      <c r="E13" s="46" t="s">
        <v>94</v>
      </c>
      <c r="F13" s="46">
        <v>30</v>
      </c>
      <c r="G13" s="46" t="s">
        <v>1547</v>
      </c>
      <c r="H13" s="46">
        <v>5</v>
      </c>
      <c r="I13" s="46" t="s">
        <v>121</v>
      </c>
      <c r="J13" s="46">
        <v>136</v>
      </c>
      <c r="K13" s="69">
        <v>4.2</v>
      </c>
      <c r="M13" s="46">
        <v>82</v>
      </c>
      <c r="AG13">
        <v>1</v>
      </c>
      <c r="AH13">
        <v>2023</v>
      </c>
      <c r="AI13">
        <v>1</v>
      </c>
      <c r="AJ13">
        <v>1</v>
      </c>
    </row>
    <row r="14" spans="1:37" x14ac:dyDescent="0.25">
      <c r="B14" s="46" t="s">
        <v>1543</v>
      </c>
      <c r="C14" s="46" t="s">
        <v>140</v>
      </c>
      <c r="D14" s="46">
        <v>32</v>
      </c>
      <c r="E14" s="46" t="s">
        <v>94</v>
      </c>
      <c r="F14" s="46" t="s">
        <v>1550</v>
      </c>
      <c r="G14" s="46" t="s">
        <v>1549</v>
      </c>
      <c r="H14" s="46">
        <v>7</v>
      </c>
      <c r="I14" s="46" t="s">
        <v>1400</v>
      </c>
      <c r="J14" s="46">
        <v>150</v>
      </c>
      <c r="K14" s="69">
        <v>4.5</v>
      </c>
      <c r="AG14">
        <v>2</v>
      </c>
      <c r="AH14">
        <v>2023</v>
      </c>
      <c r="AI14">
        <v>1</v>
      </c>
      <c r="AJ14">
        <v>1</v>
      </c>
    </row>
    <row r="15" spans="1:37" x14ac:dyDescent="0.25">
      <c r="B15" s="46" t="s">
        <v>1555</v>
      </c>
      <c r="C15" s="46" t="s">
        <v>27</v>
      </c>
      <c r="D15" s="46">
        <v>86</v>
      </c>
      <c r="E15" s="46" t="s">
        <v>94</v>
      </c>
      <c r="F15" s="46">
        <v>30</v>
      </c>
      <c r="G15" s="46" t="s">
        <v>1546</v>
      </c>
      <c r="H15" s="46">
        <v>19</v>
      </c>
      <c r="I15" s="46" t="s">
        <v>1400</v>
      </c>
      <c r="J15" s="46">
        <v>150</v>
      </c>
      <c r="K15" s="69">
        <v>4.5</v>
      </c>
      <c r="AG15">
        <v>1</v>
      </c>
      <c r="AH15">
        <v>2023</v>
      </c>
      <c r="AI15">
        <v>1</v>
      </c>
      <c r="AJ15">
        <v>1</v>
      </c>
    </row>
    <row r="16" spans="1:37" x14ac:dyDescent="0.25">
      <c r="B16" s="46" t="s">
        <v>1564</v>
      </c>
      <c r="C16" s="46" t="s">
        <v>146</v>
      </c>
      <c r="D16" s="46">
        <v>30</v>
      </c>
      <c r="E16" s="46" t="s">
        <v>94</v>
      </c>
      <c r="F16" s="46">
        <v>15</v>
      </c>
      <c r="G16" s="46"/>
      <c r="H16" s="46">
        <v>7</v>
      </c>
      <c r="I16" s="46" t="s">
        <v>619</v>
      </c>
      <c r="J16" s="46">
        <v>150</v>
      </c>
      <c r="K16" s="69">
        <v>4.3</v>
      </c>
      <c r="L16" t="s">
        <v>1405</v>
      </c>
      <c r="AG16">
        <v>3</v>
      </c>
      <c r="AH16">
        <v>2023</v>
      </c>
      <c r="AI16">
        <v>1</v>
      </c>
      <c r="AJ16">
        <v>1</v>
      </c>
    </row>
    <row r="17" spans="1:43" x14ac:dyDescent="0.25">
      <c r="B17" s="46" t="s">
        <v>1544</v>
      </c>
      <c r="C17" s="46" t="s">
        <v>146</v>
      </c>
      <c r="D17" s="46">
        <v>97</v>
      </c>
      <c r="E17" s="46" t="s">
        <v>94</v>
      </c>
      <c r="F17" s="46" t="s">
        <v>1563</v>
      </c>
      <c r="G17" s="46" t="s">
        <v>1359</v>
      </c>
      <c r="H17" s="46">
        <v>12</v>
      </c>
      <c r="I17" s="46" t="s">
        <v>1156</v>
      </c>
      <c r="J17" s="46">
        <v>117</v>
      </c>
      <c r="K17" s="69">
        <v>4.2</v>
      </c>
      <c r="O17">
        <v>13</v>
      </c>
      <c r="P17" t="s">
        <v>115</v>
      </c>
      <c r="Q17">
        <v>117</v>
      </c>
      <c r="R17">
        <v>3.45</v>
      </c>
      <c r="S17" t="s">
        <v>566</v>
      </c>
      <c r="AG17">
        <v>1</v>
      </c>
      <c r="AH17">
        <v>2023</v>
      </c>
      <c r="AI17">
        <v>1</v>
      </c>
      <c r="AJ17">
        <v>1</v>
      </c>
      <c r="AM17" s="46">
        <v>7</v>
      </c>
      <c r="AN17" s="46" t="s">
        <v>619</v>
      </c>
      <c r="AP17" s="1">
        <v>3</v>
      </c>
      <c r="AQ17" s="46" t="s">
        <v>1545</v>
      </c>
    </row>
    <row r="18" spans="1:43" x14ac:dyDescent="0.25">
      <c r="B18" s="46" t="s">
        <v>1544</v>
      </c>
      <c r="C18" s="46" t="s">
        <v>144</v>
      </c>
      <c r="D18" s="46">
        <v>76</v>
      </c>
      <c r="E18" s="46"/>
      <c r="G18" s="46"/>
      <c r="H18" s="46">
        <v>18</v>
      </c>
      <c r="I18" s="46" t="s">
        <v>619</v>
      </c>
      <c r="J18" s="46">
        <v>150</v>
      </c>
      <c r="K18" s="69">
        <v>4.2</v>
      </c>
      <c r="AG18">
        <v>1</v>
      </c>
      <c r="AH18">
        <v>2023</v>
      </c>
      <c r="AI18">
        <v>1</v>
      </c>
      <c r="AJ18">
        <v>1</v>
      </c>
      <c r="AM18" s="46">
        <v>12</v>
      </c>
      <c r="AN18" s="46" t="s">
        <v>1156</v>
      </c>
      <c r="AP18" s="1">
        <v>19</v>
      </c>
      <c r="AQ18" s="46" t="s">
        <v>1400</v>
      </c>
    </row>
    <row r="19" spans="1:43" x14ac:dyDescent="0.25">
      <c r="B19" s="46" t="s">
        <v>1544</v>
      </c>
      <c r="C19" s="46" t="s">
        <v>318</v>
      </c>
      <c r="D19" s="46">
        <v>93</v>
      </c>
      <c r="E19" s="46" t="s">
        <v>94</v>
      </c>
      <c r="F19">
        <v>30</v>
      </c>
      <c r="G19" s="46"/>
      <c r="H19" s="46">
        <v>15</v>
      </c>
      <c r="I19" s="46" t="s">
        <v>1486</v>
      </c>
      <c r="J19" s="46">
        <v>162</v>
      </c>
      <c r="K19" s="69">
        <v>6.2</v>
      </c>
      <c r="AG19">
        <v>2</v>
      </c>
      <c r="AH19">
        <v>2023</v>
      </c>
      <c r="AI19">
        <v>1</v>
      </c>
      <c r="AJ19">
        <v>1</v>
      </c>
      <c r="AM19" s="46">
        <v>18</v>
      </c>
      <c r="AN19" s="46" t="s">
        <v>619</v>
      </c>
      <c r="AP19" s="1">
        <v>120</v>
      </c>
      <c r="AQ19" s="46" t="s">
        <v>1400</v>
      </c>
    </row>
    <row r="20" spans="1:43" x14ac:dyDescent="0.25">
      <c r="B20" s="46" t="s">
        <v>1544</v>
      </c>
      <c r="C20" s="46" t="s">
        <v>148</v>
      </c>
      <c r="D20" s="46">
        <v>36</v>
      </c>
      <c r="E20" s="46" t="s">
        <v>94</v>
      </c>
      <c r="F20">
        <v>20</v>
      </c>
      <c r="G20" s="46"/>
      <c r="H20" s="46">
        <v>8</v>
      </c>
      <c r="I20" s="46" t="s">
        <v>1559</v>
      </c>
      <c r="J20" s="46">
        <v>136</v>
      </c>
      <c r="K20" s="69">
        <v>4.5</v>
      </c>
      <c r="AG20">
        <v>2</v>
      </c>
      <c r="AH20">
        <v>2023</v>
      </c>
      <c r="AI20">
        <v>1</v>
      </c>
      <c r="AJ20">
        <v>1</v>
      </c>
      <c r="AM20" s="46">
        <v>15</v>
      </c>
      <c r="AN20" s="46" t="s">
        <v>1486</v>
      </c>
      <c r="AP20" s="1">
        <v>12</v>
      </c>
      <c r="AQ20" s="46" t="s">
        <v>1156</v>
      </c>
    </row>
    <row r="21" spans="1:43" x14ac:dyDescent="0.25">
      <c r="B21" s="46" t="s">
        <v>1544</v>
      </c>
      <c r="C21" s="46" t="s">
        <v>146</v>
      </c>
      <c r="D21" s="46">
        <v>30</v>
      </c>
      <c r="E21" s="46" t="s">
        <v>93</v>
      </c>
      <c r="F21" s="46">
        <v>10</v>
      </c>
      <c r="G21" s="46" t="s">
        <v>1551</v>
      </c>
      <c r="H21" s="46">
        <v>3</v>
      </c>
      <c r="I21" s="46" t="s">
        <v>121</v>
      </c>
      <c r="J21" s="46">
        <v>136</v>
      </c>
      <c r="K21" s="69">
        <v>4.2</v>
      </c>
      <c r="L21" t="s">
        <v>1356</v>
      </c>
      <c r="O21">
        <v>5</v>
      </c>
      <c r="P21" t="s">
        <v>108</v>
      </c>
      <c r="Q21">
        <v>136</v>
      </c>
      <c r="R21">
        <v>3.6</v>
      </c>
      <c r="S21" t="s">
        <v>1224</v>
      </c>
      <c r="AG21">
        <v>1</v>
      </c>
      <c r="AH21">
        <v>2023</v>
      </c>
      <c r="AI21">
        <v>1</v>
      </c>
      <c r="AJ21">
        <v>1</v>
      </c>
      <c r="AM21" s="46">
        <v>8</v>
      </c>
      <c r="AN21" s="46" t="s">
        <v>1559</v>
      </c>
      <c r="AP21" s="1">
        <v>12</v>
      </c>
      <c r="AQ21" s="46" t="s">
        <v>1486</v>
      </c>
    </row>
    <row r="22" spans="1:43" x14ac:dyDescent="0.25">
      <c r="B22" s="46" t="s">
        <v>1544</v>
      </c>
      <c r="C22" s="47" t="s">
        <v>1140</v>
      </c>
      <c r="D22" s="46">
        <v>295</v>
      </c>
      <c r="E22" s="46" t="s">
        <v>881</v>
      </c>
      <c r="F22" s="46">
        <v>14</v>
      </c>
      <c r="G22" s="46" t="s">
        <v>1554</v>
      </c>
      <c r="H22" s="46">
        <v>31</v>
      </c>
      <c r="I22" s="46" t="s">
        <v>1481</v>
      </c>
      <c r="J22" s="46">
        <v>174</v>
      </c>
      <c r="K22" s="69">
        <v>9.5</v>
      </c>
      <c r="AG22">
        <v>1</v>
      </c>
      <c r="AH22">
        <v>2023</v>
      </c>
      <c r="AI22">
        <v>1</v>
      </c>
      <c r="AJ22">
        <v>1</v>
      </c>
      <c r="AM22" s="1">
        <v>24</v>
      </c>
      <c r="AN22" s="46" t="s">
        <v>121</v>
      </c>
    </row>
    <row r="23" spans="1:43" x14ac:dyDescent="0.25">
      <c r="B23" s="46" t="s">
        <v>1594</v>
      </c>
      <c r="C23" s="46" t="s">
        <v>146</v>
      </c>
      <c r="D23" s="46">
        <v>101</v>
      </c>
      <c r="E23" s="46" t="s">
        <v>94</v>
      </c>
      <c r="G23" s="46" t="s">
        <v>1359</v>
      </c>
      <c r="H23" s="1">
        <v>24</v>
      </c>
      <c r="I23" s="46" t="s">
        <v>121</v>
      </c>
      <c r="J23" s="46">
        <v>136</v>
      </c>
      <c r="K23" s="69">
        <v>4.2</v>
      </c>
      <c r="AG23">
        <v>2</v>
      </c>
      <c r="AH23">
        <v>2023</v>
      </c>
      <c r="AI23">
        <v>1</v>
      </c>
      <c r="AJ23">
        <v>1</v>
      </c>
      <c r="AM23" s="1">
        <v>59</v>
      </c>
      <c r="AN23" t="s">
        <v>1559</v>
      </c>
    </row>
    <row r="24" spans="1:43" x14ac:dyDescent="0.25">
      <c r="B24" s="46" t="s">
        <v>1596</v>
      </c>
      <c r="C24" t="s">
        <v>161</v>
      </c>
      <c r="D24" s="46">
        <v>73</v>
      </c>
      <c r="E24" s="46" t="s">
        <v>94</v>
      </c>
      <c r="F24" s="46">
        <v>15</v>
      </c>
      <c r="G24" s="46" t="s">
        <v>1601</v>
      </c>
      <c r="H24" s="1">
        <v>33</v>
      </c>
      <c r="I24" s="46" t="s">
        <v>119</v>
      </c>
      <c r="J24" s="46">
        <v>110</v>
      </c>
      <c r="K24" s="69">
        <v>2.2000000000000002</v>
      </c>
      <c r="M24" s="46">
        <v>120</v>
      </c>
      <c r="AG24">
        <v>3</v>
      </c>
      <c r="AH24">
        <v>2023</v>
      </c>
      <c r="AI24">
        <v>1</v>
      </c>
      <c r="AJ24">
        <v>1</v>
      </c>
      <c r="AM24" s="1">
        <v>23</v>
      </c>
      <c r="AN24" s="46" t="s">
        <v>1400</v>
      </c>
    </row>
    <row r="25" spans="1:43" x14ac:dyDescent="0.25">
      <c r="B25" s="46" t="s">
        <v>1597</v>
      </c>
      <c r="C25" t="s">
        <v>1247</v>
      </c>
      <c r="D25" s="46">
        <v>86</v>
      </c>
      <c r="E25" s="46" t="s">
        <v>94</v>
      </c>
      <c r="F25" s="46">
        <v>10</v>
      </c>
      <c r="G25" s="46" t="s">
        <v>1602</v>
      </c>
      <c r="H25" s="1">
        <v>19</v>
      </c>
      <c r="I25" s="46" t="s">
        <v>1400</v>
      </c>
      <c r="J25" s="46">
        <v>150</v>
      </c>
      <c r="K25" s="69">
        <v>4.5</v>
      </c>
      <c r="AG25">
        <v>4</v>
      </c>
      <c r="AH25">
        <v>2023</v>
      </c>
      <c r="AI25">
        <v>1</v>
      </c>
      <c r="AJ25">
        <v>1</v>
      </c>
      <c r="AM25" s="1">
        <v>23</v>
      </c>
      <c r="AN25" s="46" t="s">
        <v>1400</v>
      </c>
    </row>
    <row r="26" spans="1:43" x14ac:dyDescent="0.25">
      <c r="B26" s="46" t="s">
        <v>1597</v>
      </c>
      <c r="C26" t="s">
        <v>1541</v>
      </c>
      <c r="D26" s="46">
        <v>39</v>
      </c>
      <c r="E26" s="46" t="s">
        <v>94</v>
      </c>
      <c r="F26" s="46">
        <v>30</v>
      </c>
      <c r="G26" s="46" t="s">
        <v>1468</v>
      </c>
      <c r="H26" s="1">
        <v>9</v>
      </c>
      <c r="I26" s="46" t="s">
        <v>619</v>
      </c>
      <c r="J26" s="46">
        <v>150</v>
      </c>
      <c r="K26" s="69">
        <v>4.3</v>
      </c>
      <c r="L26" t="s">
        <v>1405</v>
      </c>
      <c r="AG26">
        <v>2</v>
      </c>
      <c r="AH26">
        <v>2023</v>
      </c>
      <c r="AI26">
        <v>1</v>
      </c>
      <c r="AJ26">
        <v>1</v>
      </c>
      <c r="AM26" s="1">
        <v>11</v>
      </c>
      <c r="AN26" s="46" t="s">
        <v>1486</v>
      </c>
    </row>
    <row r="27" spans="1:43" x14ac:dyDescent="0.25">
      <c r="A27" s="40"/>
      <c r="B27" s="46" t="s">
        <v>1597</v>
      </c>
      <c r="C27" t="s">
        <v>318</v>
      </c>
      <c r="D27" s="46">
        <v>135</v>
      </c>
      <c r="E27" s="46" t="s">
        <v>94</v>
      </c>
      <c r="F27" s="46">
        <v>35</v>
      </c>
      <c r="G27" s="46" t="s">
        <v>1603</v>
      </c>
      <c r="H27" s="1">
        <v>15</v>
      </c>
      <c r="I27" s="46" t="s">
        <v>1486</v>
      </c>
      <c r="J27" s="46">
        <v>162</v>
      </c>
      <c r="K27" s="69">
        <v>6.2</v>
      </c>
      <c r="O27">
        <v>10</v>
      </c>
      <c r="P27" t="s">
        <v>619</v>
      </c>
      <c r="Q27">
        <v>150</v>
      </c>
      <c r="R27">
        <v>4.2</v>
      </c>
      <c r="Z27" t="s">
        <v>1604</v>
      </c>
      <c r="AG27">
        <v>2</v>
      </c>
      <c r="AH27">
        <v>2023</v>
      </c>
      <c r="AI27">
        <v>1</v>
      </c>
      <c r="AJ27">
        <v>1</v>
      </c>
      <c r="AM27" s="1">
        <v>41</v>
      </c>
      <c r="AN27" s="46" t="s">
        <v>1400</v>
      </c>
    </row>
    <row r="28" spans="1:43" x14ac:dyDescent="0.25">
      <c r="A28" s="40"/>
      <c r="B28" s="46" t="s">
        <v>1598</v>
      </c>
      <c r="C28" t="s">
        <v>163</v>
      </c>
      <c r="D28" s="46">
        <v>40</v>
      </c>
      <c r="E28" s="46" t="s">
        <v>94</v>
      </c>
      <c r="F28" s="46">
        <v>20</v>
      </c>
      <c r="G28" s="46" t="s">
        <v>1607</v>
      </c>
      <c r="H28" s="1">
        <v>11</v>
      </c>
      <c r="I28" s="46" t="s">
        <v>109</v>
      </c>
      <c r="J28" s="46">
        <v>126</v>
      </c>
      <c r="K28" s="69">
        <v>3.6</v>
      </c>
      <c r="L28" t="s">
        <v>566</v>
      </c>
      <c r="O28" s="40"/>
      <c r="P28" s="40"/>
      <c r="Q28" s="40"/>
      <c r="R28" s="40"/>
      <c r="S28" s="40"/>
      <c r="T28" s="40"/>
      <c r="U28" s="40"/>
      <c r="V28" s="40"/>
      <c r="W28" s="40"/>
      <c r="X28" s="40"/>
      <c r="Y28" s="40"/>
      <c r="Z28" s="40"/>
      <c r="AA28" s="40"/>
      <c r="AB28" s="40"/>
      <c r="AC28" s="40"/>
      <c r="AD28" s="40"/>
      <c r="AE28" s="40"/>
      <c r="AF28" s="40"/>
      <c r="AG28" s="40">
        <v>2</v>
      </c>
      <c r="AH28">
        <v>2023</v>
      </c>
      <c r="AI28" s="40">
        <v>1</v>
      </c>
      <c r="AJ28">
        <v>1</v>
      </c>
      <c r="AK28" s="40"/>
    </row>
    <row r="29" spans="1:43" x14ac:dyDescent="0.25">
      <c r="B29" s="46" t="s">
        <v>1598</v>
      </c>
      <c r="C29" t="s">
        <v>146</v>
      </c>
      <c r="D29" s="46">
        <v>39</v>
      </c>
      <c r="E29" s="46" t="s">
        <v>94</v>
      </c>
      <c r="F29" s="46">
        <v>20</v>
      </c>
      <c r="G29" s="46" t="s">
        <v>1608</v>
      </c>
      <c r="H29" s="1">
        <v>7</v>
      </c>
      <c r="I29" s="46" t="s">
        <v>121</v>
      </c>
      <c r="J29" s="46">
        <v>136</v>
      </c>
      <c r="K29" s="69">
        <v>4.3</v>
      </c>
      <c r="L29" t="s">
        <v>1405</v>
      </c>
      <c r="O29" s="40">
        <v>2</v>
      </c>
      <c r="P29" s="40" t="s">
        <v>1156</v>
      </c>
      <c r="Q29" s="40">
        <v>117</v>
      </c>
      <c r="R29" s="40">
        <v>4.2</v>
      </c>
      <c r="S29" s="40" t="s">
        <v>1405</v>
      </c>
      <c r="T29" s="40"/>
      <c r="U29" s="40"/>
      <c r="V29" s="40"/>
      <c r="W29" s="40"/>
      <c r="X29" s="40"/>
      <c r="Y29" s="40"/>
      <c r="Z29" s="40"/>
      <c r="AA29" s="40"/>
      <c r="AB29" s="40"/>
      <c r="AC29" s="40"/>
      <c r="AD29" s="40"/>
      <c r="AE29" s="40"/>
      <c r="AF29" s="40"/>
      <c r="AG29" s="40">
        <v>2</v>
      </c>
      <c r="AH29">
        <v>2023</v>
      </c>
      <c r="AI29" s="40">
        <v>1</v>
      </c>
      <c r="AJ29">
        <v>1</v>
      </c>
      <c r="AK29" s="40"/>
    </row>
    <row r="30" spans="1:43" x14ac:dyDescent="0.25">
      <c r="A30" s="40"/>
      <c r="B30" s="46" t="s">
        <v>1598</v>
      </c>
      <c r="C30" t="s">
        <v>146</v>
      </c>
      <c r="D30" s="46">
        <v>27</v>
      </c>
      <c r="E30" s="46" t="s">
        <v>93</v>
      </c>
      <c r="F30" s="46">
        <v>10</v>
      </c>
      <c r="G30" s="46" t="s">
        <v>1609</v>
      </c>
      <c r="H30" s="1">
        <v>2</v>
      </c>
      <c r="I30" s="46" t="s">
        <v>113</v>
      </c>
      <c r="J30" s="46">
        <v>100</v>
      </c>
      <c r="K30" s="69">
        <v>2.2000000000000002</v>
      </c>
      <c r="L30" t="s">
        <v>637</v>
      </c>
      <c r="O30" s="40">
        <v>6</v>
      </c>
      <c r="P30" s="40" t="s">
        <v>109</v>
      </c>
      <c r="Q30" s="40">
        <v>126</v>
      </c>
      <c r="R30" s="40">
        <v>3.8</v>
      </c>
      <c r="S30" s="40" t="s">
        <v>587</v>
      </c>
      <c r="T30" s="40"/>
      <c r="U30" s="40"/>
      <c r="V30" s="40"/>
      <c r="W30" s="40"/>
      <c r="X30" s="40"/>
      <c r="Y30" s="40"/>
      <c r="Z30" s="40"/>
      <c r="AA30" s="40"/>
      <c r="AB30" s="40"/>
      <c r="AC30" s="40"/>
      <c r="AD30" s="40"/>
      <c r="AE30" s="40"/>
      <c r="AF30" s="40"/>
      <c r="AG30" s="40">
        <v>1</v>
      </c>
      <c r="AH30">
        <v>2023</v>
      </c>
      <c r="AI30" s="40">
        <v>1</v>
      </c>
      <c r="AJ30">
        <v>1</v>
      </c>
      <c r="AK30" s="40"/>
    </row>
    <row r="31" spans="1:43" x14ac:dyDescent="0.25">
      <c r="B31" s="46" t="s">
        <v>1598</v>
      </c>
      <c r="C31" t="s">
        <v>1247</v>
      </c>
      <c r="D31" s="46">
        <v>266</v>
      </c>
      <c r="E31" t="s">
        <v>94</v>
      </c>
      <c r="F31">
        <v>30</v>
      </c>
      <c r="G31" t="s">
        <v>1470</v>
      </c>
      <c r="H31" s="1">
        <v>59</v>
      </c>
      <c r="I31" t="s">
        <v>1559</v>
      </c>
      <c r="J31">
        <v>136</v>
      </c>
      <c r="K31" s="24">
        <v>4.5</v>
      </c>
      <c r="O31" s="40"/>
      <c r="P31" s="40"/>
      <c r="Q31" s="40"/>
      <c r="R31" s="40"/>
      <c r="S31" s="40"/>
      <c r="T31" s="40"/>
      <c r="U31" s="40"/>
      <c r="V31" s="40"/>
      <c r="W31" s="40"/>
      <c r="X31" s="40"/>
      <c r="Y31" s="40"/>
      <c r="Z31" s="40"/>
      <c r="AA31" s="40"/>
      <c r="AB31" s="40"/>
      <c r="AC31" s="40"/>
      <c r="AD31" s="40"/>
      <c r="AE31" s="40"/>
      <c r="AF31" s="40"/>
      <c r="AG31" s="40">
        <v>2</v>
      </c>
      <c r="AH31">
        <v>2023</v>
      </c>
      <c r="AI31" s="40">
        <v>1</v>
      </c>
      <c r="AJ31">
        <v>1</v>
      </c>
      <c r="AK31" s="40"/>
    </row>
    <row r="32" spans="1:43" x14ac:dyDescent="0.25">
      <c r="A32" s="40"/>
      <c r="B32" s="46" t="s">
        <v>1610</v>
      </c>
      <c r="C32" t="s">
        <v>1186</v>
      </c>
      <c r="D32" s="46">
        <v>43</v>
      </c>
      <c r="E32" s="46" t="s">
        <v>94</v>
      </c>
      <c r="F32" s="46">
        <v>30</v>
      </c>
      <c r="G32" s="46" t="s">
        <v>1187</v>
      </c>
      <c r="H32" s="1">
        <v>10</v>
      </c>
      <c r="I32" s="46" t="s">
        <v>121</v>
      </c>
      <c r="J32" s="46">
        <v>136</v>
      </c>
      <c r="K32" s="69">
        <v>4.3</v>
      </c>
      <c r="L32" t="s">
        <v>1405</v>
      </c>
      <c r="O32" s="40"/>
      <c r="P32" s="40"/>
      <c r="Q32" s="40"/>
      <c r="R32" s="40"/>
      <c r="S32" s="40"/>
      <c r="T32" s="40"/>
      <c r="U32" s="40"/>
      <c r="V32" s="40"/>
      <c r="W32" s="40"/>
      <c r="X32" s="40"/>
      <c r="Y32" s="40"/>
      <c r="Z32" s="40"/>
      <c r="AA32" s="40"/>
      <c r="AB32" s="40"/>
      <c r="AC32" s="40"/>
      <c r="AD32" s="40"/>
      <c r="AE32" s="40"/>
      <c r="AF32" s="40"/>
      <c r="AG32" s="40">
        <v>2</v>
      </c>
      <c r="AH32">
        <v>2023</v>
      </c>
      <c r="AI32" s="40">
        <v>1</v>
      </c>
      <c r="AJ32">
        <v>1</v>
      </c>
      <c r="AK32" s="40"/>
    </row>
    <row r="33" spans="1:37" ht="15.75" customHeight="1" x14ac:dyDescent="0.25">
      <c r="A33" s="40"/>
      <c r="B33" s="46" t="s">
        <v>1611</v>
      </c>
      <c r="C33" t="s">
        <v>166</v>
      </c>
      <c r="D33" s="46">
        <v>104</v>
      </c>
      <c r="E33" s="46" t="s">
        <v>93</v>
      </c>
      <c r="F33" s="46">
        <v>10</v>
      </c>
      <c r="G33" s="46" t="s">
        <v>1617</v>
      </c>
      <c r="H33" s="1">
        <v>23</v>
      </c>
      <c r="I33" s="46" t="s">
        <v>1400</v>
      </c>
      <c r="J33" s="46">
        <v>150</v>
      </c>
      <c r="K33" s="69">
        <v>4.5</v>
      </c>
      <c r="O33" s="40"/>
      <c r="P33" s="40"/>
      <c r="Q33" s="40"/>
      <c r="R33" s="40"/>
      <c r="S33" s="40"/>
      <c r="T33" s="40"/>
      <c r="U33" s="40"/>
      <c r="V33" s="40"/>
      <c r="W33" s="40"/>
      <c r="X33" s="40"/>
      <c r="Y33" s="40"/>
      <c r="Z33" s="40"/>
      <c r="AA33" s="40"/>
      <c r="AB33" s="40"/>
      <c r="AC33" s="40"/>
      <c r="AD33" s="40"/>
      <c r="AE33" s="40"/>
      <c r="AF33" s="40"/>
      <c r="AG33" s="40"/>
      <c r="AH33">
        <v>2023</v>
      </c>
      <c r="AI33" s="40">
        <v>1</v>
      </c>
      <c r="AJ33">
        <v>1</v>
      </c>
      <c r="AK33" s="40"/>
    </row>
    <row r="34" spans="1:37" x14ac:dyDescent="0.25">
      <c r="A34" s="40"/>
      <c r="B34" s="46" t="s">
        <v>1612</v>
      </c>
      <c r="C34" t="s">
        <v>141</v>
      </c>
      <c r="D34" s="46">
        <v>104</v>
      </c>
      <c r="E34" s="46" t="s">
        <v>94</v>
      </c>
      <c r="F34" s="46">
        <v>20</v>
      </c>
      <c r="G34" s="46" t="s">
        <v>1618</v>
      </c>
      <c r="H34" s="1">
        <v>23</v>
      </c>
      <c r="I34" s="46" t="s">
        <v>1400</v>
      </c>
      <c r="J34" s="46">
        <v>150</v>
      </c>
      <c r="K34" s="69">
        <v>4.5</v>
      </c>
      <c r="O34" s="40"/>
      <c r="P34" s="40"/>
      <c r="Q34" s="40"/>
      <c r="R34" s="40"/>
      <c r="S34" s="40"/>
      <c r="T34" s="40"/>
      <c r="U34" s="40"/>
      <c r="V34" s="40"/>
      <c r="W34" s="40"/>
      <c r="X34" s="40"/>
      <c r="Y34" s="40"/>
      <c r="Z34" s="40"/>
      <c r="AA34" s="40"/>
      <c r="AB34" s="40"/>
      <c r="AC34" s="40"/>
      <c r="AD34" s="40"/>
      <c r="AE34" s="40"/>
      <c r="AF34" s="40"/>
      <c r="AG34" s="40">
        <v>4</v>
      </c>
      <c r="AH34">
        <v>2023</v>
      </c>
      <c r="AI34" s="40">
        <v>1</v>
      </c>
      <c r="AJ34">
        <v>1</v>
      </c>
      <c r="AK34" s="40"/>
    </row>
    <row r="35" spans="1:37" x14ac:dyDescent="0.25">
      <c r="A35" s="40"/>
      <c r="B35" s="46" t="s">
        <v>1613</v>
      </c>
      <c r="C35" t="s">
        <v>138</v>
      </c>
      <c r="D35" s="46">
        <v>66</v>
      </c>
      <c r="E35" s="46" t="s">
        <v>94</v>
      </c>
      <c r="F35" s="46">
        <v>25</v>
      </c>
      <c r="G35" s="46" t="s">
        <v>1619</v>
      </c>
      <c r="H35" s="1">
        <v>11</v>
      </c>
      <c r="I35" s="46" t="s">
        <v>1486</v>
      </c>
      <c r="J35" s="46">
        <v>162</v>
      </c>
      <c r="K35" s="69">
        <v>6</v>
      </c>
      <c r="L35" t="s">
        <v>1566</v>
      </c>
      <c r="O35" s="40"/>
      <c r="P35" s="40"/>
      <c r="Q35" s="40"/>
      <c r="R35" s="40"/>
      <c r="S35" s="40"/>
      <c r="T35" s="40"/>
      <c r="U35" s="40"/>
      <c r="V35" s="40"/>
      <c r="W35" s="40"/>
      <c r="X35" s="40"/>
      <c r="Y35" s="40"/>
      <c r="Z35" s="40"/>
      <c r="AA35" s="40"/>
      <c r="AB35" s="40"/>
      <c r="AC35" s="40"/>
      <c r="AD35" s="40"/>
      <c r="AE35" s="40"/>
      <c r="AF35" s="40"/>
      <c r="AG35" s="40">
        <v>3</v>
      </c>
      <c r="AH35">
        <v>2023</v>
      </c>
      <c r="AI35" s="40">
        <v>1</v>
      </c>
      <c r="AJ35">
        <v>1</v>
      </c>
      <c r="AK35" s="40"/>
    </row>
    <row r="36" spans="1:37" x14ac:dyDescent="0.25">
      <c r="A36" s="40"/>
      <c r="B36" s="46" t="s">
        <v>1614</v>
      </c>
      <c r="C36" t="s">
        <v>1247</v>
      </c>
      <c r="D36" s="46">
        <v>185</v>
      </c>
      <c r="E36" s="46" t="s">
        <v>94</v>
      </c>
      <c r="H36" s="1">
        <v>41</v>
      </c>
      <c r="I36" s="46" t="s">
        <v>1400</v>
      </c>
      <c r="J36" s="46">
        <v>150</v>
      </c>
      <c r="K36" s="69">
        <v>4.5</v>
      </c>
      <c r="O36" s="40"/>
      <c r="P36" s="40"/>
      <c r="Q36" s="40"/>
      <c r="R36" s="40"/>
      <c r="S36" s="40"/>
      <c r="T36" s="40"/>
      <c r="U36" s="40"/>
      <c r="V36" s="40"/>
      <c r="W36" s="40"/>
      <c r="X36" s="40"/>
      <c r="Y36" s="40"/>
      <c r="Z36" s="40"/>
      <c r="AA36" s="40"/>
      <c r="AB36" s="40"/>
      <c r="AC36" s="40"/>
      <c r="AD36" s="40"/>
      <c r="AE36" s="40"/>
      <c r="AF36" s="40"/>
      <c r="AG36" s="40">
        <v>3</v>
      </c>
      <c r="AH36">
        <v>2023</v>
      </c>
      <c r="AI36" s="40">
        <v>1</v>
      </c>
      <c r="AJ36">
        <v>1</v>
      </c>
      <c r="AK36" s="40"/>
    </row>
    <row r="37" spans="1:37" x14ac:dyDescent="0.25">
      <c r="B37" s="46" t="s">
        <v>1615</v>
      </c>
      <c r="C37" t="s">
        <v>1616</v>
      </c>
      <c r="D37" s="46">
        <v>74</v>
      </c>
      <c r="E37" s="46" t="s">
        <v>94</v>
      </c>
      <c r="F37" s="46">
        <v>35</v>
      </c>
      <c r="G37" s="46" t="s">
        <v>1623</v>
      </c>
      <c r="H37" s="1">
        <v>12</v>
      </c>
      <c r="I37" s="46" t="s">
        <v>1486</v>
      </c>
      <c r="J37" s="46">
        <v>162</v>
      </c>
      <c r="K37" s="69">
        <v>6.2</v>
      </c>
      <c r="AF37" t="s">
        <v>1624</v>
      </c>
      <c r="AG37">
        <v>2</v>
      </c>
      <c r="AH37">
        <v>2023</v>
      </c>
      <c r="AI37" s="40">
        <v>1</v>
      </c>
      <c r="AJ37">
        <v>1</v>
      </c>
    </row>
    <row r="38" spans="1:37" x14ac:dyDescent="0.25">
      <c r="A38" s="40"/>
      <c r="B38" s="99" t="s">
        <v>1647</v>
      </c>
      <c r="C38" s="100" t="s">
        <v>1247</v>
      </c>
      <c r="D38" s="44">
        <v>300</v>
      </c>
      <c r="E38" s="44" t="s">
        <v>94</v>
      </c>
      <c r="F38" s="44">
        <v>10</v>
      </c>
      <c r="G38" s="44" t="s">
        <v>1648</v>
      </c>
      <c r="H38" s="1">
        <v>50</v>
      </c>
      <c r="I38" s="44" t="s">
        <v>1486</v>
      </c>
      <c r="J38" s="44">
        <v>162</v>
      </c>
      <c r="K38" s="101">
        <v>6</v>
      </c>
      <c r="L38" t="s">
        <v>1566</v>
      </c>
      <c r="AG38" s="40">
        <v>3</v>
      </c>
      <c r="AH38">
        <v>2023</v>
      </c>
      <c r="AI38" s="40">
        <v>1</v>
      </c>
      <c r="AJ38">
        <v>1</v>
      </c>
    </row>
    <row r="39" spans="1:37" x14ac:dyDescent="0.25">
      <c r="M39" s="46"/>
      <c r="O39" s="1"/>
    </row>
    <row r="46" spans="1:37" x14ac:dyDescent="0.25">
      <c r="B46" s="5" t="s">
        <v>1649</v>
      </c>
      <c r="C46" s="6" t="s">
        <v>1650</v>
      </c>
      <c r="D46" s="7" t="s">
        <v>1651</v>
      </c>
    </row>
    <row r="47" spans="1:37" x14ac:dyDescent="0.25">
      <c r="B47" s="13" t="s">
        <v>1638</v>
      </c>
      <c r="C47" s="14" t="s">
        <v>605</v>
      </c>
      <c r="D47" s="15">
        <f>SUMIF(C$2:C$38,C47,D$2:D$38)</f>
        <v>42</v>
      </c>
    </row>
    <row r="48" spans="1:37" x14ac:dyDescent="0.25">
      <c r="B48" s="10" t="s">
        <v>1638</v>
      </c>
      <c r="C48" s="102" t="s">
        <v>1140</v>
      </c>
      <c r="D48" s="12">
        <f t="shared" ref="D48:D64" si="0">SUMIF(C$2:C$38,C48,D$2:D$38)</f>
        <v>295</v>
      </c>
    </row>
    <row r="49" spans="2:6" x14ac:dyDescent="0.25">
      <c r="B49" s="13" t="s">
        <v>1641</v>
      </c>
      <c r="C49" s="103" t="s">
        <v>144</v>
      </c>
      <c r="D49" s="15">
        <f t="shared" si="0"/>
        <v>76</v>
      </c>
    </row>
    <row r="50" spans="2:6" x14ac:dyDescent="0.25">
      <c r="B50" s="10" t="s">
        <v>1641</v>
      </c>
      <c r="C50" s="11" t="s">
        <v>1186</v>
      </c>
      <c r="D50" s="12">
        <f t="shared" si="0"/>
        <v>43</v>
      </c>
    </row>
    <row r="51" spans="2:6" x14ac:dyDescent="0.25">
      <c r="B51" s="13" t="s">
        <v>1639</v>
      </c>
      <c r="C51" s="14" t="s">
        <v>163</v>
      </c>
      <c r="D51" s="15">
        <f t="shared" si="0"/>
        <v>40</v>
      </c>
      <c r="F51">
        <f>SQRT(D51)/5</f>
        <v>1.2649110640673518</v>
      </c>
    </row>
    <row r="52" spans="2:6" x14ac:dyDescent="0.25">
      <c r="B52" s="8" t="s">
        <v>1639</v>
      </c>
      <c r="C52" s="46" t="s">
        <v>1541</v>
      </c>
      <c r="D52" s="9">
        <f t="shared" si="0"/>
        <v>60</v>
      </c>
      <c r="F52">
        <f t="shared" ref="F52:F61" si="1">SQRT(D52)/5</f>
        <v>1.5491933384829668</v>
      </c>
    </row>
    <row r="53" spans="2:6" x14ac:dyDescent="0.25">
      <c r="B53" s="8" t="s">
        <v>1639</v>
      </c>
      <c r="C53" s="44" t="s">
        <v>318</v>
      </c>
      <c r="D53" s="9">
        <f t="shared" si="0"/>
        <v>315</v>
      </c>
      <c r="F53">
        <f t="shared" si="1"/>
        <v>3.5496478698597698</v>
      </c>
    </row>
    <row r="54" spans="2:6" x14ac:dyDescent="0.25">
      <c r="B54" s="8" t="s">
        <v>1639</v>
      </c>
      <c r="C54" s="44" t="s">
        <v>138</v>
      </c>
      <c r="D54" s="9">
        <f t="shared" si="0"/>
        <v>108</v>
      </c>
      <c r="F54">
        <f t="shared" si="1"/>
        <v>2.078460969082653</v>
      </c>
    </row>
    <row r="55" spans="2:6" x14ac:dyDescent="0.25">
      <c r="B55" s="8" t="s">
        <v>1639</v>
      </c>
      <c r="C55" s="46" t="s">
        <v>148</v>
      </c>
      <c r="D55" s="9">
        <f t="shared" si="0"/>
        <v>36</v>
      </c>
      <c r="F55">
        <f t="shared" si="1"/>
        <v>1.2</v>
      </c>
    </row>
    <row r="56" spans="2:6" x14ac:dyDescent="0.25">
      <c r="B56" s="8" t="s">
        <v>1639</v>
      </c>
      <c r="C56" t="s">
        <v>162</v>
      </c>
      <c r="D56" s="9">
        <f t="shared" si="0"/>
        <v>30</v>
      </c>
      <c r="F56">
        <f t="shared" si="1"/>
        <v>1.0954451150103321</v>
      </c>
    </row>
    <row r="57" spans="2:6" x14ac:dyDescent="0.25">
      <c r="B57" s="8" t="s">
        <v>1639</v>
      </c>
      <c r="C57" s="46" t="s">
        <v>146</v>
      </c>
      <c r="D57" s="9">
        <f t="shared" si="0"/>
        <v>324</v>
      </c>
      <c r="F57">
        <f t="shared" si="1"/>
        <v>3.6</v>
      </c>
    </row>
    <row r="58" spans="2:6" x14ac:dyDescent="0.25">
      <c r="B58" s="8" t="s">
        <v>1639</v>
      </c>
      <c r="C58" t="s">
        <v>1616</v>
      </c>
      <c r="D58" s="9">
        <f t="shared" si="0"/>
        <v>74</v>
      </c>
      <c r="F58">
        <f t="shared" si="1"/>
        <v>1.7204650534085253</v>
      </c>
    </row>
    <row r="59" spans="2:6" x14ac:dyDescent="0.25">
      <c r="B59" s="8" t="s">
        <v>1639</v>
      </c>
      <c r="C59" t="s">
        <v>161</v>
      </c>
      <c r="D59" s="9">
        <f t="shared" si="0"/>
        <v>73</v>
      </c>
      <c r="F59">
        <f t="shared" si="1"/>
        <v>1.708800749063506</v>
      </c>
    </row>
    <row r="60" spans="2:6" x14ac:dyDescent="0.25">
      <c r="B60" s="8" t="s">
        <v>1639</v>
      </c>
      <c r="C60" t="s">
        <v>166</v>
      </c>
      <c r="D60" s="9">
        <f t="shared" si="0"/>
        <v>104</v>
      </c>
      <c r="F60">
        <f t="shared" si="1"/>
        <v>2.0396078054371136</v>
      </c>
    </row>
    <row r="61" spans="2:6" x14ac:dyDescent="0.25">
      <c r="B61" s="10" t="s">
        <v>1639</v>
      </c>
      <c r="C61" s="11" t="s">
        <v>140</v>
      </c>
      <c r="D61" s="12">
        <f t="shared" si="0"/>
        <v>118</v>
      </c>
      <c r="F61">
        <f t="shared" si="1"/>
        <v>2.1725560982400429</v>
      </c>
    </row>
    <row r="62" spans="2:6" x14ac:dyDescent="0.25">
      <c r="B62" s="32" t="s">
        <v>1419</v>
      </c>
      <c r="C62" s="95" t="s">
        <v>1247</v>
      </c>
      <c r="D62" s="98">
        <f t="shared" si="0"/>
        <v>837</v>
      </c>
    </row>
    <row r="63" spans="2:6" x14ac:dyDescent="0.25">
      <c r="B63" s="13" t="s">
        <v>1640</v>
      </c>
      <c r="C63" s="103" t="s">
        <v>27</v>
      </c>
      <c r="D63" s="15">
        <f t="shared" si="0"/>
        <v>86</v>
      </c>
    </row>
    <row r="64" spans="2:6" x14ac:dyDescent="0.25">
      <c r="B64" s="10" t="s">
        <v>1640</v>
      </c>
      <c r="C64" s="11" t="s">
        <v>141</v>
      </c>
      <c r="D64" s="12">
        <f t="shared" si="0"/>
        <v>1101</v>
      </c>
    </row>
  </sheetData>
  <sortState xmlns:xlrd2="http://schemas.microsoft.com/office/spreadsheetml/2017/richdata2" ref="B47:E64">
    <sortCondition ref="B47:B64"/>
    <sortCondition ref="C47:C64"/>
  </sortState>
  <conditionalFormatting sqref="AC3:AD12">
    <cfRule type="cellIs" dxfId="8" priority="2" operator="equal">
      <formula>1</formula>
    </cfRule>
  </conditionalFormatting>
  <conditionalFormatting sqref="AI13:AJ38">
    <cfRule type="cellIs" dxfId="7" priority="1" operator="equal">
      <formula>1</formula>
    </cfRule>
  </conditionalFormatting>
  <pageMargins left="0.7" right="0.7" top="0.75" bottom="0.75" header="0.3" footer="0.3"/>
  <pageSetup paperSize="9"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6286F-32B6-426B-80E6-581111A2DFE3}">
  <dimension ref="A1:AL260"/>
  <sheetViews>
    <sheetView workbookViewId="0">
      <pane ySplit="1" topLeftCell="A89" activePane="bottomLeft" state="frozen"/>
      <selection pane="bottomLeft" activeCell="E256" sqref="E256"/>
    </sheetView>
  </sheetViews>
  <sheetFormatPr defaultRowHeight="15" x14ac:dyDescent="0.25"/>
  <cols>
    <col min="2" max="2" width="12.42578125" customWidth="1"/>
    <col min="3" max="3" width="13.5703125" customWidth="1"/>
    <col min="5" max="5" width="12" customWidth="1"/>
    <col min="6" max="6" width="8.28515625" customWidth="1"/>
    <col min="7" max="7" width="14.140625" bestFit="1" customWidth="1"/>
    <col min="9" max="9" width="12.140625" bestFit="1" customWidth="1"/>
    <col min="11" max="11" width="10.5703125" customWidth="1"/>
    <col min="15" max="15" width="4.42578125" customWidth="1"/>
    <col min="16" max="16" width="14.140625" bestFit="1" customWidth="1"/>
    <col min="21" max="21" width="4.7109375" customWidth="1"/>
    <col min="22" max="22" width="14.140625" bestFit="1" customWidth="1"/>
    <col min="27" max="27" width="5.7109375" customWidth="1"/>
    <col min="35" max="35" width="6.140625" customWidth="1"/>
    <col min="36" max="36" width="4.85546875" customWidth="1"/>
  </cols>
  <sheetData>
    <row r="1" spans="1:38" s="11" customFormat="1" x14ac:dyDescent="0.25">
      <c r="B1" s="143" t="s">
        <v>86</v>
      </c>
      <c r="C1" s="143" t="s">
        <v>87</v>
      </c>
      <c r="D1" s="143" t="s">
        <v>88</v>
      </c>
      <c r="E1" s="143" t="s">
        <v>98</v>
      </c>
      <c r="F1" s="143" t="s">
        <v>100</v>
      </c>
      <c r="G1" s="143" t="s">
        <v>89</v>
      </c>
      <c r="H1" s="143" t="s">
        <v>91</v>
      </c>
      <c r="I1" s="143" t="s">
        <v>90</v>
      </c>
      <c r="J1" s="143" t="s">
        <v>131</v>
      </c>
      <c r="K1" s="143" t="s">
        <v>130</v>
      </c>
      <c r="L1" s="143" t="s">
        <v>103</v>
      </c>
      <c r="M1" s="143" t="s">
        <v>101</v>
      </c>
      <c r="N1" s="143" t="s">
        <v>107</v>
      </c>
      <c r="O1" s="143" t="s">
        <v>91</v>
      </c>
      <c r="P1" s="143" t="s">
        <v>105</v>
      </c>
      <c r="Q1" s="143" t="s">
        <v>131</v>
      </c>
      <c r="R1" s="143" t="s">
        <v>130</v>
      </c>
      <c r="S1" s="143" t="s">
        <v>103</v>
      </c>
      <c r="T1" s="143" t="s">
        <v>101</v>
      </c>
      <c r="U1" s="143" t="s">
        <v>91</v>
      </c>
      <c r="V1" s="143" t="s">
        <v>105</v>
      </c>
      <c r="W1" s="143" t="s">
        <v>131</v>
      </c>
      <c r="X1" s="143" t="s">
        <v>130</v>
      </c>
      <c r="Y1" s="143" t="s">
        <v>101</v>
      </c>
      <c r="Z1" s="143" t="s">
        <v>601</v>
      </c>
      <c r="AA1" s="143" t="s">
        <v>91</v>
      </c>
      <c r="AB1" s="143" t="s">
        <v>105</v>
      </c>
      <c r="AC1" s="143" t="s">
        <v>131</v>
      </c>
      <c r="AD1" s="143" t="s">
        <v>130</v>
      </c>
      <c r="AE1" s="143" t="s">
        <v>101</v>
      </c>
      <c r="AF1" s="143" t="s">
        <v>601</v>
      </c>
      <c r="AG1" s="143" t="s">
        <v>1630</v>
      </c>
      <c r="AH1" s="143" t="s">
        <v>1631</v>
      </c>
      <c r="AI1" s="143" t="s">
        <v>1632</v>
      </c>
      <c r="AJ1" s="11" t="s">
        <v>1633</v>
      </c>
      <c r="AL1" s="143" t="s">
        <v>1794</v>
      </c>
    </row>
    <row r="2" spans="1:38" x14ac:dyDescent="0.25">
      <c r="B2" t="s">
        <v>1976</v>
      </c>
      <c r="C2" t="s">
        <v>69</v>
      </c>
      <c r="D2">
        <v>384</v>
      </c>
      <c r="E2" t="s">
        <v>94</v>
      </c>
      <c r="F2">
        <v>20</v>
      </c>
      <c r="G2" t="s">
        <v>541</v>
      </c>
      <c r="H2">
        <v>64</v>
      </c>
      <c r="I2" t="s">
        <v>1486</v>
      </c>
      <c r="J2">
        <v>162</v>
      </c>
      <c r="K2">
        <v>6</v>
      </c>
      <c r="L2" t="s">
        <v>1981</v>
      </c>
      <c r="AG2">
        <v>1</v>
      </c>
      <c r="AH2">
        <v>2026</v>
      </c>
      <c r="AI2">
        <f>COUNTIF($I$177:$I$213,I2)</f>
        <v>1</v>
      </c>
      <c r="AJ2">
        <f>COUNTIF($C$176:$C$210,C2)</f>
        <v>1</v>
      </c>
      <c r="AK2">
        <f>COUNTIF($C$232:$C$266,C2)</f>
        <v>1</v>
      </c>
      <c r="AL2">
        <f>_xlfn.DAYS(DATE(AH2,AG2*3-2,1),DATE(RIGHT(B2,4),MID(B2,4,2),LEFT(B2,2)))</f>
        <v>344</v>
      </c>
    </row>
    <row r="3" spans="1:38" x14ac:dyDescent="0.25">
      <c r="B3" t="s">
        <v>1977</v>
      </c>
      <c r="C3" t="s">
        <v>138</v>
      </c>
      <c r="D3">
        <v>62</v>
      </c>
      <c r="E3" t="s">
        <v>93</v>
      </c>
      <c r="F3">
        <v>20</v>
      </c>
      <c r="G3" t="s">
        <v>1985</v>
      </c>
      <c r="H3">
        <v>11</v>
      </c>
      <c r="I3" t="s">
        <v>1664</v>
      </c>
      <c r="J3">
        <v>150</v>
      </c>
      <c r="K3">
        <v>5.6</v>
      </c>
      <c r="L3" t="s">
        <v>1982</v>
      </c>
      <c r="AG3">
        <v>4</v>
      </c>
      <c r="AH3">
        <v>2026</v>
      </c>
      <c r="AI3">
        <f t="shared" ref="AI3:AI66" si="0">COUNTIF($I$177:$I$213,I3)</f>
        <v>1</v>
      </c>
      <c r="AJ3">
        <f t="shared" ref="AJ3:AJ66" si="1">COUNTIF($C$176:$C$210,C3)</f>
        <v>1</v>
      </c>
      <c r="AK3">
        <f t="shared" ref="AK3:AK66" si="2">COUNTIF($C$232:$C$266,C3)</f>
        <v>1</v>
      </c>
      <c r="AL3">
        <f t="shared" ref="AL3:AL4" si="3">_xlfn.DAYS(DATE(AH3,AG3*3-2,1),DATE(RIGHT(B3,4),MID(B3,4,2),LEFT(B3,2)))</f>
        <v>567</v>
      </c>
    </row>
    <row r="4" spans="1:38" x14ac:dyDescent="0.25">
      <c r="B4" t="s">
        <v>1978</v>
      </c>
      <c r="C4" t="s">
        <v>138</v>
      </c>
      <c r="D4">
        <v>62</v>
      </c>
      <c r="E4" t="s">
        <v>94</v>
      </c>
      <c r="F4">
        <v>20</v>
      </c>
      <c r="G4" t="s">
        <v>1983</v>
      </c>
      <c r="H4">
        <v>10</v>
      </c>
      <c r="I4" t="s">
        <v>1486</v>
      </c>
      <c r="J4">
        <v>162</v>
      </c>
      <c r="K4">
        <v>6.2</v>
      </c>
      <c r="AG4">
        <v>1</v>
      </c>
      <c r="AH4">
        <v>2026</v>
      </c>
      <c r="AI4">
        <f t="shared" si="0"/>
        <v>1</v>
      </c>
      <c r="AJ4">
        <f t="shared" si="1"/>
        <v>1</v>
      </c>
      <c r="AK4">
        <f t="shared" si="2"/>
        <v>1</v>
      </c>
      <c r="AL4">
        <f t="shared" si="3"/>
        <v>281</v>
      </c>
    </row>
    <row r="5" spans="1:38" x14ac:dyDescent="0.25">
      <c r="B5" t="s">
        <v>1979</v>
      </c>
      <c r="C5" t="s">
        <v>1140</v>
      </c>
      <c r="D5">
        <v>495</v>
      </c>
      <c r="G5" t="s">
        <v>570</v>
      </c>
      <c r="H5">
        <v>33</v>
      </c>
      <c r="I5" t="s">
        <v>1776</v>
      </c>
      <c r="J5">
        <v>236</v>
      </c>
      <c r="K5">
        <v>15</v>
      </c>
      <c r="AF5" t="s">
        <v>881</v>
      </c>
      <c r="AG5">
        <v>2</v>
      </c>
      <c r="AH5">
        <v>2027</v>
      </c>
      <c r="AI5">
        <f t="shared" si="0"/>
        <v>1</v>
      </c>
      <c r="AJ5">
        <f t="shared" si="1"/>
        <v>1</v>
      </c>
      <c r="AK5">
        <f t="shared" si="2"/>
        <v>1</v>
      </c>
      <c r="AL5">
        <f t="shared" ref="AL5:AL6" si="4">_xlfn.DAYS(DATE(AH5,AG5*3-2,1),DATE(RIGHT(B5,4),MID(B5,4,2),LEFT(B5,2)))</f>
        <v>734</v>
      </c>
    </row>
    <row r="6" spans="1:38" x14ac:dyDescent="0.25">
      <c r="B6" t="s">
        <v>1980</v>
      </c>
      <c r="C6" t="s">
        <v>146</v>
      </c>
      <c r="D6">
        <v>50</v>
      </c>
      <c r="F6">
        <v>10</v>
      </c>
      <c r="G6" t="s">
        <v>1984</v>
      </c>
      <c r="H6">
        <v>11</v>
      </c>
      <c r="I6" t="s">
        <v>1559</v>
      </c>
      <c r="J6">
        <v>136</v>
      </c>
      <c r="K6">
        <v>4.5</v>
      </c>
      <c r="AG6">
        <v>2</v>
      </c>
      <c r="AH6">
        <v>2026</v>
      </c>
      <c r="AI6">
        <f t="shared" si="0"/>
        <v>1</v>
      </c>
      <c r="AJ6">
        <f t="shared" si="1"/>
        <v>1</v>
      </c>
      <c r="AK6">
        <f t="shared" si="2"/>
        <v>1</v>
      </c>
      <c r="AL6">
        <f t="shared" si="4"/>
        <v>366</v>
      </c>
    </row>
    <row r="7" spans="1:38" x14ac:dyDescent="0.25">
      <c r="B7" t="s">
        <v>1980</v>
      </c>
      <c r="C7" t="s">
        <v>138</v>
      </c>
      <c r="D7">
        <v>1020</v>
      </c>
      <c r="F7">
        <v>25</v>
      </c>
      <c r="G7" t="s">
        <v>529</v>
      </c>
      <c r="H7">
        <v>68</v>
      </c>
      <c r="I7" t="s">
        <v>1776</v>
      </c>
      <c r="J7">
        <v>236</v>
      </c>
      <c r="K7">
        <v>15</v>
      </c>
      <c r="AG7">
        <v>2</v>
      </c>
      <c r="AH7">
        <v>2027</v>
      </c>
      <c r="AI7">
        <f t="shared" si="0"/>
        <v>1</v>
      </c>
      <c r="AJ7">
        <f t="shared" si="1"/>
        <v>1</v>
      </c>
      <c r="AK7">
        <f t="shared" si="2"/>
        <v>1</v>
      </c>
      <c r="AL7">
        <f t="shared" ref="AL7:AL15" si="5">_xlfn.DAYS(DATE(AH7,AG7*3-2,1),DATE(RIGHT(B7,4),MID(B7,4,2),LEFT(B7,2)))</f>
        <v>731</v>
      </c>
    </row>
    <row r="8" spans="1:38" x14ac:dyDescent="0.25">
      <c r="B8" t="s">
        <v>1980</v>
      </c>
      <c r="C8" t="s">
        <v>138</v>
      </c>
      <c r="D8">
        <v>49</v>
      </c>
      <c r="G8" t="s">
        <v>359</v>
      </c>
      <c r="H8">
        <v>7</v>
      </c>
      <c r="I8" t="s">
        <v>1486</v>
      </c>
      <c r="J8">
        <v>162</v>
      </c>
      <c r="K8">
        <v>6.2</v>
      </c>
      <c r="O8">
        <v>1</v>
      </c>
      <c r="P8" t="s">
        <v>1664</v>
      </c>
      <c r="Q8">
        <v>150</v>
      </c>
      <c r="R8">
        <v>6</v>
      </c>
      <c r="AI8">
        <f t="shared" si="0"/>
        <v>1</v>
      </c>
      <c r="AJ8">
        <f t="shared" si="1"/>
        <v>1</v>
      </c>
      <c r="AK8">
        <f t="shared" si="2"/>
        <v>1</v>
      </c>
      <c r="AL8" t="e">
        <f t="shared" si="5"/>
        <v>#NUM!</v>
      </c>
    </row>
    <row r="9" spans="1:38" x14ac:dyDescent="0.25">
      <c r="B9" t="s">
        <v>1980</v>
      </c>
      <c r="C9" t="s">
        <v>138</v>
      </c>
      <c r="D9">
        <v>29</v>
      </c>
      <c r="G9" t="s">
        <v>359</v>
      </c>
      <c r="H9">
        <v>2</v>
      </c>
      <c r="I9" t="s">
        <v>1664</v>
      </c>
      <c r="J9">
        <v>150</v>
      </c>
      <c r="K9">
        <v>6</v>
      </c>
      <c r="O9">
        <v>2</v>
      </c>
      <c r="P9" t="s">
        <v>1220</v>
      </c>
      <c r="Q9">
        <v>162</v>
      </c>
      <c r="R9">
        <v>5.6</v>
      </c>
      <c r="U9">
        <v>1</v>
      </c>
      <c r="V9" t="s">
        <v>1486</v>
      </c>
      <c r="W9">
        <v>162</v>
      </c>
      <c r="X9">
        <v>6.2</v>
      </c>
      <c r="AI9">
        <f t="shared" si="0"/>
        <v>1</v>
      </c>
      <c r="AJ9">
        <f t="shared" si="1"/>
        <v>1</v>
      </c>
      <c r="AK9">
        <f t="shared" si="2"/>
        <v>1</v>
      </c>
      <c r="AL9" t="e">
        <f t="shared" si="5"/>
        <v>#NUM!</v>
      </c>
    </row>
    <row r="10" spans="1:38" x14ac:dyDescent="0.25">
      <c r="B10" t="s">
        <v>1980</v>
      </c>
      <c r="C10" t="s">
        <v>138</v>
      </c>
      <c r="D10">
        <v>21</v>
      </c>
      <c r="G10" t="s">
        <v>359</v>
      </c>
      <c r="H10">
        <v>5</v>
      </c>
      <c r="I10" t="s">
        <v>619</v>
      </c>
      <c r="J10">
        <v>150</v>
      </c>
      <c r="K10">
        <v>4.2</v>
      </c>
      <c r="AI10">
        <f t="shared" si="0"/>
        <v>1</v>
      </c>
      <c r="AJ10">
        <f t="shared" si="1"/>
        <v>1</v>
      </c>
      <c r="AK10">
        <f t="shared" si="2"/>
        <v>1</v>
      </c>
      <c r="AL10" t="e">
        <f t="shared" si="5"/>
        <v>#NUM!</v>
      </c>
    </row>
    <row r="11" spans="1:38" x14ac:dyDescent="0.25">
      <c r="B11" t="s">
        <v>1980</v>
      </c>
      <c r="C11" t="s">
        <v>138</v>
      </c>
      <c r="D11">
        <v>17</v>
      </c>
      <c r="G11" t="s">
        <v>359</v>
      </c>
      <c r="H11">
        <v>4</v>
      </c>
      <c r="I11" t="s">
        <v>619</v>
      </c>
      <c r="J11">
        <v>150</v>
      </c>
      <c r="K11">
        <v>4.2</v>
      </c>
      <c r="AI11">
        <f t="shared" si="0"/>
        <v>1</v>
      </c>
      <c r="AJ11">
        <f t="shared" si="1"/>
        <v>1</v>
      </c>
      <c r="AK11">
        <f t="shared" si="2"/>
        <v>1</v>
      </c>
      <c r="AL11" t="e">
        <f t="shared" si="5"/>
        <v>#NUM!</v>
      </c>
    </row>
    <row r="12" spans="1:38" x14ac:dyDescent="0.25">
      <c r="B12" t="s">
        <v>1980</v>
      </c>
      <c r="C12" t="s">
        <v>138</v>
      </c>
      <c r="D12">
        <v>12</v>
      </c>
      <c r="G12" t="s">
        <v>359</v>
      </c>
      <c r="H12">
        <v>2</v>
      </c>
      <c r="I12" t="s">
        <v>1664</v>
      </c>
      <c r="J12">
        <v>150</v>
      </c>
      <c r="K12">
        <v>6</v>
      </c>
      <c r="AI12">
        <f t="shared" si="0"/>
        <v>1</v>
      </c>
      <c r="AJ12">
        <f t="shared" si="1"/>
        <v>1</v>
      </c>
      <c r="AK12">
        <f t="shared" si="2"/>
        <v>1</v>
      </c>
      <c r="AL12" t="e">
        <f t="shared" si="5"/>
        <v>#NUM!</v>
      </c>
    </row>
    <row r="13" spans="1:38" x14ac:dyDescent="0.25">
      <c r="B13" t="s">
        <v>1980</v>
      </c>
      <c r="C13" t="s">
        <v>138</v>
      </c>
      <c r="D13">
        <v>12</v>
      </c>
      <c r="G13" t="s">
        <v>359</v>
      </c>
      <c r="H13">
        <v>2</v>
      </c>
      <c r="I13" t="s">
        <v>1486</v>
      </c>
      <c r="J13">
        <v>162</v>
      </c>
      <c r="K13">
        <v>6.2</v>
      </c>
      <c r="AI13">
        <f t="shared" si="0"/>
        <v>1</v>
      </c>
      <c r="AJ13">
        <f t="shared" si="1"/>
        <v>1</v>
      </c>
      <c r="AK13">
        <f t="shared" si="2"/>
        <v>1</v>
      </c>
      <c r="AL13" t="e">
        <f t="shared" si="5"/>
        <v>#NUM!</v>
      </c>
    </row>
    <row r="14" spans="1:38" x14ac:dyDescent="0.25">
      <c r="B14" t="s">
        <v>1980</v>
      </c>
      <c r="C14" t="s">
        <v>138</v>
      </c>
      <c r="D14">
        <v>7</v>
      </c>
      <c r="G14" t="s">
        <v>359</v>
      </c>
      <c r="H14">
        <v>1</v>
      </c>
      <c r="I14" t="s">
        <v>1780</v>
      </c>
      <c r="J14">
        <v>162</v>
      </c>
      <c r="K14">
        <v>7.2</v>
      </c>
      <c r="AI14">
        <f t="shared" si="0"/>
        <v>1</v>
      </c>
      <c r="AJ14">
        <f t="shared" si="1"/>
        <v>1</v>
      </c>
      <c r="AK14">
        <f t="shared" si="2"/>
        <v>1</v>
      </c>
      <c r="AL14" t="e">
        <f t="shared" si="5"/>
        <v>#NUM!</v>
      </c>
    </row>
    <row r="15" spans="1:38" x14ac:dyDescent="0.25">
      <c r="B15" t="s">
        <v>1980</v>
      </c>
      <c r="C15" t="s">
        <v>138</v>
      </c>
      <c r="D15">
        <v>6</v>
      </c>
      <c r="G15" t="s">
        <v>359</v>
      </c>
      <c r="H15">
        <v>1</v>
      </c>
      <c r="I15" t="s">
        <v>1486</v>
      </c>
      <c r="J15">
        <v>162</v>
      </c>
      <c r="K15">
        <v>6</v>
      </c>
      <c r="L15" t="s">
        <v>1981</v>
      </c>
      <c r="AI15">
        <f t="shared" si="0"/>
        <v>1</v>
      </c>
      <c r="AJ15">
        <f t="shared" si="1"/>
        <v>1</v>
      </c>
      <c r="AK15">
        <f t="shared" si="2"/>
        <v>1</v>
      </c>
      <c r="AL15" t="e">
        <f t="shared" si="5"/>
        <v>#NUM!</v>
      </c>
    </row>
    <row r="16" spans="1:38" s="11" customFormat="1" x14ac:dyDescent="0.25">
      <c r="A16" s="11">
        <f>SUM(D2:D16)</f>
        <v>2398</v>
      </c>
      <c r="B16" s="11" t="s">
        <v>1980</v>
      </c>
      <c r="C16" s="11" t="s">
        <v>1247</v>
      </c>
      <c r="D16" s="11">
        <v>172</v>
      </c>
      <c r="E16" s="11" t="s">
        <v>94</v>
      </c>
      <c r="F16" s="11">
        <v>10</v>
      </c>
      <c r="G16" s="11" t="s">
        <v>1986</v>
      </c>
      <c r="H16" s="11">
        <v>27</v>
      </c>
      <c r="I16" s="11" t="s">
        <v>1156</v>
      </c>
      <c r="J16" s="11">
        <v>117</v>
      </c>
      <c r="K16" s="11">
        <v>4.3</v>
      </c>
      <c r="L16" s="11" t="s">
        <v>1987</v>
      </c>
      <c r="AI16">
        <f t="shared" si="0"/>
        <v>1</v>
      </c>
      <c r="AJ16">
        <f t="shared" si="1"/>
        <v>1</v>
      </c>
      <c r="AK16">
        <f t="shared" si="2"/>
        <v>1</v>
      </c>
      <c r="AL16" s="11" t="e">
        <f t="shared" ref="AL16" si="6">_xlfn.DAYS(DATE(AH16,AG16*3-2,1),DATE(RIGHT(B16,4),MID(B16,4,2),LEFT(B16,2)))</f>
        <v>#NUM!</v>
      </c>
    </row>
    <row r="17" spans="1:38" x14ac:dyDescent="0.25">
      <c r="B17" s="153" t="s">
        <v>1988</v>
      </c>
      <c r="C17" s="153" t="s">
        <v>138</v>
      </c>
      <c r="D17" s="153">
        <v>65</v>
      </c>
      <c r="E17" t="s">
        <v>94</v>
      </c>
      <c r="F17">
        <v>20</v>
      </c>
      <c r="G17" t="s">
        <v>1995</v>
      </c>
      <c r="H17" s="153">
        <v>9</v>
      </c>
      <c r="I17" s="153" t="s">
        <v>1780</v>
      </c>
      <c r="J17" s="153">
        <v>162</v>
      </c>
      <c r="K17" s="153">
        <v>7.2</v>
      </c>
      <c r="AG17">
        <v>4</v>
      </c>
      <c r="AH17">
        <v>2026</v>
      </c>
      <c r="AI17">
        <f t="shared" si="0"/>
        <v>1</v>
      </c>
      <c r="AJ17">
        <f t="shared" si="1"/>
        <v>1</v>
      </c>
      <c r="AK17">
        <f t="shared" si="2"/>
        <v>1</v>
      </c>
      <c r="AL17">
        <f t="shared" ref="AL17:AL18" si="7">_xlfn.DAYS(DATE(AH17,AG17*3-2,1),DATE(RIGHT(B17,4),MID(B17,4,2),LEFT(B17,2)))</f>
        <v>514</v>
      </c>
    </row>
    <row r="18" spans="1:38" x14ac:dyDescent="0.25">
      <c r="B18" s="153" t="s">
        <v>1989</v>
      </c>
      <c r="C18" s="153" t="s">
        <v>138</v>
      </c>
      <c r="D18" s="153">
        <v>22</v>
      </c>
      <c r="E18" t="s">
        <v>94</v>
      </c>
      <c r="F18">
        <v>20</v>
      </c>
      <c r="G18" t="s">
        <v>1996</v>
      </c>
      <c r="H18" s="153">
        <v>3</v>
      </c>
      <c r="I18" s="153" t="s">
        <v>1784</v>
      </c>
      <c r="J18" s="153">
        <v>172</v>
      </c>
      <c r="K18" s="153">
        <v>7.2</v>
      </c>
      <c r="AG18">
        <v>4</v>
      </c>
      <c r="AH18">
        <v>2026</v>
      </c>
      <c r="AI18">
        <f t="shared" si="0"/>
        <v>1</v>
      </c>
      <c r="AJ18">
        <f t="shared" si="1"/>
        <v>1</v>
      </c>
      <c r="AK18">
        <f t="shared" si="2"/>
        <v>1</v>
      </c>
      <c r="AL18">
        <f t="shared" si="7"/>
        <v>506</v>
      </c>
    </row>
    <row r="19" spans="1:38" x14ac:dyDescent="0.25">
      <c r="B19" s="153" t="s">
        <v>1989</v>
      </c>
      <c r="C19" s="153" t="s">
        <v>138</v>
      </c>
      <c r="D19" s="153">
        <v>14</v>
      </c>
      <c r="E19" t="s">
        <v>93</v>
      </c>
      <c r="F19">
        <v>20</v>
      </c>
      <c r="G19" t="s">
        <v>1997</v>
      </c>
      <c r="H19" s="153">
        <v>2</v>
      </c>
      <c r="I19" s="153" t="s">
        <v>1784</v>
      </c>
      <c r="J19" s="153">
        <v>172</v>
      </c>
      <c r="K19" s="153">
        <v>7.2</v>
      </c>
      <c r="AI19">
        <f t="shared" si="0"/>
        <v>1</v>
      </c>
      <c r="AJ19">
        <f t="shared" si="1"/>
        <v>1</v>
      </c>
      <c r="AK19">
        <f t="shared" si="2"/>
        <v>1</v>
      </c>
      <c r="AL19" t="e">
        <f t="shared" ref="AL19:AL58" si="8">_xlfn.DAYS(DATE(AH19,AG19*3-2,1),DATE(RIGHT(B19,4),MID(B19,4,2),LEFT(B19,2)))</f>
        <v>#NUM!</v>
      </c>
    </row>
    <row r="20" spans="1:38" x14ac:dyDescent="0.25">
      <c r="B20" s="153" t="s">
        <v>1989</v>
      </c>
      <c r="C20" s="153" t="s">
        <v>138</v>
      </c>
      <c r="D20" s="153">
        <v>48</v>
      </c>
      <c r="E20" t="s">
        <v>94</v>
      </c>
      <c r="F20">
        <v>20</v>
      </c>
      <c r="G20" t="s">
        <v>1998</v>
      </c>
      <c r="H20" s="153">
        <v>8</v>
      </c>
      <c r="I20" s="153" t="s">
        <v>1664</v>
      </c>
      <c r="J20" s="153">
        <v>150</v>
      </c>
      <c r="K20" s="153">
        <v>6</v>
      </c>
      <c r="AI20">
        <f t="shared" si="0"/>
        <v>1</v>
      </c>
      <c r="AJ20">
        <f t="shared" si="1"/>
        <v>1</v>
      </c>
      <c r="AK20">
        <f t="shared" si="2"/>
        <v>1</v>
      </c>
      <c r="AL20" t="e">
        <f t="shared" si="8"/>
        <v>#NUM!</v>
      </c>
    </row>
    <row r="21" spans="1:38" x14ac:dyDescent="0.25">
      <c r="B21" s="153" t="s">
        <v>1990</v>
      </c>
      <c r="C21" s="153" t="s">
        <v>146</v>
      </c>
      <c r="D21" s="153">
        <v>32</v>
      </c>
      <c r="E21" t="s">
        <v>94</v>
      </c>
      <c r="F21">
        <v>25</v>
      </c>
      <c r="H21" s="153">
        <v>5</v>
      </c>
      <c r="I21" s="153" t="s">
        <v>1960</v>
      </c>
      <c r="J21" s="153">
        <v>162</v>
      </c>
      <c r="K21" s="153">
        <v>6.4</v>
      </c>
      <c r="AG21">
        <v>4</v>
      </c>
      <c r="AH21">
        <v>2025</v>
      </c>
      <c r="AI21">
        <f t="shared" si="0"/>
        <v>1</v>
      </c>
      <c r="AJ21">
        <f t="shared" si="1"/>
        <v>1</v>
      </c>
      <c r="AK21">
        <f t="shared" si="2"/>
        <v>1</v>
      </c>
      <c r="AL21">
        <f t="shared" ref="AL21" si="9">_xlfn.DAYS(DATE(AH21,AG21*3-2,1),DATE(RIGHT(B21,4),MID(B21,4,2),LEFT(B21,2)))</f>
        <v>124</v>
      </c>
    </row>
    <row r="22" spans="1:38" x14ac:dyDescent="0.25">
      <c r="B22" s="153" t="s">
        <v>1990</v>
      </c>
      <c r="C22" s="153" t="s">
        <v>146</v>
      </c>
      <c r="D22" s="153">
        <v>95</v>
      </c>
      <c r="E22" t="s">
        <v>93</v>
      </c>
      <c r="G22" t="s">
        <v>1999</v>
      </c>
      <c r="H22" s="153">
        <v>5</v>
      </c>
      <c r="I22" s="153" t="s">
        <v>1960</v>
      </c>
      <c r="J22" s="153">
        <v>162</v>
      </c>
      <c r="K22" s="153">
        <v>6.4</v>
      </c>
      <c r="O22">
        <v>14</v>
      </c>
      <c r="P22" t="s">
        <v>1559</v>
      </c>
      <c r="Q22">
        <v>136</v>
      </c>
      <c r="R22">
        <v>4.5</v>
      </c>
      <c r="AG22">
        <v>2</v>
      </c>
      <c r="AH22">
        <v>2026</v>
      </c>
      <c r="AI22">
        <f t="shared" si="0"/>
        <v>1</v>
      </c>
      <c r="AJ22">
        <f t="shared" si="1"/>
        <v>1</v>
      </c>
      <c r="AK22">
        <f t="shared" si="2"/>
        <v>1</v>
      </c>
      <c r="AL22">
        <f t="shared" si="8"/>
        <v>306</v>
      </c>
    </row>
    <row r="23" spans="1:38" x14ac:dyDescent="0.25">
      <c r="B23" s="153" t="s">
        <v>1991</v>
      </c>
      <c r="C23" s="153" t="s">
        <v>27</v>
      </c>
      <c r="D23" s="153">
        <v>102</v>
      </c>
      <c r="E23" t="s">
        <v>94</v>
      </c>
      <c r="F23">
        <v>10</v>
      </c>
      <c r="H23" s="153">
        <v>16</v>
      </c>
      <c r="I23" s="153" t="s">
        <v>1960</v>
      </c>
      <c r="J23" s="153">
        <v>162</v>
      </c>
      <c r="K23" s="153">
        <v>6.4</v>
      </c>
      <c r="AG23">
        <v>4</v>
      </c>
      <c r="AH23">
        <v>2026</v>
      </c>
      <c r="AI23">
        <f t="shared" si="0"/>
        <v>1</v>
      </c>
      <c r="AJ23">
        <f t="shared" si="1"/>
        <v>1</v>
      </c>
      <c r="AK23">
        <f t="shared" si="2"/>
        <v>1</v>
      </c>
      <c r="AL23">
        <f t="shared" si="8"/>
        <v>485</v>
      </c>
    </row>
    <row r="24" spans="1:38" x14ac:dyDescent="0.25">
      <c r="B24" s="153" t="s">
        <v>1992</v>
      </c>
      <c r="C24" s="153" t="s">
        <v>166</v>
      </c>
      <c r="D24" s="153">
        <v>46</v>
      </c>
      <c r="E24" t="s">
        <v>93</v>
      </c>
      <c r="F24">
        <v>10</v>
      </c>
      <c r="G24" t="s">
        <v>2000</v>
      </c>
      <c r="H24" s="153">
        <v>7</v>
      </c>
      <c r="I24" s="153" t="s">
        <v>1664</v>
      </c>
      <c r="J24" s="153">
        <v>150</v>
      </c>
      <c r="K24" s="153">
        <v>6</v>
      </c>
      <c r="O24">
        <v>2</v>
      </c>
      <c r="P24" t="s">
        <v>119</v>
      </c>
      <c r="Q24">
        <v>110</v>
      </c>
      <c r="R24">
        <v>2.2000000000000002</v>
      </c>
      <c r="AG24">
        <v>4</v>
      </c>
      <c r="AH24">
        <v>2025</v>
      </c>
      <c r="AI24">
        <f t="shared" si="0"/>
        <v>1</v>
      </c>
      <c r="AJ24">
        <f t="shared" si="1"/>
        <v>1</v>
      </c>
      <c r="AK24">
        <f t="shared" si="2"/>
        <v>1</v>
      </c>
      <c r="AL24">
        <f t="shared" si="8"/>
        <v>114</v>
      </c>
    </row>
    <row r="25" spans="1:38" x14ac:dyDescent="0.25">
      <c r="B25" s="153" t="s">
        <v>1993</v>
      </c>
      <c r="C25" s="153" t="s">
        <v>45</v>
      </c>
      <c r="D25" s="153">
        <v>124</v>
      </c>
      <c r="E25" t="s">
        <v>94</v>
      </c>
      <c r="F25">
        <v>10</v>
      </c>
      <c r="G25" t="s">
        <v>220</v>
      </c>
      <c r="H25" s="153">
        <v>20</v>
      </c>
      <c r="I25" s="153" t="s">
        <v>1486</v>
      </c>
      <c r="J25" s="153">
        <v>162</v>
      </c>
      <c r="K25" s="153">
        <v>6.2</v>
      </c>
      <c r="AG25">
        <v>2</v>
      </c>
      <c r="AH25">
        <v>2026</v>
      </c>
      <c r="AI25">
        <f t="shared" si="0"/>
        <v>1</v>
      </c>
      <c r="AJ25">
        <f t="shared" si="1"/>
        <v>1</v>
      </c>
      <c r="AK25">
        <f t="shared" si="2"/>
        <v>1</v>
      </c>
      <c r="AL25">
        <f t="shared" si="8"/>
        <v>288</v>
      </c>
    </row>
    <row r="26" spans="1:38" x14ac:dyDescent="0.25">
      <c r="B26" s="153" t="s">
        <v>1994</v>
      </c>
      <c r="C26" s="153" t="s">
        <v>138</v>
      </c>
      <c r="D26" s="153">
        <v>175</v>
      </c>
      <c r="E26" t="s">
        <v>93</v>
      </c>
      <c r="F26">
        <v>20</v>
      </c>
      <c r="G26" t="s">
        <v>2001</v>
      </c>
      <c r="H26" s="153">
        <v>29</v>
      </c>
      <c r="I26" s="153" t="s">
        <v>1486</v>
      </c>
      <c r="J26" s="153">
        <v>162</v>
      </c>
      <c r="K26" s="153">
        <v>6</v>
      </c>
      <c r="L26" t="s">
        <v>1981</v>
      </c>
      <c r="AG26">
        <v>3</v>
      </c>
      <c r="AH26">
        <v>2026</v>
      </c>
      <c r="AI26">
        <f t="shared" si="0"/>
        <v>1</v>
      </c>
      <c r="AJ26">
        <f t="shared" si="1"/>
        <v>1</v>
      </c>
      <c r="AK26">
        <f t="shared" si="2"/>
        <v>1</v>
      </c>
      <c r="AL26">
        <f t="shared" si="8"/>
        <v>366</v>
      </c>
    </row>
    <row r="27" spans="1:38" x14ac:dyDescent="0.25">
      <c r="B27" s="153" t="s">
        <v>1994</v>
      </c>
      <c r="C27" s="153" t="s">
        <v>206</v>
      </c>
      <c r="D27" s="153">
        <v>50</v>
      </c>
      <c r="E27" t="s">
        <v>94</v>
      </c>
      <c r="F27">
        <v>25</v>
      </c>
      <c r="H27" s="153">
        <v>12</v>
      </c>
      <c r="I27" s="153" t="s">
        <v>1156</v>
      </c>
      <c r="J27" s="153">
        <v>117</v>
      </c>
      <c r="K27" s="153">
        <v>4.2</v>
      </c>
      <c r="AG27">
        <v>3</v>
      </c>
      <c r="AH27">
        <v>2026</v>
      </c>
      <c r="AI27">
        <f t="shared" si="0"/>
        <v>1</v>
      </c>
      <c r="AJ27">
        <f t="shared" si="1"/>
        <v>1</v>
      </c>
      <c r="AK27">
        <f t="shared" si="2"/>
        <v>1</v>
      </c>
      <c r="AL27">
        <f t="shared" si="8"/>
        <v>366</v>
      </c>
    </row>
    <row r="28" spans="1:38" x14ac:dyDescent="0.25">
      <c r="B28" s="153" t="s">
        <v>1994</v>
      </c>
      <c r="C28" s="153" t="s">
        <v>148</v>
      </c>
      <c r="D28" s="153">
        <v>32</v>
      </c>
      <c r="E28" t="s">
        <v>93</v>
      </c>
      <c r="F28">
        <v>20</v>
      </c>
      <c r="H28" s="153">
        <v>7</v>
      </c>
      <c r="I28" s="153" t="s">
        <v>1559</v>
      </c>
      <c r="J28" s="153">
        <v>136</v>
      </c>
      <c r="K28" s="153">
        <v>4.5</v>
      </c>
      <c r="AG28">
        <v>4</v>
      </c>
      <c r="AH28">
        <v>2025</v>
      </c>
      <c r="AI28">
        <f t="shared" si="0"/>
        <v>1</v>
      </c>
      <c r="AJ28">
        <f t="shared" si="1"/>
        <v>1</v>
      </c>
      <c r="AK28">
        <f t="shared" si="2"/>
        <v>1</v>
      </c>
      <c r="AL28">
        <f t="shared" si="8"/>
        <v>93</v>
      </c>
    </row>
    <row r="29" spans="1:38" x14ac:dyDescent="0.25">
      <c r="B29" s="153" t="s">
        <v>1994</v>
      </c>
      <c r="C29" s="153" t="s">
        <v>526</v>
      </c>
      <c r="D29" s="153">
        <v>28</v>
      </c>
      <c r="E29" t="s">
        <v>93</v>
      </c>
      <c r="F29">
        <v>20</v>
      </c>
      <c r="H29" s="153">
        <v>8</v>
      </c>
      <c r="I29" s="153" t="s">
        <v>115</v>
      </c>
      <c r="J29" s="153">
        <v>117</v>
      </c>
      <c r="K29" s="153">
        <v>3.45</v>
      </c>
      <c r="AG29">
        <v>2</v>
      </c>
      <c r="AH29">
        <v>2026</v>
      </c>
      <c r="AI29">
        <f t="shared" si="0"/>
        <v>1</v>
      </c>
      <c r="AJ29">
        <f t="shared" si="1"/>
        <v>1</v>
      </c>
      <c r="AK29">
        <f t="shared" si="2"/>
        <v>1</v>
      </c>
      <c r="AL29">
        <f t="shared" si="8"/>
        <v>275</v>
      </c>
    </row>
    <row r="30" spans="1:38" x14ac:dyDescent="0.25">
      <c r="B30" s="153" t="s">
        <v>1994</v>
      </c>
      <c r="C30" s="153" t="s">
        <v>605</v>
      </c>
      <c r="D30" s="153">
        <v>21</v>
      </c>
      <c r="E30" t="s">
        <v>93</v>
      </c>
      <c r="F30">
        <v>20</v>
      </c>
      <c r="G30" t="s">
        <v>2002</v>
      </c>
      <c r="H30" s="153">
        <v>5</v>
      </c>
      <c r="I30" s="153" t="s">
        <v>1156</v>
      </c>
      <c r="J30" s="153">
        <v>117</v>
      </c>
      <c r="K30" s="153">
        <v>4.2</v>
      </c>
      <c r="AG30">
        <v>1</v>
      </c>
      <c r="AH30">
        <v>2027</v>
      </c>
      <c r="AI30">
        <f t="shared" si="0"/>
        <v>1</v>
      </c>
      <c r="AJ30">
        <f t="shared" si="1"/>
        <v>1</v>
      </c>
      <c r="AK30">
        <f t="shared" si="2"/>
        <v>1</v>
      </c>
      <c r="AL30">
        <f t="shared" si="8"/>
        <v>550</v>
      </c>
    </row>
    <row r="31" spans="1:38" x14ac:dyDescent="0.25">
      <c r="B31" s="153" t="s">
        <v>1994</v>
      </c>
      <c r="C31" t="s">
        <v>526</v>
      </c>
      <c r="D31" s="153">
        <v>143</v>
      </c>
      <c r="E31" t="s">
        <v>94</v>
      </c>
      <c r="F31">
        <v>20</v>
      </c>
      <c r="G31" t="s">
        <v>1607</v>
      </c>
      <c r="H31" s="153">
        <v>23</v>
      </c>
      <c r="I31" s="153" t="s">
        <v>1486</v>
      </c>
      <c r="J31" s="153">
        <v>162</v>
      </c>
      <c r="K31" s="153">
        <v>6.2</v>
      </c>
      <c r="AG31">
        <v>3</v>
      </c>
      <c r="AH31">
        <v>2026</v>
      </c>
      <c r="AI31">
        <f t="shared" si="0"/>
        <v>1</v>
      </c>
      <c r="AJ31">
        <f t="shared" si="1"/>
        <v>1</v>
      </c>
      <c r="AK31">
        <f t="shared" si="2"/>
        <v>1</v>
      </c>
      <c r="AL31">
        <f t="shared" si="8"/>
        <v>366</v>
      </c>
    </row>
    <row r="32" spans="1:38" s="11" customFormat="1" x14ac:dyDescent="0.25">
      <c r="A32" s="11">
        <f>SUM(D17:D32)</f>
        <v>1112</v>
      </c>
      <c r="B32" s="159" t="s">
        <v>1994</v>
      </c>
      <c r="C32" s="11" t="s">
        <v>138</v>
      </c>
      <c r="D32" s="159">
        <v>115</v>
      </c>
      <c r="E32" s="11" t="s">
        <v>94</v>
      </c>
      <c r="F32" s="11">
        <v>25</v>
      </c>
      <c r="G32" s="11" t="s">
        <v>1366</v>
      </c>
      <c r="H32" s="11">
        <v>16</v>
      </c>
      <c r="I32" s="11" t="s">
        <v>1784</v>
      </c>
      <c r="J32" s="11">
        <v>172</v>
      </c>
      <c r="K32" s="11">
        <v>7.2</v>
      </c>
      <c r="AG32" s="11">
        <v>2</v>
      </c>
      <c r="AH32" s="11">
        <v>2027</v>
      </c>
      <c r="AI32">
        <f t="shared" si="0"/>
        <v>1</v>
      </c>
      <c r="AJ32">
        <f t="shared" si="1"/>
        <v>1</v>
      </c>
      <c r="AK32">
        <f t="shared" si="2"/>
        <v>1</v>
      </c>
      <c r="AL32" s="11">
        <f t="shared" si="8"/>
        <v>640</v>
      </c>
    </row>
    <row r="33" spans="2:38" x14ac:dyDescent="0.25">
      <c r="B33" s="153" t="s">
        <v>2003</v>
      </c>
      <c r="C33" s="153" t="s">
        <v>318</v>
      </c>
      <c r="D33" s="153">
        <v>74</v>
      </c>
      <c r="E33" s="153" t="s">
        <v>94</v>
      </c>
      <c r="F33" s="153">
        <v>25</v>
      </c>
      <c r="G33" t="s">
        <v>2017</v>
      </c>
      <c r="H33" s="153">
        <v>12</v>
      </c>
      <c r="I33" s="153" t="s">
        <v>1486</v>
      </c>
      <c r="J33" s="153">
        <v>162</v>
      </c>
      <c r="K33" s="153">
        <v>6.2</v>
      </c>
      <c r="AG33" s="153">
        <v>2</v>
      </c>
      <c r="AH33" s="153">
        <v>2026</v>
      </c>
      <c r="AI33">
        <f t="shared" si="0"/>
        <v>1</v>
      </c>
      <c r="AJ33">
        <f t="shared" si="1"/>
        <v>1</v>
      </c>
      <c r="AK33">
        <f t="shared" si="2"/>
        <v>1</v>
      </c>
      <c r="AL33">
        <f t="shared" si="8"/>
        <v>260</v>
      </c>
    </row>
    <row r="34" spans="2:38" x14ac:dyDescent="0.25">
      <c r="B34" s="153" t="s">
        <v>2004</v>
      </c>
      <c r="C34" s="153" t="s">
        <v>1247</v>
      </c>
      <c r="D34" s="153">
        <v>527</v>
      </c>
      <c r="E34" s="153" t="s">
        <v>94</v>
      </c>
      <c r="F34" s="153">
        <v>5</v>
      </c>
      <c r="H34" s="153">
        <v>117</v>
      </c>
      <c r="I34" s="153" t="s">
        <v>1400</v>
      </c>
      <c r="J34" s="153">
        <v>150</v>
      </c>
      <c r="K34" s="153">
        <v>4.5</v>
      </c>
      <c r="AG34" s="153">
        <v>2</v>
      </c>
      <c r="AH34" s="153">
        <v>2026</v>
      </c>
      <c r="AI34">
        <f t="shared" si="0"/>
        <v>1</v>
      </c>
      <c r="AJ34">
        <f t="shared" si="1"/>
        <v>1</v>
      </c>
      <c r="AK34">
        <f t="shared" si="2"/>
        <v>1</v>
      </c>
      <c r="AL34">
        <f t="shared" si="8"/>
        <v>258</v>
      </c>
    </row>
    <row r="35" spans="2:38" x14ac:dyDescent="0.25">
      <c r="B35" s="153" t="s">
        <v>2005</v>
      </c>
      <c r="C35" s="153" t="s">
        <v>526</v>
      </c>
      <c r="D35" s="153">
        <v>269</v>
      </c>
      <c r="E35" s="153" t="s">
        <v>94</v>
      </c>
      <c r="F35" s="153">
        <v>15</v>
      </c>
      <c r="G35" t="s">
        <v>2018</v>
      </c>
      <c r="H35" s="153">
        <v>42</v>
      </c>
      <c r="I35" s="153" t="s">
        <v>1960</v>
      </c>
      <c r="J35" s="153">
        <v>162</v>
      </c>
      <c r="K35" s="153">
        <v>6.4</v>
      </c>
      <c r="AG35" s="153">
        <v>3</v>
      </c>
      <c r="AH35" s="153">
        <v>2026</v>
      </c>
      <c r="AI35">
        <f t="shared" si="0"/>
        <v>1</v>
      </c>
      <c r="AJ35">
        <f t="shared" si="1"/>
        <v>1</v>
      </c>
      <c r="AK35">
        <f t="shared" si="2"/>
        <v>1</v>
      </c>
      <c r="AL35">
        <f t="shared" si="8"/>
        <v>345</v>
      </c>
    </row>
    <row r="36" spans="2:38" x14ac:dyDescent="0.25">
      <c r="B36" s="153" t="s">
        <v>2006</v>
      </c>
      <c r="C36" s="153" t="s">
        <v>42</v>
      </c>
      <c r="D36" s="153">
        <v>128</v>
      </c>
      <c r="E36" s="153" t="s">
        <v>94</v>
      </c>
      <c r="F36" s="153">
        <v>10</v>
      </c>
      <c r="H36" s="153">
        <v>20</v>
      </c>
      <c r="I36" s="153" t="s">
        <v>1960</v>
      </c>
      <c r="J36" s="153">
        <v>162</v>
      </c>
      <c r="K36" s="153">
        <v>6.4</v>
      </c>
      <c r="AG36" s="153">
        <v>1</v>
      </c>
      <c r="AH36" s="153">
        <v>2027</v>
      </c>
      <c r="AI36">
        <f t="shared" si="0"/>
        <v>1</v>
      </c>
      <c r="AJ36">
        <f t="shared" si="1"/>
        <v>1</v>
      </c>
      <c r="AK36">
        <f t="shared" si="2"/>
        <v>1</v>
      </c>
      <c r="AL36">
        <f t="shared" si="8"/>
        <v>518</v>
      </c>
    </row>
    <row r="37" spans="2:38" x14ac:dyDescent="0.25">
      <c r="B37" s="153" t="s">
        <v>2007</v>
      </c>
      <c r="C37" s="153" t="s">
        <v>138</v>
      </c>
      <c r="D37" s="153">
        <v>74</v>
      </c>
      <c r="E37" s="153" t="s">
        <v>93</v>
      </c>
      <c r="F37" s="153">
        <v>20</v>
      </c>
      <c r="G37" t="s">
        <v>2019</v>
      </c>
      <c r="H37" s="153">
        <v>12</v>
      </c>
      <c r="I37" s="153" t="s">
        <v>1486</v>
      </c>
      <c r="J37" s="153">
        <v>162</v>
      </c>
      <c r="K37" s="153">
        <v>6.2</v>
      </c>
      <c r="AG37" s="153">
        <v>3</v>
      </c>
      <c r="AH37" s="153">
        <v>2026</v>
      </c>
      <c r="AI37">
        <f t="shared" si="0"/>
        <v>1</v>
      </c>
      <c r="AJ37">
        <f t="shared" si="1"/>
        <v>1</v>
      </c>
      <c r="AK37">
        <f t="shared" si="2"/>
        <v>1</v>
      </c>
      <c r="AL37">
        <f t="shared" si="8"/>
        <v>328</v>
      </c>
    </row>
    <row r="38" spans="2:38" x14ac:dyDescent="0.25">
      <c r="B38" s="153" t="s">
        <v>2007</v>
      </c>
      <c r="C38" s="153" t="s">
        <v>45</v>
      </c>
      <c r="D38" s="153">
        <v>274</v>
      </c>
      <c r="E38" s="153" t="s">
        <v>94</v>
      </c>
      <c r="F38" s="153">
        <v>10</v>
      </c>
      <c r="G38" t="s">
        <v>220</v>
      </c>
      <c r="H38" s="153">
        <v>25</v>
      </c>
      <c r="I38" s="153" t="s">
        <v>1404</v>
      </c>
      <c r="J38" s="153">
        <v>162</v>
      </c>
      <c r="K38" s="153">
        <v>6</v>
      </c>
      <c r="O38">
        <v>20</v>
      </c>
      <c r="P38" t="s">
        <v>1486</v>
      </c>
      <c r="Q38">
        <v>162</v>
      </c>
      <c r="R38">
        <v>6.2</v>
      </c>
      <c r="AG38" s="153">
        <v>3</v>
      </c>
      <c r="AH38" s="153">
        <v>2026</v>
      </c>
      <c r="AI38">
        <f t="shared" si="0"/>
        <v>1</v>
      </c>
      <c r="AJ38">
        <f t="shared" si="1"/>
        <v>1</v>
      </c>
      <c r="AK38">
        <f t="shared" si="2"/>
        <v>1</v>
      </c>
      <c r="AL38">
        <f t="shared" si="8"/>
        <v>328</v>
      </c>
    </row>
    <row r="39" spans="2:38" x14ac:dyDescent="0.25">
      <c r="B39" s="153" t="s">
        <v>2008</v>
      </c>
      <c r="C39" s="153" t="s">
        <v>526</v>
      </c>
      <c r="D39" s="153">
        <v>96</v>
      </c>
      <c r="E39" s="153" t="s">
        <v>94</v>
      </c>
      <c r="G39" t="s">
        <v>2020</v>
      </c>
      <c r="H39" s="153">
        <v>15</v>
      </c>
      <c r="I39" s="153" t="s">
        <v>1960</v>
      </c>
      <c r="J39" s="153">
        <v>162</v>
      </c>
      <c r="K39" s="153">
        <v>6.4</v>
      </c>
      <c r="AG39" s="153">
        <v>2</v>
      </c>
      <c r="AH39" s="153">
        <v>2026</v>
      </c>
      <c r="AI39">
        <f t="shared" si="0"/>
        <v>1</v>
      </c>
      <c r="AJ39">
        <f t="shared" si="1"/>
        <v>1</v>
      </c>
      <c r="AK39">
        <f t="shared" si="2"/>
        <v>1</v>
      </c>
      <c r="AL39">
        <f t="shared" si="8"/>
        <v>236</v>
      </c>
    </row>
    <row r="40" spans="2:38" x14ac:dyDescent="0.25">
      <c r="B40" s="153" t="s">
        <v>2009</v>
      </c>
      <c r="C40" s="153" t="s">
        <v>161</v>
      </c>
      <c r="D40" s="153">
        <v>40</v>
      </c>
      <c r="E40" s="153" t="s">
        <v>94</v>
      </c>
      <c r="F40">
        <v>20</v>
      </c>
      <c r="H40" s="153">
        <v>10</v>
      </c>
      <c r="I40" s="153" t="s">
        <v>121</v>
      </c>
      <c r="J40" s="153">
        <v>136</v>
      </c>
      <c r="K40" s="153">
        <v>4</v>
      </c>
      <c r="L40" t="s">
        <v>2021</v>
      </c>
      <c r="AG40" s="153">
        <v>3</v>
      </c>
      <c r="AH40" s="153">
        <v>2026</v>
      </c>
      <c r="AI40">
        <f t="shared" si="0"/>
        <v>1</v>
      </c>
      <c r="AJ40">
        <f t="shared" si="1"/>
        <v>1</v>
      </c>
      <c r="AK40">
        <f t="shared" si="2"/>
        <v>1</v>
      </c>
      <c r="AL40">
        <f t="shared" si="8"/>
        <v>324</v>
      </c>
    </row>
    <row r="41" spans="2:38" x14ac:dyDescent="0.25">
      <c r="B41" s="153" t="s">
        <v>2009</v>
      </c>
      <c r="C41" s="153" t="s">
        <v>1247</v>
      </c>
      <c r="D41" s="153">
        <v>950</v>
      </c>
      <c r="AG41" s="153"/>
      <c r="AH41" s="153"/>
      <c r="AI41">
        <f t="shared" si="0"/>
        <v>0</v>
      </c>
      <c r="AJ41">
        <f t="shared" si="1"/>
        <v>1</v>
      </c>
      <c r="AK41">
        <f t="shared" si="2"/>
        <v>1</v>
      </c>
      <c r="AL41" t="e">
        <f t="shared" si="8"/>
        <v>#NUM!</v>
      </c>
    </row>
    <row r="42" spans="2:38" x14ac:dyDescent="0.25">
      <c r="B42" s="153" t="s">
        <v>2010</v>
      </c>
      <c r="C42" t="s">
        <v>138</v>
      </c>
      <c r="D42" s="153">
        <v>94</v>
      </c>
      <c r="E42" s="153" t="s">
        <v>93</v>
      </c>
      <c r="F42">
        <v>20</v>
      </c>
      <c r="G42" t="s">
        <v>2022</v>
      </c>
      <c r="H42" s="153">
        <v>13</v>
      </c>
      <c r="I42" s="153" t="s">
        <v>1780</v>
      </c>
      <c r="J42" s="153">
        <v>162</v>
      </c>
      <c r="K42" s="153">
        <v>7.2</v>
      </c>
      <c r="AG42" s="153">
        <v>2</v>
      </c>
      <c r="AH42" s="153">
        <v>2027</v>
      </c>
      <c r="AI42">
        <f t="shared" si="0"/>
        <v>1</v>
      </c>
      <c r="AJ42">
        <f t="shared" si="1"/>
        <v>1</v>
      </c>
      <c r="AK42">
        <f t="shared" si="2"/>
        <v>1</v>
      </c>
      <c r="AL42">
        <f t="shared" si="8"/>
        <v>576</v>
      </c>
    </row>
    <row r="43" spans="2:38" x14ac:dyDescent="0.25">
      <c r="B43" s="153" t="s">
        <v>2011</v>
      </c>
      <c r="C43" t="s">
        <v>138</v>
      </c>
      <c r="D43" s="153">
        <v>86</v>
      </c>
      <c r="E43" s="153" t="s">
        <v>93</v>
      </c>
      <c r="F43">
        <v>20</v>
      </c>
      <c r="G43" t="s">
        <v>2023</v>
      </c>
      <c r="H43" s="153">
        <v>12</v>
      </c>
      <c r="I43" s="153" t="s">
        <v>1784</v>
      </c>
      <c r="J43" s="153">
        <v>172</v>
      </c>
      <c r="K43" s="153">
        <v>7.2</v>
      </c>
      <c r="AG43" s="153">
        <v>3</v>
      </c>
      <c r="AH43" s="153">
        <v>2026</v>
      </c>
      <c r="AI43">
        <f t="shared" si="0"/>
        <v>1</v>
      </c>
      <c r="AJ43">
        <f t="shared" si="1"/>
        <v>1</v>
      </c>
      <c r="AK43">
        <f t="shared" si="2"/>
        <v>1</v>
      </c>
      <c r="AL43">
        <f t="shared" si="8"/>
        <v>296</v>
      </c>
    </row>
    <row r="44" spans="2:38" x14ac:dyDescent="0.25">
      <c r="B44" s="153" t="s">
        <v>2012</v>
      </c>
      <c r="C44" t="s">
        <v>27</v>
      </c>
      <c r="D44" s="153">
        <v>217</v>
      </c>
      <c r="E44" s="153" t="s">
        <v>94</v>
      </c>
      <c r="F44">
        <v>25</v>
      </c>
      <c r="H44" s="153">
        <v>29</v>
      </c>
      <c r="I44" s="153" t="s">
        <v>1960</v>
      </c>
      <c r="J44" s="153">
        <v>162</v>
      </c>
      <c r="K44" s="153">
        <v>6.4</v>
      </c>
      <c r="O44">
        <v>5</v>
      </c>
      <c r="P44" t="s">
        <v>1486</v>
      </c>
      <c r="Q44">
        <v>162</v>
      </c>
      <c r="R44">
        <v>6.2</v>
      </c>
      <c r="AG44" s="153">
        <v>3</v>
      </c>
      <c r="AH44" s="153">
        <v>2026</v>
      </c>
      <c r="AI44">
        <f t="shared" si="0"/>
        <v>1</v>
      </c>
      <c r="AJ44">
        <f t="shared" si="1"/>
        <v>1</v>
      </c>
      <c r="AK44">
        <f t="shared" si="2"/>
        <v>1</v>
      </c>
      <c r="AL44">
        <f t="shared" si="8"/>
        <v>292</v>
      </c>
    </row>
    <row r="45" spans="2:38" x14ac:dyDescent="0.25">
      <c r="B45" s="153" t="s">
        <v>2013</v>
      </c>
      <c r="C45" t="s">
        <v>138</v>
      </c>
      <c r="D45" s="153">
        <v>42</v>
      </c>
      <c r="E45" s="153" t="s">
        <v>93</v>
      </c>
      <c r="F45">
        <v>25</v>
      </c>
      <c r="G45" t="s">
        <v>2024</v>
      </c>
      <c r="H45" s="153">
        <v>7</v>
      </c>
      <c r="I45" s="153" t="s">
        <v>1664</v>
      </c>
      <c r="J45" s="153">
        <v>150</v>
      </c>
      <c r="K45" s="153">
        <v>6</v>
      </c>
      <c r="AG45" s="153">
        <v>2</v>
      </c>
      <c r="AH45" s="153">
        <v>2026</v>
      </c>
      <c r="AI45">
        <f t="shared" si="0"/>
        <v>1</v>
      </c>
      <c r="AJ45">
        <f t="shared" si="1"/>
        <v>1</v>
      </c>
      <c r="AK45">
        <f t="shared" si="2"/>
        <v>1</v>
      </c>
      <c r="AL45">
        <f t="shared" si="8"/>
        <v>194</v>
      </c>
    </row>
    <row r="46" spans="2:38" x14ac:dyDescent="0.25">
      <c r="B46" s="153" t="s">
        <v>2014</v>
      </c>
      <c r="C46" t="s">
        <v>1247</v>
      </c>
      <c r="D46" s="153">
        <v>320</v>
      </c>
      <c r="AI46">
        <f t="shared" si="0"/>
        <v>0</v>
      </c>
      <c r="AJ46">
        <f t="shared" si="1"/>
        <v>1</v>
      </c>
      <c r="AK46">
        <f t="shared" si="2"/>
        <v>1</v>
      </c>
      <c r="AL46" t="e">
        <f t="shared" si="8"/>
        <v>#NUM!</v>
      </c>
    </row>
    <row r="47" spans="2:38" x14ac:dyDescent="0.25">
      <c r="B47" s="153" t="s">
        <v>2015</v>
      </c>
      <c r="C47" t="s">
        <v>166</v>
      </c>
      <c r="D47" s="153">
        <v>27</v>
      </c>
      <c r="E47" s="153" t="s">
        <v>94</v>
      </c>
      <c r="H47" s="153">
        <v>6</v>
      </c>
      <c r="I47" t="s">
        <v>1400</v>
      </c>
      <c r="J47">
        <v>150</v>
      </c>
      <c r="K47">
        <v>4.5</v>
      </c>
      <c r="AG47">
        <v>1</v>
      </c>
      <c r="AH47">
        <v>2026</v>
      </c>
      <c r="AI47">
        <f t="shared" si="0"/>
        <v>1</v>
      </c>
      <c r="AJ47">
        <f t="shared" si="1"/>
        <v>1</v>
      </c>
      <c r="AK47">
        <f t="shared" si="2"/>
        <v>1</v>
      </c>
      <c r="AL47">
        <f t="shared" si="8"/>
        <v>94</v>
      </c>
    </row>
    <row r="48" spans="2:38" x14ac:dyDescent="0.25">
      <c r="B48" s="153" t="s">
        <v>2015</v>
      </c>
      <c r="C48" t="s">
        <v>148</v>
      </c>
      <c r="D48" s="153">
        <v>41</v>
      </c>
      <c r="E48" s="153" t="s">
        <v>94</v>
      </c>
      <c r="F48">
        <v>20</v>
      </c>
      <c r="G48" t="s">
        <v>2025</v>
      </c>
      <c r="H48" s="153">
        <v>5</v>
      </c>
      <c r="I48" t="s">
        <v>2027</v>
      </c>
      <c r="J48">
        <v>135</v>
      </c>
      <c r="K48">
        <v>4.5</v>
      </c>
      <c r="O48">
        <v>4</v>
      </c>
      <c r="P48" t="s">
        <v>1559</v>
      </c>
      <c r="Q48">
        <v>136</v>
      </c>
      <c r="R48">
        <v>4.5</v>
      </c>
      <c r="AG48">
        <v>3</v>
      </c>
      <c r="AH48">
        <v>2026</v>
      </c>
      <c r="AI48">
        <f t="shared" si="0"/>
        <v>1</v>
      </c>
      <c r="AJ48">
        <f t="shared" si="1"/>
        <v>1</v>
      </c>
      <c r="AK48">
        <f t="shared" si="2"/>
        <v>1</v>
      </c>
      <c r="AL48">
        <f t="shared" si="8"/>
        <v>275</v>
      </c>
    </row>
    <row r="49" spans="2:38" x14ac:dyDescent="0.25">
      <c r="B49" s="153" t="s">
        <v>2015</v>
      </c>
      <c r="C49" t="s">
        <v>319</v>
      </c>
      <c r="D49" s="153">
        <v>22</v>
      </c>
      <c r="E49" s="153" t="s">
        <v>93</v>
      </c>
      <c r="F49">
        <v>8</v>
      </c>
      <c r="H49" s="153">
        <v>5</v>
      </c>
      <c r="I49" t="s">
        <v>2028</v>
      </c>
      <c r="J49">
        <v>117</v>
      </c>
      <c r="K49">
        <v>4.3</v>
      </c>
      <c r="AG49">
        <v>3</v>
      </c>
      <c r="AH49">
        <v>2026</v>
      </c>
      <c r="AI49">
        <f t="shared" si="0"/>
        <v>1</v>
      </c>
      <c r="AJ49">
        <f t="shared" si="1"/>
        <v>1</v>
      </c>
      <c r="AK49">
        <f t="shared" si="2"/>
        <v>1</v>
      </c>
      <c r="AL49">
        <f t="shared" si="8"/>
        <v>275</v>
      </c>
    </row>
    <row r="50" spans="2:38" x14ac:dyDescent="0.25">
      <c r="B50" s="153" t="s">
        <v>2015</v>
      </c>
      <c r="C50" t="s">
        <v>147</v>
      </c>
      <c r="D50" s="153">
        <v>43</v>
      </c>
      <c r="E50" s="153" t="s">
        <v>94</v>
      </c>
      <c r="F50">
        <v>20</v>
      </c>
      <c r="G50" t="s">
        <v>2026</v>
      </c>
      <c r="H50" s="153">
        <v>7</v>
      </c>
      <c r="I50" t="s">
        <v>1486</v>
      </c>
      <c r="J50">
        <v>162</v>
      </c>
      <c r="K50">
        <v>6.2</v>
      </c>
      <c r="AG50">
        <v>3</v>
      </c>
      <c r="AH50">
        <v>2026</v>
      </c>
      <c r="AI50">
        <f t="shared" si="0"/>
        <v>1</v>
      </c>
      <c r="AJ50">
        <f t="shared" si="1"/>
        <v>1</v>
      </c>
      <c r="AK50">
        <f t="shared" si="2"/>
        <v>1</v>
      </c>
      <c r="AL50">
        <f t="shared" si="8"/>
        <v>275</v>
      </c>
    </row>
    <row r="51" spans="2:38" x14ac:dyDescent="0.25">
      <c r="B51" s="153" t="s">
        <v>2016</v>
      </c>
      <c r="C51" t="s">
        <v>146</v>
      </c>
      <c r="D51" s="153">
        <v>22</v>
      </c>
      <c r="E51" s="153" t="s">
        <v>94</v>
      </c>
      <c r="F51">
        <v>10</v>
      </c>
      <c r="H51" s="153">
        <v>4</v>
      </c>
      <c r="I51" t="s">
        <v>1220</v>
      </c>
      <c r="J51">
        <v>162</v>
      </c>
      <c r="K51">
        <v>5.6</v>
      </c>
      <c r="AG51">
        <v>2</v>
      </c>
      <c r="AH51">
        <v>2026</v>
      </c>
      <c r="AI51">
        <f t="shared" si="0"/>
        <v>1</v>
      </c>
      <c r="AJ51">
        <f t="shared" si="1"/>
        <v>1</v>
      </c>
      <c r="AK51">
        <f t="shared" si="2"/>
        <v>1</v>
      </c>
      <c r="AL51">
        <f t="shared" si="8"/>
        <v>183</v>
      </c>
    </row>
    <row r="52" spans="2:38" x14ac:dyDescent="0.25">
      <c r="B52" s="153" t="s">
        <v>2016</v>
      </c>
      <c r="C52" t="s">
        <v>146</v>
      </c>
      <c r="D52" s="153">
        <v>29</v>
      </c>
      <c r="E52" s="153" t="s">
        <v>93</v>
      </c>
      <c r="F52">
        <v>10</v>
      </c>
      <c r="G52" t="s">
        <v>2029</v>
      </c>
      <c r="H52" s="153">
        <v>4</v>
      </c>
      <c r="I52" t="s">
        <v>1486</v>
      </c>
      <c r="J52">
        <v>162</v>
      </c>
      <c r="K52">
        <v>6.2</v>
      </c>
      <c r="O52">
        <v>1</v>
      </c>
      <c r="P52" t="s">
        <v>1400</v>
      </c>
      <c r="Q52">
        <v>150</v>
      </c>
      <c r="R52">
        <v>4.5</v>
      </c>
      <c r="AG52">
        <v>2</v>
      </c>
      <c r="AH52">
        <v>2026</v>
      </c>
      <c r="AI52">
        <f t="shared" si="0"/>
        <v>1</v>
      </c>
      <c r="AJ52">
        <f t="shared" si="1"/>
        <v>1</v>
      </c>
      <c r="AK52">
        <f t="shared" si="2"/>
        <v>1</v>
      </c>
      <c r="AL52">
        <f t="shared" si="8"/>
        <v>183</v>
      </c>
    </row>
    <row r="53" spans="2:38" x14ac:dyDescent="0.25">
      <c r="B53" s="153" t="s">
        <v>2016</v>
      </c>
      <c r="C53" t="s">
        <v>146</v>
      </c>
      <c r="D53" s="153">
        <v>42</v>
      </c>
      <c r="E53" s="153" t="s">
        <v>94</v>
      </c>
      <c r="H53" s="153">
        <v>7</v>
      </c>
      <c r="I53" t="s">
        <v>1404</v>
      </c>
      <c r="J53">
        <v>162</v>
      </c>
      <c r="K53">
        <v>6</v>
      </c>
      <c r="AG53">
        <v>2</v>
      </c>
      <c r="AH53">
        <v>2026</v>
      </c>
      <c r="AI53">
        <f t="shared" si="0"/>
        <v>1</v>
      </c>
      <c r="AJ53">
        <f t="shared" si="1"/>
        <v>1</v>
      </c>
      <c r="AK53">
        <f t="shared" si="2"/>
        <v>1</v>
      </c>
      <c r="AL53">
        <f t="shared" si="8"/>
        <v>183</v>
      </c>
    </row>
    <row r="54" spans="2:38" x14ac:dyDescent="0.25">
      <c r="B54" s="153" t="s">
        <v>2016</v>
      </c>
      <c r="C54" t="s">
        <v>138</v>
      </c>
      <c r="D54" s="153">
        <v>72</v>
      </c>
      <c r="E54" s="153" t="s">
        <v>94</v>
      </c>
      <c r="F54">
        <v>20</v>
      </c>
      <c r="G54" t="s">
        <v>2032</v>
      </c>
      <c r="H54" s="153">
        <v>10</v>
      </c>
      <c r="I54" t="s">
        <v>1780</v>
      </c>
      <c r="J54">
        <v>162</v>
      </c>
      <c r="K54">
        <v>7.2</v>
      </c>
      <c r="AG54">
        <v>3</v>
      </c>
      <c r="AH54">
        <v>2027</v>
      </c>
      <c r="AI54">
        <f t="shared" si="0"/>
        <v>1</v>
      </c>
      <c r="AJ54">
        <f t="shared" si="1"/>
        <v>1</v>
      </c>
      <c r="AK54">
        <f t="shared" si="2"/>
        <v>1</v>
      </c>
      <c r="AL54">
        <f t="shared" si="8"/>
        <v>639</v>
      </c>
    </row>
    <row r="55" spans="2:38" x14ac:dyDescent="0.25">
      <c r="B55" s="153" t="s">
        <v>2016</v>
      </c>
      <c r="C55" t="s">
        <v>138</v>
      </c>
      <c r="D55" s="153">
        <v>43</v>
      </c>
      <c r="E55" s="153" t="s">
        <v>94</v>
      </c>
      <c r="F55">
        <v>20</v>
      </c>
      <c r="G55" t="s">
        <v>1351</v>
      </c>
      <c r="H55" s="153">
        <v>7</v>
      </c>
      <c r="I55" t="s">
        <v>1486</v>
      </c>
      <c r="J55">
        <v>162</v>
      </c>
      <c r="K55">
        <v>6.2</v>
      </c>
      <c r="AG55">
        <v>1</v>
      </c>
      <c r="AH55">
        <v>2027</v>
      </c>
      <c r="AI55">
        <f t="shared" si="0"/>
        <v>1</v>
      </c>
      <c r="AJ55">
        <f t="shared" si="1"/>
        <v>1</v>
      </c>
      <c r="AK55">
        <f t="shared" si="2"/>
        <v>1</v>
      </c>
      <c r="AL55">
        <f t="shared" si="8"/>
        <v>458</v>
      </c>
    </row>
    <row r="56" spans="2:38" x14ac:dyDescent="0.25">
      <c r="B56" s="153" t="s">
        <v>2016</v>
      </c>
      <c r="C56" t="s">
        <v>138</v>
      </c>
      <c r="D56" s="153">
        <v>109</v>
      </c>
      <c r="E56" s="153" t="s">
        <v>93</v>
      </c>
      <c r="F56">
        <v>20</v>
      </c>
      <c r="G56" t="s">
        <v>2031</v>
      </c>
      <c r="H56" s="153">
        <v>7</v>
      </c>
      <c r="I56" t="s">
        <v>1486</v>
      </c>
      <c r="J56">
        <v>162</v>
      </c>
      <c r="K56">
        <v>6.2</v>
      </c>
      <c r="O56">
        <v>11</v>
      </c>
      <c r="P56" t="s">
        <v>1664</v>
      </c>
      <c r="Q56">
        <v>150</v>
      </c>
      <c r="R56">
        <v>6</v>
      </c>
      <c r="AG56">
        <v>3</v>
      </c>
      <c r="AH56">
        <v>2026</v>
      </c>
      <c r="AI56">
        <f t="shared" si="0"/>
        <v>1</v>
      </c>
      <c r="AJ56">
        <f t="shared" si="1"/>
        <v>1</v>
      </c>
      <c r="AK56">
        <f t="shared" si="2"/>
        <v>1</v>
      </c>
      <c r="AL56">
        <f t="shared" si="8"/>
        <v>274</v>
      </c>
    </row>
    <row r="57" spans="2:38" x14ac:dyDescent="0.25">
      <c r="B57" s="153" t="s">
        <v>2016</v>
      </c>
      <c r="C57" t="s">
        <v>163</v>
      </c>
      <c r="D57" s="153">
        <v>59</v>
      </c>
      <c r="E57" s="153" t="s">
        <v>94</v>
      </c>
      <c r="F57">
        <v>25</v>
      </c>
      <c r="H57" s="153">
        <v>13</v>
      </c>
      <c r="I57" t="s">
        <v>1559</v>
      </c>
      <c r="J57">
        <v>136</v>
      </c>
      <c r="K57">
        <v>4.5</v>
      </c>
      <c r="AG57">
        <v>3</v>
      </c>
      <c r="AH57">
        <v>2026</v>
      </c>
      <c r="AI57">
        <f t="shared" si="0"/>
        <v>1</v>
      </c>
      <c r="AJ57">
        <f t="shared" si="1"/>
        <v>1</v>
      </c>
      <c r="AK57">
        <f t="shared" si="2"/>
        <v>1</v>
      </c>
      <c r="AL57">
        <f t="shared" si="8"/>
        <v>274</v>
      </c>
    </row>
    <row r="58" spans="2:38" x14ac:dyDescent="0.25">
      <c r="B58" s="153" t="s">
        <v>2016</v>
      </c>
      <c r="C58" t="s">
        <v>165</v>
      </c>
      <c r="D58" s="153">
        <v>63</v>
      </c>
      <c r="E58" s="153" t="s">
        <v>94</v>
      </c>
      <c r="F58">
        <v>30</v>
      </c>
      <c r="G58" t="s">
        <v>2030</v>
      </c>
      <c r="H58" s="153">
        <v>14</v>
      </c>
      <c r="I58" t="s">
        <v>1559</v>
      </c>
      <c r="J58">
        <v>136</v>
      </c>
      <c r="K58">
        <v>4.5</v>
      </c>
      <c r="AG58">
        <v>2</v>
      </c>
      <c r="AH58">
        <v>2027</v>
      </c>
      <c r="AI58">
        <f t="shared" si="0"/>
        <v>1</v>
      </c>
      <c r="AJ58">
        <f t="shared" si="1"/>
        <v>1</v>
      </c>
      <c r="AK58">
        <f t="shared" si="2"/>
        <v>1</v>
      </c>
      <c r="AL58">
        <f t="shared" si="8"/>
        <v>548</v>
      </c>
    </row>
    <row r="59" spans="2:38" x14ac:dyDescent="0.25">
      <c r="B59" s="153" t="s">
        <v>2016</v>
      </c>
      <c r="C59" t="s">
        <v>138</v>
      </c>
      <c r="D59" s="153">
        <v>58</v>
      </c>
      <c r="E59" s="153" t="s">
        <v>94</v>
      </c>
      <c r="F59">
        <v>20</v>
      </c>
      <c r="G59" t="s">
        <v>2033</v>
      </c>
      <c r="H59" s="153">
        <v>8</v>
      </c>
      <c r="I59" s="153" t="s">
        <v>1784</v>
      </c>
      <c r="J59">
        <v>172</v>
      </c>
      <c r="K59">
        <v>7.2</v>
      </c>
      <c r="AG59">
        <v>4</v>
      </c>
      <c r="AH59">
        <v>2026</v>
      </c>
      <c r="AI59">
        <f t="shared" si="0"/>
        <v>1</v>
      </c>
      <c r="AJ59">
        <f t="shared" si="1"/>
        <v>1</v>
      </c>
      <c r="AK59">
        <f t="shared" si="2"/>
        <v>1</v>
      </c>
      <c r="AL59">
        <f t="shared" ref="AL59:AL105" si="10">_xlfn.DAYS(DATE(AH59,AG59*3-2,1),DATE(RIGHT(B59,4),MID(B59,4,2),LEFT(B59,2)))</f>
        <v>366</v>
      </c>
    </row>
    <row r="60" spans="2:38" x14ac:dyDescent="0.25">
      <c r="B60" s="153" t="s">
        <v>2016</v>
      </c>
      <c r="C60" t="s">
        <v>138</v>
      </c>
      <c r="D60" s="153">
        <v>44</v>
      </c>
      <c r="E60" s="153" t="s">
        <v>94</v>
      </c>
      <c r="F60">
        <v>20</v>
      </c>
      <c r="G60" t="s">
        <v>2033</v>
      </c>
      <c r="H60" s="153">
        <v>1</v>
      </c>
      <c r="I60" s="153" t="s">
        <v>1784</v>
      </c>
      <c r="J60">
        <v>172</v>
      </c>
      <c r="K60">
        <v>7.2</v>
      </c>
      <c r="O60">
        <v>6</v>
      </c>
      <c r="P60" t="s">
        <v>1486</v>
      </c>
      <c r="Q60">
        <v>162</v>
      </c>
      <c r="R60">
        <v>6.2</v>
      </c>
      <c r="AG60">
        <v>1</v>
      </c>
      <c r="AH60">
        <v>2027</v>
      </c>
      <c r="AI60">
        <f t="shared" si="0"/>
        <v>1</v>
      </c>
      <c r="AJ60">
        <f t="shared" si="1"/>
        <v>1</v>
      </c>
      <c r="AK60">
        <f t="shared" si="2"/>
        <v>1</v>
      </c>
      <c r="AL60">
        <f t="shared" si="10"/>
        <v>458</v>
      </c>
    </row>
    <row r="61" spans="2:38" x14ac:dyDescent="0.25">
      <c r="B61" s="153" t="s">
        <v>2016</v>
      </c>
      <c r="C61" t="s">
        <v>138</v>
      </c>
      <c r="D61" s="153">
        <v>22</v>
      </c>
      <c r="E61" s="153" t="s">
        <v>94</v>
      </c>
      <c r="F61">
        <v>20</v>
      </c>
      <c r="G61" t="s">
        <v>2033</v>
      </c>
      <c r="H61" s="153">
        <v>3</v>
      </c>
      <c r="I61" s="153" t="s">
        <v>1784</v>
      </c>
      <c r="J61">
        <v>172</v>
      </c>
      <c r="K61">
        <v>7.2</v>
      </c>
      <c r="AG61">
        <v>1</v>
      </c>
      <c r="AH61">
        <v>2027</v>
      </c>
      <c r="AI61">
        <f t="shared" si="0"/>
        <v>1</v>
      </c>
      <c r="AJ61">
        <f t="shared" si="1"/>
        <v>1</v>
      </c>
      <c r="AK61">
        <f t="shared" si="2"/>
        <v>1</v>
      </c>
      <c r="AL61">
        <f t="shared" si="10"/>
        <v>458</v>
      </c>
    </row>
    <row r="62" spans="2:38" x14ac:dyDescent="0.25">
      <c r="B62" s="153" t="s">
        <v>2016</v>
      </c>
      <c r="C62" t="s">
        <v>138</v>
      </c>
      <c r="D62" s="153">
        <v>36</v>
      </c>
      <c r="E62" s="153" t="s">
        <v>94</v>
      </c>
      <c r="F62">
        <v>20</v>
      </c>
      <c r="G62" t="s">
        <v>2033</v>
      </c>
      <c r="H62" s="153">
        <v>5</v>
      </c>
      <c r="I62" s="153" t="s">
        <v>1784</v>
      </c>
      <c r="J62">
        <v>172</v>
      </c>
      <c r="K62">
        <v>7.2</v>
      </c>
      <c r="AG62">
        <v>4</v>
      </c>
      <c r="AH62">
        <v>2027</v>
      </c>
      <c r="AI62">
        <f t="shared" si="0"/>
        <v>1</v>
      </c>
      <c r="AJ62">
        <f t="shared" si="1"/>
        <v>1</v>
      </c>
      <c r="AK62">
        <f t="shared" si="2"/>
        <v>1</v>
      </c>
      <c r="AL62">
        <f t="shared" si="10"/>
        <v>731</v>
      </c>
    </row>
    <row r="63" spans="2:38" x14ac:dyDescent="0.25">
      <c r="B63" s="153" t="s">
        <v>2016</v>
      </c>
      <c r="C63" t="s">
        <v>138</v>
      </c>
      <c r="D63" s="153">
        <v>29</v>
      </c>
      <c r="E63" s="153" t="s">
        <v>94</v>
      </c>
      <c r="F63">
        <v>20</v>
      </c>
      <c r="G63" t="s">
        <v>2033</v>
      </c>
      <c r="H63" s="153">
        <v>4</v>
      </c>
      <c r="I63" s="153" t="s">
        <v>1784</v>
      </c>
      <c r="J63">
        <v>172</v>
      </c>
      <c r="K63">
        <v>7.2</v>
      </c>
      <c r="AG63">
        <v>4</v>
      </c>
      <c r="AH63">
        <v>2027</v>
      </c>
      <c r="AI63">
        <f t="shared" si="0"/>
        <v>1</v>
      </c>
      <c r="AJ63">
        <f t="shared" si="1"/>
        <v>1</v>
      </c>
      <c r="AK63">
        <f t="shared" si="2"/>
        <v>1</v>
      </c>
      <c r="AL63">
        <f t="shared" si="10"/>
        <v>731</v>
      </c>
    </row>
    <row r="64" spans="2:38" x14ac:dyDescent="0.25">
      <c r="B64" s="153" t="s">
        <v>2016</v>
      </c>
      <c r="C64" t="s">
        <v>138</v>
      </c>
      <c r="D64" s="153">
        <v>22</v>
      </c>
      <c r="E64" s="153" t="s">
        <v>94</v>
      </c>
      <c r="F64">
        <v>20</v>
      </c>
      <c r="G64" t="s">
        <v>2033</v>
      </c>
      <c r="H64" s="153">
        <v>3</v>
      </c>
      <c r="I64" s="153" t="s">
        <v>1784</v>
      </c>
      <c r="J64">
        <v>172</v>
      </c>
      <c r="K64">
        <v>7.2</v>
      </c>
      <c r="AG64">
        <v>1</v>
      </c>
      <c r="AH64">
        <v>2027</v>
      </c>
      <c r="AI64">
        <f t="shared" si="0"/>
        <v>1</v>
      </c>
      <c r="AJ64">
        <f t="shared" si="1"/>
        <v>1</v>
      </c>
      <c r="AK64">
        <f t="shared" si="2"/>
        <v>1</v>
      </c>
      <c r="AL64">
        <f t="shared" si="10"/>
        <v>458</v>
      </c>
    </row>
    <row r="65" spans="1:38" x14ac:dyDescent="0.25">
      <c r="B65" s="153" t="s">
        <v>2016</v>
      </c>
      <c r="C65" t="s">
        <v>138</v>
      </c>
      <c r="D65" s="153">
        <v>22</v>
      </c>
      <c r="E65" s="153" t="s">
        <v>94</v>
      </c>
      <c r="F65">
        <v>20</v>
      </c>
      <c r="G65" t="s">
        <v>2033</v>
      </c>
      <c r="H65" s="153">
        <v>3</v>
      </c>
      <c r="I65" s="153" t="s">
        <v>1784</v>
      </c>
      <c r="J65">
        <v>172</v>
      </c>
      <c r="K65">
        <v>7.2</v>
      </c>
      <c r="AG65">
        <v>4</v>
      </c>
      <c r="AH65">
        <v>2027</v>
      </c>
      <c r="AI65">
        <f t="shared" si="0"/>
        <v>1</v>
      </c>
      <c r="AJ65">
        <f t="shared" si="1"/>
        <v>1</v>
      </c>
      <c r="AK65">
        <f t="shared" si="2"/>
        <v>1</v>
      </c>
      <c r="AL65">
        <f t="shared" si="10"/>
        <v>731</v>
      </c>
    </row>
    <row r="66" spans="1:38" s="11" customFormat="1" x14ac:dyDescent="0.25">
      <c r="A66" s="11">
        <f>SUM(D33:D66)</f>
        <v>4003</v>
      </c>
      <c r="B66" s="159" t="s">
        <v>2016</v>
      </c>
      <c r="C66" s="11" t="s">
        <v>138</v>
      </c>
      <c r="D66" s="159">
        <v>7</v>
      </c>
      <c r="E66" s="11" t="s">
        <v>93</v>
      </c>
      <c r="F66" s="11">
        <v>20</v>
      </c>
      <c r="G66" s="11" t="s">
        <v>2033</v>
      </c>
      <c r="H66" s="11">
        <v>1</v>
      </c>
      <c r="I66" s="159" t="s">
        <v>1784</v>
      </c>
      <c r="J66" s="11">
        <v>172</v>
      </c>
      <c r="K66" s="11">
        <v>7.2</v>
      </c>
      <c r="AG66" s="11">
        <v>1</v>
      </c>
      <c r="AH66" s="11">
        <v>2027</v>
      </c>
      <c r="AI66">
        <f t="shared" si="0"/>
        <v>1</v>
      </c>
      <c r="AJ66">
        <f t="shared" si="1"/>
        <v>1</v>
      </c>
      <c r="AK66">
        <f t="shared" si="2"/>
        <v>1</v>
      </c>
      <c r="AL66" s="11">
        <f t="shared" si="10"/>
        <v>458</v>
      </c>
    </row>
    <row r="67" spans="1:38" x14ac:dyDescent="0.25">
      <c r="B67" s="153" t="s">
        <v>2034</v>
      </c>
      <c r="C67" s="153" t="s">
        <v>138</v>
      </c>
      <c r="D67" s="153">
        <v>72</v>
      </c>
      <c r="E67" s="153" t="s">
        <v>94</v>
      </c>
      <c r="F67" s="153">
        <v>25</v>
      </c>
      <c r="G67" t="s">
        <v>2047</v>
      </c>
      <c r="H67" s="153">
        <v>10</v>
      </c>
      <c r="I67" s="153" t="s">
        <v>1784</v>
      </c>
      <c r="J67" s="153">
        <v>172</v>
      </c>
      <c r="K67" s="153">
        <v>7.2</v>
      </c>
      <c r="AG67" s="153">
        <v>3</v>
      </c>
      <c r="AH67" s="153">
        <v>2026</v>
      </c>
      <c r="AI67">
        <f t="shared" ref="AI67:AI108" si="11">COUNTIF($I$177:$I$213,I67)</f>
        <v>1</v>
      </c>
      <c r="AJ67">
        <f t="shared" ref="AJ67:AJ108" si="12">COUNTIF($C$176:$C$210,C67)</f>
        <v>1</v>
      </c>
      <c r="AK67">
        <f t="shared" ref="AK67:AK108" si="13">COUNTIF($C$232:$C$266,C67)</f>
        <v>1</v>
      </c>
      <c r="AL67">
        <f t="shared" si="10"/>
        <v>239</v>
      </c>
    </row>
    <row r="68" spans="1:38" x14ac:dyDescent="0.25">
      <c r="B68" s="153" t="s">
        <v>2034</v>
      </c>
      <c r="C68" s="153" t="s">
        <v>138</v>
      </c>
      <c r="D68" s="153">
        <v>50</v>
      </c>
      <c r="E68" s="153" t="s">
        <v>93</v>
      </c>
      <c r="F68" s="153">
        <v>20</v>
      </c>
      <c r="G68" t="s">
        <v>2048</v>
      </c>
      <c r="H68" s="153">
        <v>8</v>
      </c>
      <c r="I68" t="s">
        <v>1486</v>
      </c>
      <c r="J68" s="153">
        <v>162</v>
      </c>
      <c r="K68" s="153">
        <v>6.2</v>
      </c>
      <c r="AG68" s="153">
        <v>3</v>
      </c>
      <c r="AH68" s="153">
        <v>2026</v>
      </c>
      <c r="AI68">
        <f t="shared" si="11"/>
        <v>1</v>
      </c>
      <c r="AJ68">
        <f t="shared" si="12"/>
        <v>1</v>
      </c>
      <c r="AK68">
        <f t="shared" si="13"/>
        <v>1</v>
      </c>
      <c r="AL68">
        <f t="shared" si="10"/>
        <v>239</v>
      </c>
    </row>
    <row r="69" spans="1:38" x14ac:dyDescent="0.25">
      <c r="B69" s="153" t="s">
        <v>2034</v>
      </c>
      <c r="C69" s="153" t="s">
        <v>138</v>
      </c>
      <c r="D69" s="153">
        <v>48</v>
      </c>
      <c r="E69" s="153" t="s">
        <v>93</v>
      </c>
      <c r="F69" s="153">
        <v>25</v>
      </c>
      <c r="G69" t="s">
        <v>2049</v>
      </c>
      <c r="H69" s="153">
        <v>8</v>
      </c>
      <c r="I69" t="s">
        <v>1664</v>
      </c>
      <c r="J69" s="153">
        <v>150</v>
      </c>
      <c r="K69" s="153">
        <v>6</v>
      </c>
      <c r="AG69" s="153">
        <v>1</v>
      </c>
      <c r="AH69" s="153">
        <v>2027</v>
      </c>
      <c r="AI69">
        <f t="shared" si="11"/>
        <v>1</v>
      </c>
      <c r="AJ69">
        <f t="shared" si="12"/>
        <v>1</v>
      </c>
      <c r="AK69">
        <f t="shared" si="13"/>
        <v>1</v>
      </c>
      <c r="AL69">
        <f t="shared" si="10"/>
        <v>423</v>
      </c>
    </row>
    <row r="70" spans="1:38" x14ac:dyDescent="0.25">
      <c r="B70" s="153" t="s">
        <v>2034</v>
      </c>
      <c r="C70" s="153" t="s">
        <v>146</v>
      </c>
      <c r="D70" s="153">
        <v>30</v>
      </c>
      <c r="E70" s="153" t="s">
        <v>94</v>
      </c>
      <c r="F70" s="153">
        <v>20</v>
      </c>
      <c r="G70" t="s">
        <v>1422</v>
      </c>
      <c r="H70" s="153">
        <v>5</v>
      </c>
      <c r="I70" t="s">
        <v>1404</v>
      </c>
      <c r="J70" s="153">
        <v>162</v>
      </c>
      <c r="K70" s="153">
        <v>6</v>
      </c>
      <c r="AG70" s="153">
        <v>4</v>
      </c>
      <c r="AH70" s="153">
        <v>2026</v>
      </c>
      <c r="AI70">
        <f t="shared" si="11"/>
        <v>1</v>
      </c>
      <c r="AJ70">
        <f t="shared" si="12"/>
        <v>1</v>
      </c>
      <c r="AK70">
        <f t="shared" si="13"/>
        <v>1</v>
      </c>
      <c r="AL70">
        <f t="shared" si="10"/>
        <v>331</v>
      </c>
    </row>
    <row r="71" spans="1:38" x14ac:dyDescent="0.25">
      <c r="B71" s="153" t="s">
        <v>2035</v>
      </c>
      <c r="C71" s="153" t="s">
        <v>2050</v>
      </c>
      <c r="D71" s="153">
        <v>347</v>
      </c>
      <c r="AI71">
        <f t="shared" si="11"/>
        <v>0</v>
      </c>
      <c r="AJ71">
        <f t="shared" si="12"/>
        <v>1</v>
      </c>
      <c r="AK71">
        <f t="shared" si="13"/>
        <v>1</v>
      </c>
      <c r="AL71" t="e">
        <f t="shared" si="10"/>
        <v>#NUM!</v>
      </c>
    </row>
    <row r="72" spans="1:38" x14ac:dyDescent="0.25">
      <c r="B72" s="153" t="s">
        <v>2036</v>
      </c>
      <c r="C72" s="153" t="s">
        <v>1639</v>
      </c>
      <c r="D72" s="153">
        <v>660</v>
      </c>
      <c r="AI72">
        <f t="shared" si="11"/>
        <v>0</v>
      </c>
      <c r="AJ72">
        <f t="shared" si="12"/>
        <v>0</v>
      </c>
      <c r="AK72">
        <f t="shared" si="13"/>
        <v>1</v>
      </c>
      <c r="AL72" t="e">
        <f t="shared" si="10"/>
        <v>#NUM!</v>
      </c>
    </row>
    <row r="73" spans="1:38" x14ac:dyDescent="0.25">
      <c r="B73" s="153" t="s">
        <v>2037</v>
      </c>
      <c r="C73" t="s">
        <v>146</v>
      </c>
      <c r="D73" s="153">
        <v>10</v>
      </c>
      <c r="E73" t="s">
        <v>93</v>
      </c>
      <c r="F73">
        <v>10</v>
      </c>
      <c r="G73" t="s">
        <v>2051</v>
      </c>
      <c r="H73">
        <v>3</v>
      </c>
      <c r="I73" t="s">
        <v>115</v>
      </c>
      <c r="J73">
        <v>117</v>
      </c>
      <c r="K73">
        <v>3.45</v>
      </c>
      <c r="AG73">
        <v>4</v>
      </c>
      <c r="AH73">
        <v>2026</v>
      </c>
      <c r="AI73">
        <f t="shared" si="11"/>
        <v>1</v>
      </c>
      <c r="AJ73">
        <f t="shared" si="12"/>
        <v>1</v>
      </c>
      <c r="AK73">
        <f t="shared" si="13"/>
        <v>1</v>
      </c>
      <c r="AL73">
        <f t="shared" si="10"/>
        <v>300</v>
      </c>
    </row>
    <row r="74" spans="1:38" x14ac:dyDescent="0.25">
      <c r="B74" s="153" t="s">
        <v>2038</v>
      </c>
      <c r="C74" t="s">
        <v>138</v>
      </c>
      <c r="D74" s="153">
        <v>79</v>
      </c>
      <c r="E74" t="s">
        <v>94</v>
      </c>
      <c r="F74">
        <v>25</v>
      </c>
      <c r="G74" t="s">
        <v>71</v>
      </c>
      <c r="H74">
        <v>11</v>
      </c>
      <c r="I74" t="s">
        <v>1784</v>
      </c>
      <c r="J74">
        <v>172</v>
      </c>
      <c r="K74">
        <v>7.2</v>
      </c>
      <c r="AI74">
        <f t="shared" si="11"/>
        <v>1</v>
      </c>
      <c r="AJ74">
        <f t="shared" si="12"/>
        <v>1</v>
      </c>
      <c r="AK74">
        <f t="shared" si="13"/>
        <v>1</v>
      </c>
      <c r="AL74" t="e">
        <f t="shared" si="10"/>
        <v>#NUM!</v>
      </c>
    </row>
    <row r="75" spans="1:38" x14ac:dyDescent="0.25">
      <c r="B75" s="153" t="s">
        <v>2038</v>
      </c>
      <c r="C75" t="s">
        <v>138</v>
      </c>
      <c r="D75" s="153">
        <v>80</v>
      </c>
      <c r="E75" t="s">
        <v>93</v>
      </c>
      <c r="F75">
        <v>15</v>
      </c>
      <c r="G75" t="s">
        <v>2052</v>
      </c>
      <c r="H75">
        <v>11</v>
      </c>
      <c r="I75" t="s">
        <v>1486</v>
      </c>
      <c r="J75">
        <v>162</v>
      </c>
      <c r="K75">
        <v>6.2</v>
      </c>
      <c r="O75">
        <v>2</v>
      </c>
      <c r="P75" t="s">
        <v>1664</v>
      </c>
      <c r="Q75">
        <v>150</v>
      </c>
      <c r="R75">
        <v>6</v>
      </c>
      <c r="AI75">
        <f t="shared" si="11"/>
        <v>1</v>
      </c>
      <c r="AJ75">
        <f t="shared" si="12"/>
        <v>1</v>
      </c>
      <c r="AK75">
        <f t="shared" si="13"/>
        <v>1</v>
      </c>
      <c r="AL75" t="e">
        <f t="shared" si="10"/>
        <v>#NUM!</v>
      </c>
    </row>
    <row r="76" spans="1:38" x14ac:dyDescent="0.25">
      <c r="B76" s="153" t="s">
        <v>2038</v>
      </c>
      <c r="C76" t="s">
        <v>161</v>
      </c>
      <c r="D76" s="153">
        <v>32</v>
      </c>
      <c r="E76" t="s">
        <v>94</v>
      </c>
      <c r="F76">
        <v>20</v>
      </c>
      <c r="G76" t="s">
        <v>2053</v>
      </c>
      <c r="H76">
        <v>8</v>
      </c>
      <c r="I76" t="s">
        <v>1954</v>
      </c>
      <c r="J76">
        <v>150</v>
      </c>
      <c r="K76">
        <v>4</v>
      </c>
      <c r="AI76">
        <f t="shared" si="11"/>
        <v>0</v>
      </c>
      <c r="AJ76">
        <f t="shared" si="12"/>
        <v>1</v>
      </c>
      <c r="AK76">
        <f t="shared" si="13"/>
        <v>1</v>
      </c>
      <c r="AL76" t="e">
        <f t="shared" si="10"/>
        <v>#NUM!</v>
      </c>
    </row>
    <row r="77" spans="1:38" x14ac:dyDescent="0.25">
      <c r="B77" s="153" t="s">
        <v>2039</v>
      </c>
      <c r="C77" t="s">
        <v>318</v>
      </c>
      <c r="D77" s="153">
        <v>124</v>
      </c>
      <c r="E77" t="s">
        <v>94</v>
      </c>
      <c r="F77">
        <v>25</v>
      </c>
      <c r="G77" t="s">
        <v>2054</v>
      </c>
      <c r="H77">
        <v>20</v>
      </c>
      <c r="I77" t="s">
        <v>1486</v>
      </c>
      <c r="J77">
        <v>162</v>
      </c>
      <c r="K77">
        <v>6.2</v>
      </c>
      <c r="AG77">
        <v>2</v>
      </c>
      <c r="AH77">
        <v>2027</v>
      </c>
      <c r="AI77">
        <f t="shared" si="11"/>
        <v>1</v>
      </c>
      <c r="AJ77">
        <f t="shared" si="12"/>
        <v>1</v>
      </c>
      <c r="AK77">
        <f t="shared" si="13"/>
        <v>1</v>
      </c>
      <c r="AL77">
        <f t="shared" si="10"/>
        <v>472</v>
      </c>
    </row>
    <row r="78" spans="1:38" x14ac:dyDescent="0.25">
      <c r="B78" s="153" t="s">
        <v>2039</v>
      </c>
      <c r="C78" t="s">
        <v>318</v>
      </c>
      <c r="D78" s="153">
        <v>108</v>
      </c>
      <c r="E78" t="s">
        <v>94</v>
      </c>
      <c r="F78">
        <v>25</v>
      </c>
      <c r="G78" t="s">
        <v>2054</v>
      </c>
      <c r="H78">
        <v>15</v>
      </c>
      <c r="I78" t="s">
        <v>1960</v>
      </c>
      <c r="J78">
        <v>162</v>
      </c>
      <c r="K78">
        <v>6.4</v>
      </c>
      <c r="O78">
        <v>2</v>
      </c>
      <c r="P78" t="s">
        <v>1486</v>
      </c>
      <c r="Q78">
        <v>162</v>
      </c>
      <c r="R78">
        <v>6.2</v>
      </c>
      <c r="AG78">
        <v>2</v>
      </c>
      <c r="AH78">
        <v>2027</v>
      </c>
      <c r="AI78">
        <f t="shared" si="11"/>
        <v>1</v>
      </c>
      <c r="AJ78">
        <f t="shared" si="12"/>
        <v>1</v>
      </c>
      <c r="AK78">
        <f t="shared" si="13"/>
        <v>1</v>
      </c>
      <c r="AL78">
        <f t="shared" si="10"/>
        <v>472</v>
      </c>
    </row>
    <row r="79" spans="1:38" x14ac:dyDescent="0.25">
      <c r="B79" s="153" t="s">
        <v>2039</v>
      </c>
      <c r="C79" t="s">
        <v>318</v>
      </c>
      <c r="D79" s="153">
        <v>45</v>
      </c>
      <c r="E79" t="s">
        <v>94</v>
      </c>
      <c r="F79">
        <v>25</v>
      </c>
      <c r="G79" t="s">
        <v>2054</v>
      </c>
      <c r="H79">
        <v>7</v>
      </c>
      <c r="I79" t="s">
        <v>1960</v>
      </c>
      <c r="J79">
        <v>162</v>
      </c>
      <c r="K79">
        <v>6.4</v>
      </c>
      <c r="AG79">
        <v>2</v>
      </c>
      <c r="AH79">
        <v>2027</v>
      </c>
      <c r="AI79">
        <f t="shared" si="11"/>
        <v>1</v>
      </c>
      <c r="AJ79">
        <f t="shared" si="12"/>
        <v>1</v>
      </c>
      <c r="AK79">
        <f t="shared" si="13"/>
        <v>1</v>
      </c>
      <c r="AL79">
        <f t="shared" si="10"/>
        <v>472</v>
      </c>
    </row>
    <row r="80" spans="1:38" x14ac:dyDescent="0.25">
      <c r="B80" s="153" t="s">
        <v>2040</v>
      </c>
      <c r="C80" t="s">
        <v>141</v>
      </c>
      <c r="D80" s="153">
        <v>828</v>
      </c>
      <c r="E80" t="s">
        <v>94</v>
      </c>
      <c r="F80">
        <v>25</v>
      </c>
      <c r="G80" t="s">
        <v>1102</v>
      </c>
      <c r="H80">
        <v>184</v>
      </c>
      <c r="I80" t="s">
        <v>1400</v>
      </c>
      <c r="J80">
        <v>150</v>
      </c>
      <c r="K80">
        <v>4.5</v>
      </c>
      <c r="AG80">
        <v>3</v>
      </c>
      <c r="AH80">
        <v>2026</v>
      </c>
      <c r="AI80">
        <f t="shared" si="11"/>
        <v>1</v>
      </c>
      <c r="AJ80">
        <f t="shared" si="12"/>
        <v>1</v>
      </c>
      <c r="AK80">
        <f t="shared" si="13"/>
        <v>1</v>
      </c>
      <c r="AL80">
        <f t="shared" si="10"/>
        <v>196</v>
      </c>
    </row>
    <row r="81" spans="2:38" x14ac:dyDescent="0.25">
      <c r="B81" s="153" t="s">
        <v>2040</v>
      </c>
      <c r="C81" t="s">
        <v>144</v>
      </c>
      <c r="D81" s="153">
        <v>108</v>
      </c>
      <c r="F81">
        <v>30</v>
      </c>
      <c r="G81" t="s">
        <v>30</v>
      </c>
      <c r="H81">
        <v>18</v>
      </c>
      <c r="I81" t="s">
        <v>1404</v>
      </c>
      <c r="J81">
        <v>162</v>
      </c>
      <c r="K81">
        <v>6</v>
      </c>
      <c r="AG81">
        <v>1</v>
      </c>
      <c r="AH81">
        <v>2027</v>
      </c>
      <c r="AI81">
        <f t="shared" si="11"/>
        <v>1</v>
      </c>
      <c r="AJ81">
        <f t="shared" si="12"/>
        <v>1</v>
      </c>
      <c r="AK81">
        <f t="shared" si="13"/>
        <v>1</v>
      </c>
      <c r="AL81">
        <f t="shared" si="10"/>
        <v>380</v>
      </c>
    </row>
    <row r="82" spans="2:38" x14ac:dyDescent="0.25">
      <c r="B82" s="153" t="s">
        <v>2041</v>
      </c>
      <c r="C82" t="s">
        <v>144</v>
      </c>
      <c r="D82" s="153">
        <v>205</v>
      </c>
      <c r="E82" t="s">
        <v>94</v>
      </c>
      <c r="F82">
        <v>30</v>
      </c>
      <c r="H82">
        <v>33</v>
      </c>
      <c r="I82" t="s">
        <v>1486</v>
      </c>
      <c r="J82">
        <v>162</v>
      </c>
      <c r="K82">
        <v>6.2</v>
      </c>
      <c r="AG82">
        <v>1</v>
      </c>
      <c r="AH82">
        <v>2027</v>
      </c>
      <c r="AI82">
        <f t="shared" si="11"/>
        <v>1</v>
      </c>
      <c r="AJ82">
        <f t="shared" si="12"/>
        <v>1</v>
      </c>
      <c r="AK82">
        <f t="shared" si="13"/>
        <v>1</v>
      </c>
      <c r="AL82">
        <f t="shared" si="10"/>
        <v>378</v>
      </c>
    </row>
    <row r="83" spans="2:38" x14ac:dyDescent="0.25">
      <c r="B83" s="153" t="s">
        <v>2042</v>
      </c>
      <c r="C83" t="s">
        <v>1247</v>
      </c>
      <c r="D83" s="153">
        <v>320</v>
      </c>
      <c r="AI83">
        <f t="shared" si="11"/>
        <v>0</v>
      </c>
      <c r="AJ83">
        <f t="shared" si="12"/>
        <v>1</v>
      </c>
      <c r="AK83">
        <f t="shared" si="13"/>
        <v>1</v>
      </c>
      <c r="AL83" t="e">
        <f t="shared" si="10"/>
        <v>#NUM!</v>
      </c>
    </row>
    <row r="84" spans="2:38" x14ac:dyDescent="0.25">
      <c r="B84" s="153" t="s">
        <v>2043</v>
      </c>
      <c r="C84" t="s">
        <v>138</v>
      </c>
      <c r="D84" s="153">
        <v>43</v>
      </c>
      <c r="E84" t="s">
        <v>94</v>
      </c>
      <c r="F84">
        <v>20</v>
      </c>
      <c r="G84" t="s">
        <v>2055</v>
      </c>
      <c r="H84">
        <v>7</v>
      </c>
      <c r="I84" t="s">
        <v>1486</v>
      </c>
      <c r="J84">
        <v>162</v>
      </c>
      <c r="K84">
        <v>6.2</v>
      </c>
      <c r="AG84">
        <v>1</v>
      </c>
      <c r="AH84">
        <v>2027</v>
      </c>
      <c r="AI84">
        <f t="shared" si="11"/>
        <v>1</v>
      </c>
      <c r="AJ84">
        <f t="shared" si="12"/>
        <v>1</v>
      </c>
      <c r="AK84">
        <f t="shared" si="13"/>
        <v>1</v>
      </c>
      <c r="AL84">
        <f t="shared" si="10"/>
        <v>374</v>
      </c>
    </row>
    <row r="85" spans="2:38" x14ac:dyDescent="0.25">
      <c r="B85" s="153" t="s">
        <v>2043</v>
      </c>
      <c r="C85" t="s">
        <v>138</v>
      </c>
      <c r="D85" s="153">
        <v>49</v>
      </c>
      <c r="E85" t="s">
        <v>94</v>
      </c>
      <c r="F85">
        <v>20</v>
      </c>
      <c r="G85" t="s">
        <v>2056</v>
      </c>
      <c r="H85">
        <v>6</v>
      </c>
      <c r="I85" t="s">
        <v>1780</v>
      </c>
      <c r="J85">
        <v>162</v>
      </c>
      <c r="K85">
        <v>7.2</v>
      </c>
      <c r="O85">
        <v>1</v>
      </c>
      <c r="P85" t="s">
        <v>1234</v>
      </c>
      <c r="Q85">
        <v>150</v>
      </c>
      <c r="R85">
        <v>5.6</v>
      </c>
      <c r="AG85">
        <v>2</v>
      </c>
      <c r="AH85">
        <v>2027</v>
      </c>
      <c r="AI85">
        <f t="shared" si="11"/>
        <v>1</v>
      </c>
      <c r="AJ85">
        <f t="shared" si="12"/>
        <v>1</v>
      </c>
      <c r="AK85">
        <f t="shared" si="13"/>
        <v>1</v>
      </c>
      <c r="AL85">
        <f t="shared" si="10"/>
        <v>464</v>
      </c>
    </row>
    <row r="86" spans="2:38" x14ac:dyDescent="0.25">
      <c r="B86" s="153" t="s">
        <v>2043</v>
      </c>
      <c r="C86" t="s">
        <v>138</v>
      </c>
      <c r="D86" s="153">
        <v>48</v>
      </c>
      <c r="E86" t="s">
        <v>93</v>
      </c>
      <c r="F86">
        <v>25</v>
      </c>
      <c r="G86" t="s">
        <v>2057</v>
      </c>
      <c r="H86">
        <v>8</v>
      </c>
      <c r="I86" t="s">
        <v>1664</v>
      </c>
      <c r="J86">
        <v>150</v>
      </c>
      <c r="K86">
        <v>6</v>
      </c>
      <c r="AG86">
        <v>1</v>
      </c>
      <c r="AH86">
        <v>2027</v>
      </c>
      <c r="AI86">
        <f t="shared" si="11"/>
        <v>1</v>
      </c>
      <c r="AJ86">
        <f t="shared" si="12"/>
        <v>1</v>
      </c>
      <c r="AK86">
        <f t="shared" si="13"/>
        <v>1</v>
      </c>
      <c r="AL86">
        <f t="shared" si="10"/>
        <v>374</v>
      </c>
    </row>
    <row r="87" spans="2:38" x14ac:dyDescent="0.25">
      <c r="B87" s="153" t="s">
        <v>2043</v>
      </c>
      <c r="C87" t="s">
        <v>138</v>
      </c>
      <c r="D87" s="153">
        <v>24</v>
      </c>
      <c r="E87" t="s">
        <v>93</v>
      </c>
      <c r="F87">
        <v>25</v>
      </c>
      <c r="G87" t="s">
        <v>2057</v>
      </c>
      <c r="H87">
        <v>4</v>
      </c>
      <c r="I87" t="s">
        <v>2058</v>
      </c>
      <c r="AG87">
        <v>2</v>
      </c>
      <c r="AH87">
        <v>2027</v>
      </c>
      <c r="AI87">
        <f t="shared" si="11"/>
        <v>1</v>
      </c>
      <c r="AJ87">
        <f t="shared" si="12"/>
        <v>1</v>
      </c>
      <c r="AK87">
        <f t="shared" si="13"/>
        <v>1</v>
      </c>
      <c r="AL87">
        <f t="shared" si="10"/>
        <v>464</v>
      </c>
    </row>
    <row r="88" spans="2:38" x14ac:dyDescent="0.25">
      <c r="B88" s="153" t="s">
        <v>2043</v>
      </c>
      <c r="C88" t="s">
        <v>138</v>
      </c>
      <c r="D88" s="153">
        <v>38</v>
      </c>
      <c r="E88" t="s">
        <v>93</v>
      </c>
      <c r="F88">
        <v>25</v>
      </c>
      <c r="G88" t="s">
        <v>1720</v>
      </c>
      <c r="H88">
        <v>5</v>
      </c>
      <c r="I88" t="s">
        <v>1486</v>
      </c>
      <c r="O88">
        <v>1</v>
      </c>
      <c r="P88" t="s">
        <v>2059</v>
      </c>
      <c r="Q88">
        <v>162</v>
      </c>
      <c r="R88">
        <v>7.2</v>
      </c>
      <c r="AG88">
        <v>1</v>
      </c>
      <c r="AH88">
        <v>2027</v>
      </c>
      <c r="AI88">
        <f t="shared" si="11"/>
        <v>1</v>
      </c>
      <c r="AJ88">
        <f t="shared" si="12"/>
        <v>1</v>
      </c>
      <c r="AK88">
        <f t="shared" si="13"/>
        <v>1</v>
      </c>
      <c r="AL88">
        <f t="shared" si="10"/>
        <v>374</v>
      </c>
    </row>
    <row r="89" spans="2:38" x14ac:dyDescent="0.25">
      <c r="B89" s="153" t="s">
        <v>2043</v>
      </c>
      <c r="C89" t="s">
        <v>138</v>
      </c>
      <c r="D89" s="153">
        <v>25</v>
      </c>
      <c r="E89" t="s">
        <v>93</v>
      </c>
      <c r="F89">
        <v>20</v>
      </c>
      <c r="G89" t="s">
        <v>1720</v>
      </c>
      <c r="H89">
        <v>4</v>
      </c>
      <c r="I89" t="s">
        <v>1486</v>
      </c>
      <c r="AG89">
        <v>2</v>
      </c>
      <c r="AH89">
        <v>2027</v>
      </c>
      <c r="AI89">
        <f t="shared" si="11"/>
        <v>1</v>
      </c>
      <c r="AJ89">
        <f t="shared" si="12"/>
        <v>1</v>
      </c>
      <c r="AK89">
        <f t="shared" si="13"/>
        <v>1</v>
      </c>
      <c r="AL89">
        <f t="shared" si="10"/>
        <v>464</v>
      </c>
    </row>
    <row r="90" spans="2:38" x14ac:dyDescent="0.25">
      <c r="B90" s="153" t="s">
        <v>2043</v>
      </c>
      <c r="C90" t="s">
        <v>138</v>
      </c>
      <c r="D90" s="153">
        <v>46</v>
      </c>
      <c r="E90" t="s">
        <v>93</v>
      </c>
      <c r="F90">
        <v>20</v>
      </c>
      <c r="H90">
        <v>3</v>
      </c>
      <c r="I90" t="s">
        <v>1784</v>
      </c>
      <c r="O90">
        <v>3</v>
      </c>
      <c r="P90" t="s">
        <v>2060</v>
      </c>
      <c r="Q90">
        <v>162</v>
      </c>
      <c r="R90">
        <v>6.2</v>
      </c>
      <c r="AI90">
        <f t="shared" si="11"/>
        <v>1</v>
      </c>
      <c r="AJ90">
        <f t="shared" si="12"/>
        <v>1</v>
      </c>
      <c r="AK90">
        <f t="shared" si="13"/>
        <v>1</v>
      </c>
      <c r="AL90" t="e">
        <f t="shared" si="10"/>
        <v>#NUM!</v>
      </c>
    </row>
    <row r="91" spans="2:38" x14ac:dyDescent="0.25">
      <c r="B91" s="153" t="s">
        <v>2044</v>
      </c>
      <c r="C91" t="s">
        <v>147</v>
      </c>
      <c r="D91" s="153">
        <v>390</v>
      </c>
      <c r="F91">
        <v>20</v>
      </c>
      <c r="G91" t="s">
        <v>2061</v>
      </c>
      <c r="H91">
        <v>26</v>
      </c>
      <c r="I91" t="s">
        <v>1776</v>
      </c>
      <c r="J91">
        <v>236</v>
      </c>
      <c r="K91">
        <v>15</v>
      </c>
      <c r="AG91">
        <v>3</v>
      </c>
      <c r="AH91">
        <v>2027</v>
      </c>
      <c r="AI91">
        <f t="shared" si="11"/>
        <v>1</v>
      </c>
      <c r="AJ91">
        <f t="shared" si="12"/>
        <v>1</v>
      </c>
      <c r="AK91">
        <f t="shared" si="13"/>
        <v>1</v>
      </c>
      <c r="AL91">
        <f t="shared" si="10"/>
        <v>549</v>
      </c>
    </row>
    <row r="92" spans="2:38" x14ac:dyDescent="0.25">
      <c r="B92" s="153" t="s">
        <v>2044</v>
      </c>
      <c r="C92" t="s">
        <v>162</v>
      </c>
      <c r="D92" s="153">
        <v>99</v>
      </c>
      <c r="E92" t="s">
        <v>94</v>
      </c>
      <c r="F92">
        <v>20</v>
      </c>
      <c r="H92">
        <v>22</v>
      </c>
      <c r="I92" t="s">
        <v>1559</v>
      </c>
      <c r="J92">
        <v>136</v>
      </c>
      <c r="K92">
        <v>4.5</v>
      </c>
      <c r="AG92">
        <v>1</v>
      </c>
      <c r="AH92">
        <v>2027</v>
      </c>
      <c r="AI92">
        <f t="shared" si="11"/>
        <v>1</v>
      </c>
      <c r="AJ92">
        <f t="shared" si="12"/>
        <v>1</v>
      </c>
      <c r="AK92">
        <f t="shared" si="13"/>
        <v>1</v>
      </c>
      <c r="AL92">
        <f t="shared" si="10"/>
        <v>368</v>
      </c>
    </row>
    <row r="93" spans="2:38" x14ac:dyDescent="0.25">
      <c r="B93" s="153" t="s">
        <v>2044</v>
      </c>
      <c r="C93" t="s">
        <v>162</v>
      </c>
      <c r="D93" s="153">
        <v>47</v>
      </c>
      <c r="H93">
        <v>11</v>
      </c>
      <c r="I93" t="s">
        <v>2028</v>
      </c>
      <c r="J93">
        <v>117</v>
      </c>
      <c r="K93">
        <v>4.3</v>
      </c>
      <c r="AI93">
        <f t="shared" si="11"/>
        <v>1</v>
      </c>
      <c r="AJ93">
        <f t="shared" si="12"/>
        <v>1</v>
      </c>
      <c r="AK93">
        <f t="shared" si="13"/>
        <v>1</v>
      </c>
      <c r="AL93" t="e">
        <f t="shared" si="10"/>
        <v>#NUM!</v>
      </c>
    </row>
    <row r="94" spans="2:38" x14ac:dyDescent="0.25">
      <c r="B94" s="153" t="s">
        <v>2044</v>
      </c>
      <c r="C94" t="s">
        <v>162</v>
      </c>
      <c r="D94" s="153">
        <v>42</v>
      </c>
      <c r="E94" t="s">
        <v>94</v>
      </c>
      <c r="F94">
        <v>20</v>
      </c>
      <c r="G94" t="s">
        <v>2062</v>
      </c>
      <c r="H94">
        <v>7</v>
      </c>
      <c r="I94" t="s">
        <v>1664</v>
      </c>
      <c r="J94">
        <v>150</v>
      </c>
      <c r="K94">
        <v>6</v>
      </c>
      <c r="AG94">
        <v>3</v>
      </c>
      <c r="AH94">
        <v>2026</v>
      </c>
      <c r="AI94">
        <f t="shared" si="11"/>
        <v>1</v>
      </c>
      <c r="AJ94">
        <f t="shared" si="12"/>
        <v>1</v>
      </c>
      <c r="AK94">
        <f t="shared" si="13"/>
        <v>1</v>
      </c>
      <c r="AL94">
        <f t="shared" si="10"/>
        <v>184</v>
      </c>
    </row>
    <row r="95" spans="2:38" x14ac:dyDescent="0.25">
      <c r="B95" s="153" t="s">
        <v>2044</v>
      </c>
      <c r="C95" t="s">
        <v>146</v>
      </c>
      <c r="D95" s="153">
        <v>125</v>
      </c>
      <c r="E95" t="s">
        <v>94</v>
      </c>
      <c r="G95" t="s">
        <v>1359</v>
      </c>
      <c r="H95">
        <v>18</v>
      </c>
      <c r="I95" t="s">
        <v>1709</v>
      </c>
      <c r="J95">
        <v>163</v>
      </c>
      <c r="K95">
        <v>4.5</v>
      </c>
      <c r="O95">
        <v>6</v>
      </c>
      <c r="P95" t="s">
        <v>1559</v>
      </c>
      <c r="Q95">
        <v>136</v>
      </c>
      <c r="R95">
        <v>4.5</v>
      </c>
      <c r="U95">
        <v>4</v>
      </c>
      <c r="V95" t="s">
        <v>1156</v>
      </c>
      <c r="W95">
        <v>117</v>
      </c>
      <c r="X95">
        <v>4.2</v>
      </c>
      <c r="AG95">
        <v>3</v>
      </c>
      <c r="AH95">
        <v>2026</v>
      </c>
      <c r="AI95">
        <f t="shared" si="11"/>
        <v>1</v>
      </c>
      <c r="AJ95">
        <f t="shared" si="12"/>
        <v>1</v>
      </c>
      <c r="AK95">
        <f t="shared" si="13"/>
        <v>1</v>
      </c>
      <c r="AL95">
        <f t="shared" si="10"/>
        <v>184</v>
      </c>
    </row>
    <row r="96" spans="2:38" x14ac:dyDescent="0.25">
      <c r="B96" s="153" t="s">
        <v>2044</v>
      </c>
      <c r="C96" t="s">
        <v>166</v>
      </c>
      <c r="D96" s="153">
        <v>88</v>
      </c>
      <c r="E96" t="s">
        <v>93</v>
      </c>
      <c r="F96">
        <v>20</v>
      </c>
      <c r="G96" t="s">
        <v>2063</v>
      </c>
      <c r="H96">
        <v>4</v>
      </c>
      <c r="I96" t="s">
        <v>1486</v>
      </c>
      <c r="J96">
        <v>162</v>
      </c>
      <c r="K96">
        <v>6.2</v>
      </c>
      <c r="O96">
        <v>9</v>
      </c>
      <c r="P96" t="s">
        <v>1709</v>
      </c>
      <c r="Q96">
        <v>163</v>
      </c>
      <c r="R96">
        <v>4.5</v>
      </c>
      <c r="U96">
        <v>5</v>
      </c>
      <c r="V96" t="s">
        <v>1400</v>
      </c>
      <c r="W96">
        <v>150</v>
      </c>
      <c r="X96">
        <v>4.5</v>
      </c>
      <c r="AG96">
        <v>1</v>
      </c>
      <c r="AH96">
        <v>2027</v>
      </c>
      <c r="AI96">
        <f t="shared" si="11"/>
        <v>1</v>
      </c>
      <c r="AJ96">
        <f t="shared" si="12"/>
        <v>1</v>
      </c>
      <c r="AK96">
        <f t="shared" si="13"/>
        <v>1</v>
      </c>
      <c r="AL96">
        <f t="shared" si="10"/>
        <v>368</v>
      </c>
    </row>
    <row r="97" spans="1:38" x14ac:dyDescent="0.25">
      <c r="B97" s="153" t="s">
        <v>2044</v>
      </c>
      <c r="C97" t="s">
        <v>852</v>
      </c>
      <c r="D97" s="153">
        <v>45</v>
      </c>
      <c r="E97" t="s">
        <v>94</v>
      </c>
      <c r="G97" t="s">
        <v>2064</v>
      </c>
      <c r="H97">
        <v>10</v>
      </c>
      <c r="I97" t="s">
        <v>1709</v>
      </c>
      <c r="J97">
        <v>163</v>
      </c>
      <c r="K97">
        <v>4.5</v>
      </c>
      <c r="AG97">
        <v>4</v>
      </c>
      <c r="AH97">
        <v>2026</v>
      </c>
      <c r="AI97">
        <f t="shared" si="11"/>
        <v>1</v>
      </c>
      <c r="AJ97">
        <f t="shared" si="12"/>
        <v>1</v>
      </c>
      <c r="AK97">
        <f t="shared" si="13"/>
        <v>1</v>
      </c>
      <c r="AL97">
        <f t="shared" si="10"/>
        <v>276</v>
      </c>
    </row>
    <row r="98" spans="1:38" x14ac:dyDescent="0.25">
      <c r="B98" s="153" t="s">
        <v>2044</v>
      </c>
      <c r="C98" t="s">
        <v>852</v>
      </c>
      <c r="D98" s="153">
        <v>32</v>
      </c>
      <c r="E98" t="s">
        <v>93</v>
      </c>
      <c r="F98">
        <v>20</v>
      </c>
      <c r="G98" t="s">
        <v>2065</v>
      </c>
      <c r="H98">
        <v>7</v>
      </c>
      <c r="I98" t="s">
        <v>1709</v>
      </c>
      <c r="J98">
        <v>163</v>
      </c>
      <c r="K98">
        <v>4.5</v>
      </c>
      <c r="AG98">
        <v>1</v>
      </c>
      <c r="AH98">
        <v>2027</v>
      </c>
      <c r="AI98">
        <f t="shared" si="11"/>
        <v>1</v>
      </c>
      <c r="AJ98">
        <f t="shared" si="12"/>
        <v>1</v>
      </c>
      <c r="AK98">
        <f t="shared" si="13"/>
        <v>1</v>
      </c>
      <c r="AL98">
        <f t="shared" si="10"/>
        <v>368</v>
      </c>
    </row>
    <row r="99" spans="1:38" x14ac:dyDescent="0.25">
      <c r="B99" s="153" t="s">
        <v>2045</v>
      </c>
      <c r="C99" t="s">
        <v>147</v>
      </c>
      <c r="D99" s="153">
        <v>43</v>
      </c>
      <c r="E99" t="s">
        <v>94</v>
      </c>
      <c r="F99">
        <v>20</v>
      </c>
      <c r="G99" t="s">
        <v>2066</v>
      </c>
      <c r="H99">
        <v>7</v>
      </c>
      <c r="I99" t="s">
        <v>1486</v>
      </c>
      <c r="J99">
        <v>162</v>
      </c>
      <c r="K99">
        <v>6.2</v>
      </c>
      <c r="AG99">
        <v>3</v>
      </c>
      <c r="AH99">
        <v>2027</v>
      </c>
      <c r="AI99">
        <f t="shared" si="11"/>
        <v>1</v>
      </c>
      <c r="AJ99">
        <f t="shared" si="12"/>
        <v>1</v>
      </c>
      <c r="AK99">
        <f t="shared" si="13"/>
        <v>1</v>
      </c>
      <c r="AL99">
        <f t="shared" si="10"/>
        <v>548</v>
      </c>
    </row>
    <row r="100" spans="1:38" x14ac:dyDescent="0.25">
      <c r="B100" s="153" t="s">
        <v>2045</v>
      </c>
      <c r="C100" t="s">
        <v>146</v>
      </c>
      <c r="D100" s="153">
        <v>102</v>
      </c>
      <c r="F100">
        <v>10</v>
      </c>
      <c r="G100" t="s">
        <v>1044</v>
      </c>
      <c r="H100">
        <v>12</v>
      </c>
      <c r="I100" t="s">
        <v>1400</v>
      </c>
      <c r="J100">
        <v>150</v>
      </c>
      <c r="K100">
        <v>4.5</v>
      </c>
      <c r="O100">
        <v>5</v>
      </c>
      <c r="P100" t="s">
        <v>1234</v>
      </c>
      <c r="Q100">
        <v>150</v>
      </c>
      <c r="R100">
        <v>5.6</v>
      </c>
      <c r="U100">
        <v>4</v>
      </c>
      <c r="V100" t="s">
        <v>1559</v>
      </c>
      <c r="W100">
        <v>136</v>
      </c>
      <c r="X100">
        <v>4.5</v>
      </c>
      <c r="AG100">
        <v>4</v>
      </c>
      <c r="AH100">
        <v>2026</v>
      </c>
      <c r="AI100">
        <f t="shared" si="11"/>
        <v>1</v>
      </c>
      <c r="AJ100">
        <f t="shared" si="12"/>
        <v>1</v>
      </c>
      <c r="AK100">
        <f t="shared" si="13"/>
        <v>1</v>
      </c>
      <c r="AL100">
        <f t="shared" si="10"/>
        <v>275</v>
      </c>
    </row>
    <row r="101" spans="1:38" x14ac:dyDescent="0.25">
      <c r="B101" s="153" t="s">
        <v>2046</v>
      </c>
      <c r="C101" t="s">
        <v>144</v>
      </c>
      <c r="D101" s="153">
        <v>288</v>
      </c>
      <c r="E101" t="s">
        <v>94</v>
      </c>
      <c r="F101">
        <v>30</v>
      </c>
      <c r="H101">
        <v>40</v>
      </c>
      <c r="I101" t="s">
        <v>1784</v>
      </c>
      <c r="J101">
        <v>172</v>
      </c>
      <c r="K101">
        <v>7.2</v>
      </c>
      <c r="AG101">
        <v>2</v>
      </c>
      <c r="AH101">
        <v>2027</v>
      </c>
      <c r="AI101">
        <f t="shared" si="11"/>
        <v>1</v>
      </c>
      <c r="AJ101">
        <f t="shared" si="12"/>
        <v>1</v>
      </c>
      <c r="AK101">
        <f t="shared" si="13"/>
        <v>1</v>
      </c>
      <c r="AL101">
        <f t="shared" si="10"/>
        <v>456</v>
      </c>
    </row>
    <row r="102" spans="1:38" x14ac:dyDescent="0.25">
      <c r="B102" s="153" t="s">
        <v>2046</v>
      </c>
      <c r="C102" t="s">
        <v>2050</v>
      </c>
      <c r="D102" s="153">
        <v>574</v>
      </c>
      <c r="AI102">
        <f t="shared" si="11"/>
        <v>0</v>
      </c>
      <c r="AJ102">
        <f t="shared" si="12"/>
        <v>1</v>
      </c>
      <c r="AK102">
        <f t="shared" si="13"/>
        <v>1</v>
      </c>
      <c r="AL102" t="e">
        <f t="shared" si="10"/>
        <v>#NUM!</v>
      </c>
    </row>
    <row r="103" spans="1:38" x14ac:dyDescent="0.25">
      <c r="B103" s="153" t="s">
        <v>2046</v>
      </c>
      <c r="C103" t="s">
        <v>146</v>
      </c>
      <c r="D103" s="153">
        <v>52</v>
      </c>
      <c r="E103" t="s">
        <v>94</v>
      </c>
      <c r="F103">
        <v>10</v>
      </c>
      <c r="H103">
        <v>8</v>
      </c>
      <c r="I103" t="s">
        <v>2067</v>
      </c>
      <c r="J103">
        <v>162</v>
      </c>
      <c r="K103">
        <v>6.5</v>
      </c>
      <c r="AG103">
        <v>2</v>
      </c>
      <c r="AH103">
        <v>2026</v>
      </c>
      <c r="AI103">
        <f t="shared" si="11"/>
        <v>1</v>
      </c>
      <c r="AJ103">
        <f t="shared" si="12"/>
        <v>1</v>
      </c>
      <c r="AK103">
        <f t="shared" si="13"/>
        <v>1</v>
      </c>
      <c r="AL103">
        <f t="shared" si="10"/>
        <v>91</v>
      </c>
    </row>
    <row r="104" spans="1:38" x14ac:dyDescent="0.25">
      <c r="B104" s="153" t="s">
        <v>2046</v>
      </c>
      <c r="C104" t="s">
        <v>166</v>
      </c>
      <c r="D104" s="153">
        <v>36</v>
      </c>
      <c r="E104" t="s">
        <v>94</v>
      </c>
      <c r="F104">
        <v>10</v>
      </c>
      <c r="H104">
        <v>5</v>
      </c>
      <c r="I104" t="s">
        <v>1780</v>
      </c>
      <c r="J104">
        <v>162</v>
      </c>
      <c r="K104">
        <v>7.2</v>
      </c>
      <c r="AG104">
        <v>2</v>
      </c>
      <c r="AH104">
        <v>2027</v>
      </c>
      <c r="AI104">
        <f t="shared" si="11"/>
        <v>1</v>
      </c>
      <c r="AJ104">
        <f t="shared" si="12"/>
        <v>1</v>
      </c>
      <c r="AK104">
        <f t="shared" si="13"/>
        <v>1</v>
      </c>
      <c r="AL104">
        <f t="shared" si="10"/>
        <v>456</v>
      </c>
    </row>
    <row r="105" spans="1:38" x14ac:dyDescent="0.25">
      <c r="B105" s="153" t="s">
        <v>2046</v>
      </c>
      <c r="C105" t="s">
        <v>166</v>
      </c>
      <c r="D105" s="153">
        <v>19</v>
      </c>
      <c r="E105" t="s">
        <v>94</v>
      </c>
      <c r="F105">
        <v>10</v>
      </c>
      <c r="H105">
        <v>3</v>
      </c>
      <c r="I105" t="s">
        <v>2067</v>
      </c>
      <c r="J105">
        <v>162</v>
      </c>
      <c r="K105">
        <v>6.5</v>
      </c>
      <c r="AG105">
        <v>2</v>
      </c>
      <c r="AH105">
        <v>2027</v>
      </c>
      <c r="AI105">
        <f t="shared" si="11"/>
        <v>1</v>
      </c>
      <c r="AJ105">
        <f t="shared" si="12"/>
        <v>1</v>
      </c>
      <c r="AK105">
        <f t="shared" si="13"/>
        <v>1</v>
      </c>
      <c r="AL105">
        <f t="shared" si="10"/>
        <v>456</v>
      </c>
    </row>
    <row r="106" spans="1:38" x14ac:dyDescent="0.25">
      <c r="B106" s="153" t="s">
        <v>2046</v>
      </c>
      <c r="C106" t="s">
        <v>852</v>
      </c>
      <c r="D106" s="153">
        <v>32</v>
      </c>
      <c r="E106" t="s">
        <v>94</v>
      </c>
      <c r="F106">
        <v>10</v>
      </c>
      <c r="H106">
        <v>5</v>
      </c>
      <c r="I106" t="s">
        <v>2067</v>
      </c>
      <c r="J106">
        <v>162</v>
      </c>
      <c r="K106">
        <v>6.5</v>
      </c>
      <c r="AG106">
        <v>2</v>
      </c>
      <c r="AH106">
        <v>2027</v>
      </c>
      <c r="AI106">
        <f t="shared" si="11"/>
        <v>1</v>
      </c>
      <c r="AJ106">
        <f t="shared" si="12"/>
        <v>1</v>
      </c>
      <c r="AK106">
        <f t="shared" si="13"/>
        <v>1</v>
      </c>
      <c r="AL106">
        <f>_xlfn.DAYS(DATE(AH107,AG107*3-2,1),DATE(RIGHT(B106,4),MID(B106,4,2),LEFT(B106,2)))</f>
        <v>274</v>
      </c>
    </row>
    <row r="107" spans="1:38" x14ac:dyDescent="0.25">
      <c r="B107" s="153" t="s">
        <v>2046</v>
      </c>
      <c r="C107" t="s">
        <v>852</v>
      </c>
      <c r="D107" s="153">
        <v>18</v>
      </c>
      <c r="E107" t="s">
        <v>94</v>
      </c>
      <c r="F107">
        <v>10</v>
      </c>
      <c r="H107">
        <v>4</v>
      </c>
      <c r="I107" t="s">
        <v>1559</v>
      </c>
      <c r="J107">
        <v>136</v>
      </c>
      <c r="K107">
        <v>4.5</v>
      </c>
      <c r="AG107">
        <v>4</v>
      </c>
      <c r="AH107">
        <v>2026</v>
      </c>
      <c r="AI107">
        <f t="shared" si="11"/>
        <v>1</v>
      </c>
      <c r="AJ107">
        <f t="shared" si="12"/>
        <v>1</v>
      </c>
      <c r="AK107">
        <f t="shared" si="13"/>
        <v>1</v>
      </c>
      <c r="AL107">
        <f>_xlfn.DAYS(DATE(AH108,AG108*3-2,1),DATE(RIGHT(B107,4),MID(B107,4,2),LEFT(B107,2)))</f>
        <v>274</v>
      </c>
    </row>
    <row r="108" spans="1:38" s="11" customFormat="1" x14ac:dyDescent="0.25">
      <c r="A108" s="11">
        <f>SUM(D67:D108)</f>
        <v>5476</v>
      </c>
      <c r="B108" s="159" t="s">
        <v>2046</v>
      </c>
      <c r="C108" s="11" t="s">
        <v>206</v>
      </c>
      <c r="D108" s="11">
        <v>25</v>
      </c>
      <c r="E108" s="11" t="s">
        <v>94</v>
      </c>
      <c r="F108" s="11">
        <v>10</v>
      </c>
      <c r="H108" s="11">
        <v>4</v>
      </c>
      <c r="I108" s="11" t="s">
        <v>1156</v>
      </c>
      <c r="J108" s="11">
        <v>117</v>
      </c>
      <c r="K108" s="11">
        <v>4.2</v>
      </c>
      <c r="O108" s="11">
        <v>2</v>
      </c>
      <c r="P108" s="11" t="s">
        <v>121</v>
      </c>
      <c r="Q108" s="11">
        <v>136</v>
      </c>
      <c r="R108" s="11">
        <v>4.2</v>
      </c>
      <c r="AG108" s="11">
        <v>4</v>
      </c>
      <c r="AH108" s="11">
        <v>2026</v>
      </c>
      <c r="AI108">
        <f t="shared" si="11"/>
        <v>1</v>
      </c>
      <c r="AJ108">
        <f t="shared" si="12"/>
        <v>1</v>
      </c>
      <c r="AK108">
        <f t="shared" si="13"/>
        <v>1</v>
      </c>
      <c r="AL108" s="11" t="e">
        <f>_xlfn.DAYS(DATE(#REF!,#REF!*3-2,1),DATE(RIGHT(B108,4),MID(B108,4,2),LEFT(B108,2)))</f>
        <v>#REF!</v>
      </c>
    </row>
    <row r="111" spans="1:38" hidden="1" x14ac:dyDescent="0.25"/>
    <row r="112" spans="1:38"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53" spans="2:5" ht="15.75" thickBot="1" x14ac:dyDescent="0.3"/>
    <row r="154" spans="2:5" x14ac:dyDescent="0.25">
      <c r="B154" s="72" t="s">
        <v>1573</v>
      </c>
      <c r="C154" s="73"/>
      <c r="D154" s="74"/>
      <c r="E154" s="74"/>
    </row>
    <row r="155" spans="2:5" x14ac:dyDescent="0.25">
      <c r="B155" s="75" t="s">
        <v>1574</v>
      </c>
      <c r="D155" s="80">
        <v>736</v>
      </c>
      <c r="E155" s="76"/>
    </row>
    <row r="156" spans="2:5" x14ac:dyDescent="0.25">
      <c r="B156" s="77" t="s">
        <v>1575</v>
      </c>
      <c r="D156" s="81">
        <v>897</v>
      </c>
      <c r="E156" s="76"/>
    </row>
    <row r="157" spans="2:5" x14ac:dyDescent="0.25">
      <c r="B157" s="77" t="s">
        <v>1576</v>
      </c>
      <c r="D157" s="81">
        <v>604</v>
      </c>
      <c r="E157" s="76"/>
    </row>
    <row r="158" spans="2:5" x14ac:dyDescent="0.25">
      <c r="B158" s="77" t="s">
        <v>1577</v>
      </c>
      <c r="D158" s="81">
        <v>1006</v>
      </c>
      <c r="E158" s="76"/>
    </row>
    <row r="159" spans="2:5" ht="15.75" thickBot="1" x14ac:dyDescent="0.3">
      <c r="B159" s="82" t="s">
        <v>1163</v>
      </c>
      <c r="C159" s="60"/>
      <c r="D159" s="83">
        <f>SUM(D1:D158)</f>
        <v>16232</v>
      </c>
      <c r="E159" s="76"/>
    </row>
    <row r="160" spans="2:5" ht="15.75" thickBot="1" x14ac:dyDescent="0.3">
      <c r="B160" s="84" t="s">
        <v>1625</v>
      </c>
      <c r="C160" s="85"/>
      <c r="D160" s="86">
        <f>SUM(D155:D158)</f>
        <v>3243</v>
      </c>
      <c r="E160" s="87">
        <f>D160/D159</f>
        <v>0.19979053721044851</v>
      </c>
    </row>
    <row r="167" spans="1:20" x14ac:dyDescent="0.25">
      <c r="C167" s="5" t="s">
        <v>150</v>
      </c>
      <c r="D167" s="6" t="s">
        <v>91</v>
      </c>
      <c r="E167" s="6" t="s">
        <v>130</v>
      </c>
      <c r="F167" s="6"/>
      <c r="G167" s="7" t="s">
        <v>395</v>
      </c>
      <c r="I167" s="13" t="s">
        <v>124</v>
      </c>
      <c r="J167" s="14"/>
      <c r="K167" s="14"/>
      <c r="L167" s="14" t="s">
        <v>135</v>
      </c>
      <c r="M167" s="14" t="s">
        <v>378</v>
      </c>
      <c r="N167" s="15" t="s">
        <v>130</v>
      </c>
      <c r="P167" s="13"/>
      <c r="Q167" s="14"/>
      <c r="R167" s="14"/>
      <c r="S167" s="14"/>
      <c r="T167" s="15"/>
    </row>
    <row r="168" spans="1:20" x14ac:dyDescent="0.25">
      <c r="C168" s="8" t="s">
        <v>129</v>
      </c>
      <c r="D168" s="1">
        <f>SUM(M168:M172,T168:T170)</f>
        <v>1456</v>
      </c>
      <c r="E168">
        <f>SUM(D2:D115)</f>
        <v>12989</v>
      </c>
      <c r="G168" s="23">
        <f>E168/D168</f>
        <v>8.9210164835164836</v>
      </c>
      <c r="I168" s="8" t="s">
        <v>133</v>
      </c>
      <c r="L168" s="17">
        <f>COUNTIF(K2:K165,"&lt;3")+COUNTIF(X2:X165,"&lt;3")+COUNTIF(R2:R165,"&lt;3")</f>
        <v>1</v>
      </c>
      <c r="M168" s="17">
        <f>SUMIF(K2:K165,"&lt;3",H2:H165)+SUMIF(R2:R165,"&lt;3",O2:O165)+SUMIF(X2:X165,"&lt;3",U2:U165)</f>
        <v>2</v>
      </c>
      <c r="N168" s="138">
        <f>SUMIF(K2:K150,"&lt;3",D2:D150)</f>
        <v>0</v>
      </c>
      <c r="P168" s="8"/>
      <c r="T168" s="9"/>
    </row>
    <row r="169" spans="1:20" x14ac:dyDescent="0.25">
      <c r="C169" s="8" t="s">
        <v>125</v>
      </c>
      <c r="D169">
        <f>COUNT(D2:D150)</f>
        <v>107</v>
      </c>
      <c r="G169" s="9"/>
      <c r="I169" s="8" t="s">
        <v>132</v>
      </c>
      <c r="L169" s="17">
        <f>COUNTIF(K2:K165,"&lt;4")+COUNTIF(X2:X165,"&lt;4")+COUNTIF(R2:R165,"&lt;4")-L168</f>
        <v>2</v>
      </c>
      <c r="M169" s="17">
        <f>SUMIF(K2:K165,"&lt;4",H2:H165)+SUMIF(R2:R165,"&lt;4",O2:O165)+SUMIF(X2:X165,"&lt;4",U2:U165)-M168</f>
        <v>11</v>
      </c>
      <c r="N169" s="138">
        <f>SUMIF(K2:K165,"&lt;4",D2:D165)-N168</f>
        <v>38</v>
      </c>
      <c r="P169" s="8"/>
      <c r="T169" s="9"/>
    </row>
    <row r="170" spans="1:20" x14ac:dyDescent="0.25">
      <c r="C170" s="8" t="s">
        <v>386</v>
      </c>
      <c r="D170">
        <f>COUNTIF(E2:E151,"AOM5000")</f>
        <v>59</v>
      </c>
      <c r="E170">
        <f>SUMIF(E2:E109,"AOM5000",D2:D109)</f>
        <v>6028</v>
      </c>
      <c r="F170" t="s">
        <v>396</v>
      </c>
      <c r="G170" s="21">
        <f>AVERAGEIF(E2:E165,"AOM5000",F2:F165)</f>
        <v>19.074074074074073</v>
      </c>
      <c r="I170" s="8" t="s">
        <v>134</v>
      </c>
      <c r="L170" s="17">
        <f>COUNTIF(K2:K165,"&lt;5")+COUNTIF(X2:X165,"&lt;5")+COUNTIF(R2:R165,"&lt;5")-L169-L168</f>
        <v>33</v>
      </c>
      <c r="M170" s="17">
        <f>SUMIF(K2:K165,"&lt;5",H2:H165)+SUMIF(R2:R165,"&lt;5",O2:O165)+SUMIF(X2:X165,"&lt;5",U2:U165)-M169-M168</f>
        <v>570</v>
      </c>
      <c r="N170" s="138">
        <f>SUMIF(K2:K165,"&lt;5",D2:D165)-N169-N168</f>
        <v>2495</v>
      </c>
      <c r="P170" s="8"/>
      <c r="T170" s="9"/>
    </row>
    <row r="171" spans="1:20" x14ac:dyDescent="0.25">
      <c r="C171" s="8" t="s">
        <v>387</v>
      </c>
      <c r="D171">
        <f>COUNTIF(E2:E151,"AOM4000")</f>
        <v>27</v>
      </c>
      <c r="E171">
        <f>SUMIF(E2:E108,"AOM4000",D2:D108)</f>
        <v>1425</v>
      </c>
      <c r="F171" t="s">
        <v>397</v>
      </c>
      <c r="G171" s="21">
        <f>AVERAGEIF(E2:E165,"AOM4000",F2:F165)</f>
        <v>19.153846153846153</v>
      </c>
      <c r="I171" s="8" t="s">
        <v>1717</v>
      </c>
      <c r="L171" s="17">
        <f>COUNTIF(K2:K165,"&lt;7")+COUNTIF(X2:X165,"&lt;7")+COUNTIF(R2:R165,"&lt;7")-L170-L169-L168</f>
        <v>59</v>
      </c>
      <c r="M171" s="17">
        <f>SUMIF(K3:K166,"&lt;7",H3:H166)+SUMIF(R3:R166,"&lt;7",O3:O166)+SUMIF(X3:X166,"&lt;7",U3:U166)-M170-M169-M168</f>
        <v>579</v>
      </c>
      <c r="N171" s="138">
        <f>SUMIF(K3:K166,"&lt;7",D3:D166)-N170-N169-N168</f>
        <v>3624</v>
      </c>
      <c r="P171" s="8"/>
      <c r="T171" s="9"/>
    </row>
    <row r="172" spans="1:20" x14ac:dyDescent="0.25">
      <c r="C172" s="8" t="s">
        <v>390</v>
      </c>
      <c r="D172" s="18">
        <f>D170/(D171+D170)*100</f>
        <v>68.604651162790702</v>
      </c>
      <c r="E172" s="18">
        <f>E170/(E171+E170)*100</f>
        <v>80.880182476854955</v>
      </c>
      <c r="G172" s="9"/>
      <c r="I172" s="8" t="s">
        <v>1698</v>
      </c>
      <c r="L172" s="17">
        <f>COUNTIF(K2:K165,"&lt;17")+COUNTIF(X2:X165,"&lt;17")+COUNTIF(R2:R165,"&lt;17")-L170-L169-L168-L171</f>
        <v>25</v>
      </c>
      <c r="M172" s="17">
        <f>SUMIF(K3:K166,"&lt;17",H3:H166)+SUMIF(R3:R166,"&lt;17",O3:O166)+SUMIF(X3:X166,"&lt;17",U3:U166)-M170-M169-M168-M171</f>
        <v>294</v>
      </c>
      <c r="N172" s="138">
        <f>SUMIF(K3:K166,"&lt;17",D3:D166)-N170-N169-N168-N171</f>
        <v>3144</v>
      </c>
      <c r="P172" s="8"/>
      <c r="T172" s="9"/>
    </row>
    <row r="173" spans="1:20" x14ac:dyDescent="0.25">
      <c r="C173" s="16" t="s">
        <v>128</v>
      </c>
      <c r="D173" s="22">
        <f>D170/D169*100</f>
        <v>55.140186915887845</v>
      </c>
      <c r="E173" s="22">
        <f>E170/E168*100</f>
        <v>46.408499499576564</v>
      </c>
      <c r="F173" s="11"/>
      <c r="G173" s="12"/>
      <c r="I173" s="8" t="s">
        <v>136</v>
      </c>
      <c r="L173">
        <f>COUNTA(L2:L165)</f>
        <v>6</v>
      </c>
      <c r="N173" s="9"/>
      <c r="P173" s="8"/>
      <c r="T173" s="9"/>
    </row>
    <row r="174" spans="1:20" x14ac:dyDescent="0.25">
      <c r="F174" t="s">
        <v>388</v>
      </c>
      <c r="I174" s="10"/>
      <c r="J174" s="11"/>
      <c r="K174" s="11"/>
      <c r="L174" s="11"/>
      <c r="M174" s="11"/>
      <c r="N174" s="12"/>
      <c r="P174" s="10"/>
      <c r="Q174" s="11"/>
      <c r="R174" s="11"/>
      <c r="S174" s="11"/>
      <c r="T174" s="12"/>
    </row>
    <row r="175" spans="1:20" ht="15.75" thickBot="1" x14ac:dyDescent="0.3">
      <c r="B175" t="s">
        <v>544</v>
      </c>
      <c r="C175" s="5" t="s">
        <v>149</v>
      </c>
      <c r="D175" s="6" t="s">
        <v>135</v>
      </c>
      <c r="E175" s="7" t="s">
        <v>130</v>
      </c>
      <c r="F175" s="5" t="s">
        <v>93</v>
      </c>
      <c r="G175" s="7" t="s">
        <v>94</v>
      </c>
    </row>
    <row r="176" spans="1:20" x14ac:dyDescent="0.25">
      <c r="A176">
        <f t="shared" ref="A176:A202" si="14">COUNTIF($C$176:$C$205,C176)</f>
        <v>1</v>
      </c>
      <c r="B176" s="18">
        <f t="shared" ref="B176:B200" si="15">E176/$E$168*100</f>
        <v>17.622603741627533</v>
      </c>
      <c r="C176" s="8" t="s">
        <v>1247</v>
      </c>
      <c r="D176">
        <f t="shared" ref="D176:D200" si="16">COUNTIF(C$2:C$165,C176)</f>
        <v>5</v>
      </c>
      <c r="E176" s="9">
        <f>SUMIF(C$2:C$107,C176,D$2:D$107)</f>
        <v>2289</v>
      </c>
      <c r="F176" s="8">
        <f t="shared" ref="F176:F200" si="17">SUMIFS($D$2:$D$165,$C$2:$C$165,C176,$E$2:$E$165,$F$175)</f>
        <v>0</v>
      </c>
      <c r="G176" s="9">
        <f t="shared" ref="G176:G200" si="18">SUMIFS($D$2:$D$165,$C$2:$C$165,C176,$E$2:$E$165,$G$175)</f>
        <v>699</v>
      </c>
      <c r="I176" s="116" t="s">
        <v>376</v>
      </c>
      <c r="J176" s="117" t="s">
        <v>377</v>
      </c>
      <c r="K176" t="s">
        <v>1795</v>
      </c>
      <c r="M176" s="116" t="s">
        <v>376</v>
      </c>
      <c r="N176" s="117" t="s">
        <v>377</v>
      </c>
    </row>
    <row r="177" spans="1:14" x14ac:dyDescent="0.25">
      <c r="A177">
        <f t="shared" si="14"/>
        <v>1</v>
      </c>
      <c r="B177" s="18">
        <f t="shared" si="15"/>
        <v>3.8109169297097547</v>
      </c>
      <c r="C177" s="153" t="s">
        <v>1140</v>
      </c>
      <c r="D177">
        <f t="shared" si="16"/>
        <v>1</v>
      </c>
      <c r="E177" s="9">
        <f t="shared" ref="E177:E200" si="19">SUMIF(C$2:C$165,C177,D$2:D$165)</f>
        <v>495</v>
      </c>
      <c r="F177" s="8">
        <f t="shared" si="17"/>
        <v>0</v>
      </c>
      <c r="G177" s="9">
        <f t="shared" si="18"/>
        <v>0</v>
      </c>
      <c r="I177" s="77"/>
      <c r="J177" s="120"/>
      <c r="M177" s="77" t="s">
        <v>949</v>
      </c>
      <c r="N177" s="76">
        <f t="shared" ref="N177:N189" si="20">SUMIF($I$2:$I$98,M177&amp;"*",$H$2:$H$98)+SUMIF($P$2:$P$98,M177&amp;"*",$O$2:$O$98)+SUMIF($V$2:$V$91,M177&amp;"*",$U$2:$U$91)+SUMIF($AB$2:$AB$91,M177&amp;"*",$AA$2:$AA$91)</f>
        <v>0</v>
      </c>
    </row>
    <row r="178" spans="1:14" x14ac:dyDescent="0.25">
      <c r="A178">
        <f t="shared" si="14"/>
        <v>1</v>
      </c>
      <c r="B178" s="18">
        <f t="shared" si="15"/>
        <v>23.850950804526907</v>
      </c>
      <c r="C178" s="8" t="s">
        <v>138</v>
      </c>
      <c r="D178">
        <f t="shared" si="16"/>
        <v>44</v>
      </c>
      <c r="E178" s="9">
        <f t="shared" si="19"/>
        <v>3098</v>
      </c>
      <c r="F178" s="8">
        <f t="shared" si="17"/>
        <v>1022</v>
      </c>
      <c r="G178" s="9">
        <f t="shared" si="18"/>
        <v>903</v>
      </c>
      <c r="I178" s="77"/>
      <c r="J178" s="120"/>
      <c r="M178" s="77" t="s">
        <v>951</v>
      </c>
      <c r="N178" s="76">
        <f t="shared" si="20"/>
        <v>2</v>
      </c>
    </row>
    <row r="179" spans="1:14" x14ac:dyDescent="0.25">
      <c r="A179">
        <f t="shared" si="14"/>
        <v>1</v>
      </c>
      <c r="B179" s="18">
        <f t="shared" si="15"/>
        <v>4.1265686349988453</v>
      </c>
      <c r="C179" s="8" t="s">
        <v>526</v>
      </c>
      <c r="D179">
        <f t="shared" si="16"/>
        <v>4</v>
      </c>
      <c r="E179" s="9">
        <f t="shared" si="19"/>
        <v>536</v>
      </c>
      <c r="F179" s="8">
        <f t="shared" si="17"/>
        <v>28</v>
      </c>
      <c r="G179" s="9">
        <f t="shared" si="18"/>
        <v>508</v>
      </c>
      <c r="I179" s="77" t="s">
        <v>110</v>
      </c>
      <c r="J179" s="120">
        <f t="shared" ref="J179:J201" si="21">SUMIF(I$2:I$165,I179,H$2:H$165)+SUMIF(P$2:P$165,I179,O$2:O$165)+SUMIF(V$2:V$165,I179,U$2:U$165)+SUMIF(AB$2:AB$165,I179,AA$2:AA$165)</f>
        <v>0</v>
      </c>
      <c r="K179" t="e">
        <f t="shared" ref="K179:K201" si="22">AVERAGEIF($I$2:$I$98,I179,$AL$2:$AL$98)</f>
        <v>#DIV/0!</v>
      </c>
      <c r="M179" s="77" t="s">
        <v>954</v>
      </c>
      <c r="N179" s="76">
        <f t="shared" si="20"/>
        <v>71</v>
      </c>
    </row>
    <row r="180" spans="1:14" x14ac:dyDescent="0.25">
      <c r="A180">
        <f t="shared" si="14"/>
        <v>1</v>
      </c>
      <c r="B180" s="18">
        <f t="shared" si="15"/>
        <v>6.3746246824235895</v>
      </c>
      <c r="C180" s="8" t="s">
        <v>141</v>
      </c>
      <c r="D180">
        <f t="shared" si="16"/>
        <v>1</v>
      </c>
      <c r="E180" s="9">
        <f t="shared" si="19"/>
        <v>828</v>
      </c>
      <c r="F180" s="8">
        <f t="shared" si="17"/>
        <v>0</v>
      </c>
      <c r="G180" s="9">
        <f t="shared" si="18"/>
        <v>828</v>
      </c>
      <c r="I180" t="s">
        <v>119</v>
      </c>
      <c r="J180" s="120">
        <f t="shared" si="21"/>
        <v>2</v>
      </c>
      <c r="K180" t="e">
        <f t="shared" si="22"/>
        <v>#DIV/0!</v>
      </c>
      <c r="M180" s="77" t="s">
        <v>955</v>
      </c>
      <c r="N180" s="76">
        <f t="shared" si="20"/>
        <v>0</v>
      </c>
    </row>
    <row r="181" spans="1:14" x14ac:dyDescent="0.25">
      <c r="A181">
        <f t="shared" si="14"/>
        <v>1</v>
      </c>
      <c r="B181" s="18">
        <f t="shared" si="15"/>
        <v>2.7022865501578259</v>
      </c>
      <c r="C181" t="s">
        <v>318</v>
      </c>
      <c r="D181">
        <f t="shared" si="16"/>
        <v>4</v>
      </c>
      <c r="E181" s="9">
        <f t="shared" si="19"/>
        <v>351</v>
      </c>
      <c r="F181" s="8">
        <f t="shared" si="17"/>
        <v>0</v>
      </c>
      <c r="G181" s="9">
        <f t="shared" si="18"/>
        <v>351</v>
      </c>
      <c r="I181" s="77" t="s">
        <v>2028</v>
      </c>
      <c r="J181" s="120">
        <f t="shared" si="21"/>
        <v>16</v>
      </c>
      <c r="K181" t="e">
        <f t="shared" si="22"/>
        <v>#NUM!</v>
      </c>
      <c r="M181" s="77" t="s">
        <v>956</v>
      </c>
      <c r="N181" s="76">
        <f t="shared" si="20"/>
        <v>0</v>
      </c>
    </row>
    <row r="182" spans="1:14" x14ac:dyDescent="0.25">
      <c r="A182">
        <f t="shared" si="14"/>
        <v>1</v>
      </c>
      <c r="B182" s="18">
        <f t="shared" si="15"/>
        <v>4.5346062052505962</v>
      </c>
      <c r="C182" s="8" t="s">
        <v>146</v>
      </c>
      <c r="D182">
        <f t="shared" si="16"/>
        <v>11</v>
      </c>
      <c r="E182" s="9">
        <f t="shared" si="19"/>
        <v>589</v>
      </c>
      <c r="F182" s="8">
        <f t="shared" si="17"/>
        <v>134</v>
      </c>
      <c r="G182" s="9">
        <f t="shared" si="18"/>
        <v>303</v>
      </c>
      <c r="I182" s="153" t="s">
        <v>115</v>
      </c>
      <c r="J182" s="120">
        <f t="shared" si="21"/>
        <v>11</v>
      </c>
      <c r="K182">
        <f t="shared" si="22"/>
        <v>287.5</v>
      </c>
      <c r="M182" s="77" t="s">
        <v>957</v>
      </c>
      <c r="N182" s="76">
        <f t="shared" si="20"/>
        <v>101</v>
      </c>
    </row>
    <row r="183" spans="1:14" x14ac:dyDescent="0.25">
      <c r="A183">
        <f t="shared" si="14"/>
        <v>1</v>
      </c>
      <c r="B183" s="18">
        <f t="shared" si="15"/>
        <v>2.4559242435907307</v>
      </c>
      <c r="C183" t="s">
        <v>27</v>
      </c>
      <c r="D183">
        <f t="shared" si="16"/>
        <v>2</v>
      </c>
      <c r="E183" s="9">
        <f t="shared" si="19"/>
        <v>319</v>
      </c>
      <c r="F183" s="8">
        <f t="shared" si="17"/>
        <v>0</v>
      </c>
      <c r="G183" s="9">
        <f t="shared" si="18"/>
        <v>319</v>
      </c>
      <c r="I183" s="77" t="s">
        <v>1156</v>
      </c>
      <c r="J183" s="120">
        <f t="shared" si="21"/>
        <v>52</v>
      </c>
      <c r="K183" t="e">
        <f t="shared" si="22"/>
        <v>#NUM!</v>
      </c>
      <c r="M183" s="77" t="s">
        <v>958</v>
      </c>
      <c r="N183" s="76">
        <f t="shared" si="20"/>
        <v>404</v>
      </c>
    </row>
    <row r="184" spans="1:14" x14ac:dyDescent="0.25">
      <c r="A184">
        <f t="shared" si="14"/>
        <v>1</v>
      </c>
      <c r="B184" s="18">
        <f t="shared" si="15"/>
        <v>4.626992070213257</v>
      </c>
      <c r="C184" s="8" t="s">
        <v>144</v>
      </c>
      <c r="D184">
        <f t="shared" si="16"/>
        <v>3</v>
      </c>
      <c r="E184" s="9">
        <f t="shared" si="19"/>
        <v>601</v>
      </c>
      <c r="F184" s="8">
        <f t="shared" si="17"/>
        <v>0</v>
      </c>
      <c r="G184" s="9">
        <f t="shared" si="18"/>
        <v>493</v>
      </c>
      <c r="I184" s="77" t="s">
        <v>574</v>
      </c>
      <c r="J184" s="120">
        <f t="shared" si="21"/>
        <v>0</v>
      </c>
      <c r="K184" t="e">
        <f t="shared" si="22"/>
        <v>#DIV/0!</v>
      </c>
      <c r="M184" s="77" t="s">
        <v>1626</v>
      </c>
      <c r="N184" s="76">
        <f t="shared" si="20"/>
        <v>0</v>
      </c>
    </row>
    <row r="185" spans="1:14" x14ac:dyDescent="0.25">
      <c r="A185">
        <f t="shared" si="14"/>
        <v>1</v>
      </c>
      <c r="B185" s="18">
        <f t="shared" si="15"/>
        <v>0.57741165601662947</v>
      </c>
      <c r="C185" s="8" t="s">
        <v>206</v>
      </c>
      <c r="D185">
        <f t="shared" si="16"/>
        <v>2</v>
      </c>
      <c r="E185" s="9">
        <f t="shared" si="19"/>
        <v>75</v>
      </c>
      <c r="F185" s="8">
        <f t="shared" si="17"/>
        <v>0</v>
      </c>
      <c r="G185" s="9">
        <f t="shared" si="18"/>
        <v>75</v>
      </c>
      <c r="I185" s="77" t="s">
        <v>109</v>
      </c>
      <c r="J185" s="120">
        <f t="shared" si="21"/>
        <v>0</v>
      </c>
      <c r="K185" t="e">
        <f t="shared" si="22"/>
        <v>#DIV/0!</v>
      </c>
      <c r="M185" s="77" t="s">
        <v>1627</v>
      </c>
      <c r="N185" s="76">
        <f t="shared" si="20"/>
        <v>589</v>
      </c>
    </row>
    <row r="186" spans="1:14" x14ac:dyDescent="0.25">
      <c r="A186">
        <f t="shared" si="14"/>
        <v>1</v>
      </c>
      <c r="B186" s="18">
        <f t="shared" si="15"/>
        <v>3.0641311879282469</v>
      </c>
      <c r="C186" t="s">
        <v>45</v>
      </c>
      <c r="D186">
        <f t="shared" si="16"/>
        <v>2</v>
      </c>
      <c r="E186" s="9">
        <f t="shared" si="19"/>
        <v>398</v>
      </c>
      <c r="F186" s="8">
        <f t="shared" si="17"/>
        <v>0</v>
      </c>
      <c r="G186" s="9">
        <f t="shared" si="18"/>
        <v>398</v>
      </c>
      <c r="I186" t="s">
        <v>2058</v>
      </c>
      <c r="J186" s="120">
        <f t="shared" si="21"/>
        <v>4</v>
      </c>
      <c r="K186">
        <f t="shared" si="22"/>
        <v>464</v>
      </c>
      <c r="M186" s="77" t="s">
        <v>1715</v>
      </c>
      <c r="N186" s="76">
        <f t="shared" si="20"/>
        <v>44</v>
      </c>
    </row>
    <row r="187" spans="1:14" x14ac:dyDescent="0.25">
      <c r="A187">
        <f t="shared" si="14"/>
        <v>1</v>
      </c>
      <c r="B187" s="18">
        <f t="shared" si="15"/>
        <v>3.6646393101855419</v>
      </c>
      <c r="C187" t="s">
        <v>147</v>
      </c>
      <c r="D187">
        <f t="shared" si="16"/>
        <v>3</v>
      </c>
      <c r="E187" s="9">
        <f t="shared" si="19"/>
        <v>476</v>
      </c>
      <c r="F187" s="8">
        <f t="shared" si="17"/>
        <v>0</v>
      </c>
      <c r="G187" s="9">
        <f t="shared" si="18"/>
        <v>86</v>
      </c>
      <c r="I187" s="77" t="s">
        <v>121</v>
      </c>
      <c r="J187" s="120">
        <f t="shared" si="21"/>
        <v>12</v>
      </c>
      <c r="K187">
        <f t="shared" si="22"/>
        <v>324</v>
      </c>
      <c r="M187" s="77" t="s">
        <v>1793</v>
      </c>
      <c r="N187" s="76">
        <f t="shared" si="20"/>
        <v>85</v>
      </c>
    </row>
    <row r="188" spans="1:14" x14ac:dyDescent="0.25">
      <c r="A188">
        <f t="shared" si="14"/>
        <v>1</v>
      </c>
      <c r="B188" s="18">
        <f t="shared" si="15"/>
        <v>1.4473785510816846</v>
      </c>
      <c r="C188" s="8" t="s">
        <v>162</v>
      </c>
      <c r="D188">
        <f t="shared" si="16"/>
        <v>3</v>
      </c>
      <c r="E188" s="9">
        <f t="shared" si="19"/>
        <v>188</v>
      </c>
      <c r="F188" s="8">
        <f t="shared" si="17"/>
        <v>0</v>
      </c>
      <c r="G188" s="9">
        <f t="shared" si="18"/>
        <v>141</v>
      </c>
      <c r="I188" s="77" t="s">
        <v>1559</v>
      </c>
      <c r="J188" s="120">
        <f t="shared" si="21"/>
        <v>99</v>
      </c>
      <c r="K188">
        <f t="shared" si="22"/>
        <v>329.8</v>
      </c>
      <c r="M188" s="77" t="s">
        <v>1629</v>
      </c>
      <c r="N188" s="76">
        <f t="shared" si="20"/>
        <v>0</v>
      </c>
    </row>
    <row r="189" spans="1:14" ht="15.75" thickBot="1" x14ac:dyDescent="0.3">
      <c r="A189">
        <f t="shared" si="14"/>
        <v>1</v>
      </c>
      <c r="B189" s="18">
        <f t="shared" si="15"/>
        <v>7.0906151358842093</v>
      </c>
      <c r="C189" s="8" t="s">
        <v>2070</v>
      </c>
      <c r="D189">
        <f t="shared" si="16"/>
        <v>2</v>
      </c>
      <c r="E189" s="9">
        <f t="shared" si="19"/>
        <v>921</v>
      </c>
      <c r="F189" s="8">
        <f t="shared" si="17"/>
        <v>0</v>
      </c>
      <c r="G189" s="9">
        <f t="shared" si="18"/>
        <v>0</v>
      </c>
      <c r="I189" s="77" t="s">
        <v>619</v>
      </c>
      <c r="J189" s="120">
        <f t="shared" si="21"/>
        <v>9</v>
      </c>
      <c r="K189" t="e">
        <f t="shared" si="22"/>
        <v>#NUM!</v>
      </c>
      <c r="M189" s="77" t="s">
        <v>1792</v>
      </c>
      <c r="N189" s="76">
        <f t="shared" si="20"/>
        <v>127</v>
      </c>
    </row>
    <row r="190" spans="1:14" ht="15.75" thickBot="1" x14ac:dyDescent="0.3">
      <c r="A190">
        <f t="shared" si="14"/>
        <v>1</v>
      </c>
      <c r="B190" s="18">
        <f t="shared" si="15"/>
        <v>1.6629455693278929</v>
      </c>
      <c r="C190" s="8" t="s">
        <v>166</v>
      </c>
      <c r="D190">
        <f t="shared" si="16"/>
        <v>5</v>
      </c>
      <c r="E190" s="9">
        <f t="shared" si="19"/>
        <v>216</v>
      </c>
      <c r="F190" s="8">
        <f t="shared" si="17"/>
        <v>134</v>
      </c>
      <c r="G190" s="9">
        <f t="shared" si="18"/>
        <v>82</v>
      </c>
      <c r="I190" s="77" t="s">
        <v>1400</v>
      </c>
      <c r="J190" s="120">
        <f t="shared" si="21"/>
        <v>325</v>
      </c>
      <c r="K190">
        <f t="shared" si="22"/>
        <v>182.66666666666666</v>
      </c>
      <c r="M190" s="123"/>
      <c r="N190" s="124">
        <f>SUM(N177:N189)</f>
        <v>1423</v>
      </c>
    </row>
    <row r="191" spans="1:14" x14ac:dyDescent="0.25">
      <c r="A191">
        <f t="shared" si="14"/>
        <v>1</v>
      </c>
      <c r="B191" s="18">
        <f t="shared" si="15"/>
        <v>0.4850257910539687</v>
      </c>
      <c r="C191" s="8" t="s">
        <v>165</v>
      </c>
      <c r="D191">
        <f t="shared" si="16"/>
        <v>1</v>
      </c>
      <c r="E191" s="9">
        <f t="shared" si="19"/>
        <v>63</v>
      </c>
      <c r="F191" s="8">
        <f t="shared" si="17"/>
        <v>0</v>
      </c>
      <c r="G191" s="9">
        <f t="shared" si="18"/>
        <v>63</v>
      </c>
      <c r="I191" t="s">
        <v>2027</v>
      </c>
      <c r="J191" s="120">
        <f t="shared" si="21"/>
        <v>5</v>
      </c>
      <c r="K191">
        <f t="shared" si="22"/>
        <v>275</v>
      </c>
    </row>
    <row r="192" spans="1:14" x14ac:dyDescent="0.25">
      <c r="A192">
        <f t="shared" si="14"/>
        <v>1</v>
      </c>
      <c r="B192" s="18">
        <f t="shared" si="15"/>
        <v>2.9563476788051428</v>
      </c>
      <c r="C192" s="8" t="s">
        <v>69</v>
      </c>
      <c r="D192">
        <f t="shared" si="16"/>
        <v>1</v>
      </c>
      <c r="E192" s="9">
        <f t="shared" si="19"/>
        <v>384</v>
      </c>
      <c r="F192" s="8">
        <f t="shared" si="17"/>
        <v>0</v>
      </c>
      <c r="G192" s="9">
        <f t="shared" si="18"/>
        <v>384</v>
      </c>
      <c r="I192" s="77" t="s">
        <v>1664</v>
      </c>
      <c r="J192" s="120">
        <f t="shared" si="21"/>
        <v>74</v>
      </c>
      <c r="K192" t="e">
        <f t="shared" si="22"/>
        <v>#NUM!</v>
      </c>
      <c r="N192" s="8"/>
    </row>
    <row r="193" spans="1:14" x14ac:dyDescent="0.25">
      <c r="A193">
        <f t="shared" si="14"/>
        <v>1</v>
      </c>
      <c r="B193" s="18">
        <f t="shared" si="15"/>
        <v>0.98544922626838094</v>
      </c>
      <c r="C193" s="8" t="s">
        <v>42</v>
      </c>
      <c r="D193">
        <f t="shared" si="16"/>
        <v>1</v>
      </c>
      <c r="E193" s="9">
        <f t="shared" si="19"/>
        <v>128</v>
      </c>
      <c r="F193" s="8">
        <f t="shared" si="17"/>
        <v>0</v>
      </c>
      <c r="G193" s="9">
        <f t="shared" si="18"/>
        <v>128</v>
      </c>
      <c r="I193" t="s">
        <v>1220</v>
      </c>
      <c r="J193" s="120">
        <f t="shared" si="21"/>
        <v>6</v>
      </c>
      <c r="K193">
        <f t="shared" si="22"/>
        <v>183</v>
      </c>
      <c r="N193" s="8"/>
    </row>
    <row r="194" spans="1:14" x14ac:dyDescent="0.25">
      <c r="A194">
        <f t="shared" si="14"/>
        <v>1</v>
      </c>
      <c r="B194" s="18">
        <f t="shared" si="15"/>
        <v>0.55431518977596428</v>
      </c>
      <c r="C194" s="8" t="s">
        <v>161</v>
      </c>
      <c r="D194">
        <f t="shared" si="16"/>
        <v>2</v>
      </c>
      <c r="E194" s="9">
        <f t="shared" si="19"/>
        <v>72</v>
      </c>
      <c r="F194" s="8">
        <f t="shared" si="17"/>
        <v>0</v>
      </c>
      <c r="G194" s="9">
        <f t="shared" si="18"/>
        <v>72</v>
      </c>
      <c r="I194" s="121" t="s">
        <v>1960</v>
      </c>
      <c r="J194" s="120">
        <f t="shared" si="21"/>
        <v>154</v>
      </c>
      <c r="K194">
        <f t="shared" si="22"/>
        <v>361.11111111111109</v>
      </c>
      <c r="N194" s="8"/>
    </row>
    <row r="195" spans="1:14" x14ac:dyDescent="0.25">
      <c r="A195">
        <f t="shared" si="14"/>
        <v>1</v>
      </c>
      <c r="B195" s="18">
        <f t="shared" si="15"/>
        <v>0.4542305027330818</v>
      </c>
      <c r="C195" s="8" t="s">
        <v>163</v>
      </c>
      <c r="D195">
        <f t="shared" si="16"/>
        <v>1</v>
      </c>
      <c r="E195" s="9">
        <f t="shared" si="19"/>
        <v>59</v>
      </c>
      <c r="F195" s="8">
        <f t="shared" si="17"/>
        <v>0</v>
      </c>
      <c r="G195" s="9">
        <f t="shared" si="18"/>
        <v>59</v>
      </c>
      <c r="I195" s="77" t="s">
        <v>1486</v>
      </c>
      <c r="J195" s="120">
        <f t="shared" si="21"/>
        <v>338</v>
      </c>
      <c r="K195" t="e">
        <f t="shared" si="22"/>
        <v>#NUM!</v>
      </c>
      <c r="N195" s="8"/>
    </row>
    <row r="196" spans="1:14" x14ac:dyDescent="0.25">
      <c r="A196">
        <f t="shared" si="14"/>
        <v>1</v>
      </c>
      <c r="B196" s="18">
        <f t="shared" si="15"/>
        <v>0.16167526368465623</v>
      </c>
      <c r="C196" s="157" t="s">
        <v>605</v>
      </c>
      <c r="D196">
        <f t="shared" si="16"/>
        <v>1</v>
      </c>
      <c r="E196" s="158">
        <f t="shared" si="19"/>
        <v>21</v>
      </c>
      <c r="F196" s="157">
        <f t="shared" si="17"/>
        <v>21</v>
      </c>
      <c r="G196" s="158">
        <f t="shared" si="18"/>
        <v>0</v>
      </c>
      <c r="I196" s="77" t="s">
        <v>1780</v>
      </c>
      <c r="J196" s="120">
        <f t="shared" si="21"/>
        <v>44</v>
      </c>
      <c r="K196" t="e">
        <f t="shared" si="22"/>
        <v>#NUM!</v>
      </c>
    </row>
    <row r="197" spans="1:14" x14ac:dyDescent="0.25">
      <c r="A197">
        <f t="shared" si="14"/>
        <v>1</v>
      </c>
      <c r="B197" s="18">
        <f t="shared" si="15"/>
        <v>0</v>
      </c>
      <c r="C197" s="157" t="s">
        <v>1465</v>
      </c>
      <c r="D197">
        <f t="shared" si="16"/>
        <v>0</v>
      </c>
      <c r="E197" s="158">
        <f t="shared" si="19"/>
        <v>0</v>
      </c>
      <c r="F197" s="157">
        <f t="shared" si="17"/>
        <v>0</v>
      </c>
      <c r="G197" s="158">
        <f t="shared" si="18"/>
        <v>0</v>
      </c>
      <c r="I197" s="77" t="s">
        <v>1709</v>
      </c>
      <c r="J197" s="120">
        <f t="shared" si="21"/>
        <v>44</v>
      </c>
      <c r="K197">
        <f t="shared" si="22"/>
        <v>276</v>
      </c>
    </row>
    <row r="198" spans="1:14" x14ac:dyDescent="0.25">
      <c r="A198">
        <f t="shared" si="14"/>
        <v>1</v>
      </c>
      <c r="B198" s="18">
        <f t="shared" si="15"/>
        <v>0</v>
      </c>
      <c r="C198" s="157" t="s">
        <v>447</v>
      </c>
      <c r="D198">
        <f t="shared" si="16"/>
        <v>0</v>
      </c>
      <c r="E198" s="158">
        <f t="shared" si="19"/>
        <v>0</v>
      </c>
      <c r="F198" s="157">
        <f t="shared" si="17"/>
        <v>0</v>
      </c>
      <c r="G198" s="158">
        <f t="shared" si="18"/>
        <v>0</v>
      </c>
      <c r="I198" s="77" t="s">
        <v>1404</v>
      </c>
      <c r="J198" s="120">
        <f t="shared" si="21"/>
        <v>55</v>
      </c>
      <c r="K198">
        <f t="shared" si="22"/>
        <v>305.5</v>
      </c>
    </row>
    <row r="199" spans="1:14" x14ac:dyDescent="0.25">
      <c r="A199">
        <f t="shared" si="14"/>
        <v>1</v>
      </c>
      <c r="B199" s="18">
        <f t="shared" si="15"/>
        <v>0.97775040418815917</v>
      </c>
      <c r="C199" t="s">
        <v>852</v>
      </c>
      <c r="D199">
        <f t="shared" si="16"/>
        <v>4</v>
      </c>
      <c r="E199" s="158">
        <f t="shared" si="19"/>
        <v>127</v>
      </c>
      <c r="F199" s="157">
        <f t="shared" si="17"/>
        <v>32</v>
      </c>
      <c r="G199" s="158">
        <f t="shared" si="18"/>
        <v>95</v>
      </c>
      <c r="I199" s="77" t="s">
        <v>2067</v>
      </c>
      <c r="J199" s="120">
        <f t="shared" si="21"/>
        <v>16</v>
      </c>
      <c r="K199" t="e">
        <f t="shared" si="22"/>
        <v>#DIV/0!</v>
      </c>
    </row>
    <row r="200" spans="1:14" x14ac:dyDescent="0.25">
      <c r="A200">
        <f t="shared" si="14"/>
        <v>1</v>
      </c>
      <c r="B200" s="18">
        <f t="shared" si="15"/>
        <v>0.16937408576487797</v>
      </c>
      <c r="C200" t="s">
        <v>319</v>
      </c>
      <c r="D200">
        <f t="shared" si="16"/>
        <v>1</v>
      </c>
      <c r="E200" s="158">
        <f t="shared" si="19"/>
        <v>22</v>
      </c>
      <c r="F200" s="157">
        <f t="shared" si="17"/>
        <v>22</v>
      </c>
      <c r="G200" s="158">
        <f t="shared" si="18"/>
        <v>0</v>
      </c>
      <c r="I200" s="77" t="s">
        <v>1785</v>
      </c>
      <c r="J200" s="120">
        <f t="shared" si="21"/>
        <v>125</v>
      </c>
      <c r="K200" t="e">
        <f t="shared" si="22"/>
        <v>#NUM!</v>
      </c>
    </row>
    <row r="201" spans="1:14" ht="15.75" thickBot="1" x14ac:dyDescent="0.3">
      <c r="A201">
        <f t="shared" si="14"/>
        <v>1</v>
      </c>
      <c r="B201" s="18">
        <f>E201/$E$168*100</f>
        <v>0.56201401185618605</v>
      </c>
      <c r="C201" s="8" t="s">
        <v>148</v>
      </c>
      <c r="D201">
        <f>COUNTIF(C$2:C$165,C201)</f>
        <v>2</v>
      </c>
      <c r="E201" s="9">
        <f>SUMIF(C$2:C$165,C201,D$2:D$165)</f>
        <v>73</v>
      </c>
      <c r="F201" s="8">
        <f>SUMIFS($D$2:$D$165,$C$2:$C$165,C201,$E$2:$E$165,$F$175)</f>
        <v>32</v>
      </c>
      <c r="G201" s="9">
        <f>SUMIFS($D$2:$D$165,$C$2:$C$165,C201,$E$2:$E$165,$G$175)</f>
        <v>41</v>
      </c>
      <c r="I201" s="118" t="s">
        <v>1776</v>
      </c>
      <c r="J201" s="120">
        <f t="shared" si="21"/>
        <v>127</v>
      </c>
      <c r="K201">
        <f t="shared" si="22"/>
        <v>671.33333333333337</v>
      </c>
    </row>
    <row r="202" spans="1:14" x14ac:dyDescent="0.25">
      <c r="A202">
        <f t="shared" si="14"/>
        <v>1</v>
      </c>
      <c r="B202" s="18">
        <f>E202/$E$168*100</f>
        <v>0</v>
      </c>
      <c r="C202" s="8" t="s">
        <v>527</v>
      </c>
      <c r="D202">
        <f>COUNTIF(C$2:C$165,C202)</f>
        <v>0</v>
      </c>
      <c r="E202" s="9">
        <f>SUMIF(C$2:C$165,C202,D$2:D$165)</f>
        <v>0</v>
      </c>
      <c r="F202" s="8">
        <f>SUMIFS($D$2:$D$165,$C$2:$C$165,C202,$E$2:$E$165,$F$175)</f>
        <v>0</v>
      </c>
      <c r="G202" s="9">
        <f>SUMIFS($D$2:$D$165,$C$2:$C$165,C202,$E$2:$E$165,$G$175)</f>
        <v>0</v>
      </c>
      <c r="J202" s="1">
        <f>SUM(J177:J201)</f>
        <v>1518</v>
      </c>
      <c r="M202" s="17">
        <f>J202-SUM(H2:H98)-SUM(O2:O98)-SUM(U2:U98)</f>
        <v>81</v>
      </c>
    </row>
    <row r="203" spans="1:14" x14ac:dyDescent="0.25">
      <c r="B203" s="18"/>
      <c r="C203" s="8" t="s">
        <v>145</v>
      </c>
      <c r="D203">
        <f>COUNTIF(C$2:C$165,C203)</f>
        <v>0</v>
      </c>
      <c r="E203" s="9">
        <f>SUMIF(C$2:C$165,C203,D$2:D$165)</f>
        <v>0</v>
      </c>
      <c r="F203" s="8">
        <f>SUMIFS($D$2:$D$165,$C$2:$C$165,C203,$E$2:$E$165,$F$175)</f>
        <v>0</v>
      </c>
      <c r="G203" s="9">
        <f>SUMIFS($D$2:$D$165,$C$2:$C$165,C203,$E$2:$E$165,$G$175)</f>
        <v>0</v>
      </c>
    </row>
    <row r="204" spans="1:14" x14ac:dyDescent="0.25">
      <c r="B204" s="18">
        <f>E204/$E$168*100</f>
        <v>94.918777427053655</v>
      </c>
      <c r="E204" s="9">
        <f>SUM(E176:E203)</f>
        <v>12329</v>
      </c>
      <c r="F204" s="13">
        <f>SUM(F176:F203)</f>
        <v>1425</v>
      </c>
      <c r="G204" s="15">
        <f>SUM(G176:G203)</f>
        <v>6028</v>
      </c>
    </row>
    <row r="205" spans="1:14" x14ac:dyDescent="0.25">
      <c r="B205" s="18">
        <f>E205/$E$168*100</f>
        <v>5.0812225729463396</v>
      </c>
      <c r="E205" s="9">
        <f>E168-E204</f>
        <v>660</v>
      </c>
      <c r="F205" s="10" t="s">
        <v>389</v>
      </c>
      <c r="G205" s="12">
        <f>E168-F204-G204</f>
        <v>5536</v>
      </c>
    </row>
    <row r="206" spans="1:14" x14ac:dyDescent="0.25">
      <c r="G206" s="18"/>
    </row>
    <row r="208" spans="1:14" x14ac:dyDescent="0.25">
      <c r="G208" s="18"/>
    </row>
    <row r="209" spans="2:7" x14ac:dyDescent="0.25">
      <c r="G209" s="18"/>
    </row>
    <row r="210" spans="2:7" x14ac:dyDescent="0.25">
      <c r="C210" s="13"/>
      <c r="D210" s="14" t="s">
        <v>93</v>
      </c>
      <c r="E210" s="15" t="s">
        <v>94</v>
      </c>
    </row>
    <row r="211" spans="2:7" x14ac:dyDescent="0.25">
      <c r="C211" s="8" t="s">
        <v>402</v>
      </c>
      <c r="D211">
        <f>SUMIFS($D$2:$D$108,$E$2:$E$108,D$210,$F$2:$F$108,"&lt;5.1")</f>
        <v>0</v>
      </c>
      <c r="E211" s="9">
        <f>SUMIFS($D$2:$D$154,$E$2:$E$154,E$210,$F$2:$F$154,"&lt;5.1")</f>
        <v>0</v>
      </c>
      <c r="F211" s="3">
        <f>SUMIFS(D2:D154,E2:E154,E210,F2:F154,"&lt;5,1")</f>
        <v>527</v>
      </c>
    </row>
    <row r="212" spans="2:7" x14ac:dyDescent="0.25">
      <c r="C212" s="29" t="s">
        <v>403</v>
      </c>
      <c r="D212">
        <f>SUMIFS($D$2:$D$165,$E$2:$E$165,D$210,$F$2:$F$165,"&lt;10.1")-D211</f>
        <v>0</v>
      </c>
      <c r="E212" s="9">
        <f>SUMIFS($D$2:$D$165,$E$2:$E$165,E$210,$F$2:$F$165,"&lt;10.1")-E211</f>
        <v>0</v>
      </c>
    </row>
    <row r="213" spans="2:7" x14ac:dyDescent="0.25">
      <c r="C213" s="29" t="s">
        <v>404</v>
      </c>
      <c r="D213">
        <f>SUMIFS($D$2:$D$165,$E$2:$E$165,D$210,$F$2:$F$165,"&lt;15.1")-D212-D211</f>
        <v>0</v>
      </c>
      <c r="E213" s="9">
        <f>SUMIFS($D$2:$D$165,$E$2:$E$165,E$210,$F$2:$F$165,"&lt;15.1")-E212-E211</f>
        <v>0</v>
      </c>
    </row>
    <row r="214" spans="2:7" x14ac:dyDescent="0.25">
      <c r="C214" s="29" t="s">
        <v>102</v>
      </c>
      <c r="D214">
        <f>SUMIFS($D$2:$D$165,$E$2:$E$165,D$210,$F$2:$F$165,"&lt;20.1")-D213-D212-D211</f>
        <v>0</v>
      </c>
      <c r="E214" s="9">
        <f>SUMIFS($D$2:$D$165,$E$2:$E$165,E$210,$F$2:$F$165,"&lt;20.1")-E213-E212-E211</f>
        <v>0</v>
      </c>
    </row>
    <row r="215" spans="2:7" x14ac:dyDescent="0.25">
      <c r="C215" s="8" t="s">
        <v>405</v>
      </c>
      <c r="D215">
        <f>SUMIFS($D$2:$D$165,$E$2:$E$165,D$210,$F$2:$F$165,"&lt;40.1")-D214-D213-D212-D211</f>
        <v>0</v>
      </c>
      <c r="E215" s="9">
        <f>SUMIFS($D$2:$D$165,$E$2:$E$165,E$210,$F$2:$F$165,"&lt;40.1")-E214-E213-E212-E211</f>
        <v>0</v>
      </c>
    </row>
    <row r="216" spans="2:7" x14ac:dyDescent="0.25">
      <c r="C216" s="10" t="s">
        <v>406</v>
      </c>
      <c r="D216" s="11">
        <f>E171-SUM(D211:D215)</f>
        <v>1425</v>
      </c>
      <c r="E216" s="12">
        <f>E170-SUM(E211:E215)</f>
        <v>6028</v>
      </c>
    </row>
    <row r="217" spans="2:7" x14ac:dyDescent="0.25">
      <c r="C217" s="25"/>
      <c r="D217" s="18"/>
      <c r="E217" s="18"/>
    </row>
    <row r="218" spans="2:7" x14ac:dyDescent="0.25">
      <c r="B218" s="3" t="s">
        <v>1495</v>
      </c>
      <c r="C218" t="s">
        <v>1492</v>
      </c>
      <c r="E218" s="24">
        <f>AVERAGE(F2:F154)</f>
        <v>19.094117647058823</v>
      </c>
    </row>
    <row r="219" spans="2:7" x14ac:dyDescent="0.25">
      <c r="C219" t="s">
        <v>1499</v>
      </c>
      <c r="E219" s="24">
        <f>SUMPRODUCT(F2:F154,D2:D154)/SUM(D2:D132)</f>
        <v>13.341365771037031</v>
      </c>
    </row>
    <row r="221" spans="2:7" x14ac:dyDescent="0.25">
      <c r="B221" s="3" t="s">
        <v>1496</v>
      </c>
      <c r="C221" t="s">
        <v>1491</v>
      </c>
      <c r="E221" s="24">
        <f>AVERAGE(J2:J154)</f>
        <v>158.02061855670104</v>
      </c>
    </row>
    <row r="222" spans="2:7" x14ac:dyDescent="0.25">
      <c r="C222" t="s">
        <v>1493</v>
      </c>
      <c r="E222" s="24">
        <f>SUMPRODUCT(J2:J154,D2:D154)/SUM(D2:D132)</f>
        <v>128.47501732234969</v>
      </c>
    </row>
    <row r="223" spans="2:7" x14ac:dyDescent="0.25">
      <c r="C223" t="s">
        <v>1494</v>
      </c>
      <c r="E223" s="24">
        <f>SUMPRODUCT(J2:J154,H2:H154)/SUM(H2:H132)</f>
        <v>160.38105263157894</v>
      </c>
    </row>
    <row r="225" spans="2:8" x14ac:dyDescent="0.25">
      <c r="B225" s="3" t="s">
        <v>1497</v>
      </c>
      <c r="C225" t="s">
        <v>1498</v>
      </c>
      <c r="E225" s="24">
        <f>AVERAGE(K2:K154)</f>
        <v>6.1639175257731944</v>
      </c>
    </row>
    <row r="226" spans="2:8" x14ac:dyDescent="0.25">
      <c r="C226" t="s">
        <v>1493</v>
      </c>
      <c r="E226" s="24">
        <f>SUMPRODUCT(K2:K154,D2:D154)/SUM(D2:D132)</f>
        <v>5.6595349911463577</v>
      </c>
    </row>
    <row r="227" spans="2:8" x14ac:dyDescent="0.25">
      <c r="C227" t="s">
        <v>1500</v>
      </c>
      <c r="E227" s="24">
        <f>SUMPRODUCT(K2:K154,H2:H154)/SUM(H2:H132)</f>
        <v>6.3605964912280681</v>
      </c>
    </row>
    <row r="232" spans="2:8" x14ac:dyDescent="0.25">
      <c r="B232" s="36" t="s">
        <v>1643</v>
      </c>
      <c r="C232" s="97" t="s">
        <v>149</v>
      </c>
      <c r="D232" s="37" t="s">
        <v>1644</v>
      </c>
      <c r="E232" s="37" t="s">
        <v>130</v>
      </c>
      <c r="F232" s="38" t="s">
        <v>1645</v>
      </c>
    </row>
    <row r="233" spans="2:8" x14ac:dyDescent="0.25">
      <c r="B233" s="13" t="s">
        <v>1638</v>
      </c>
      <c r="C233" s="14" t="s">
        <v>147</v>
      </c>
      <c r="D233" s="14">
        <f t="shared" ref="D233:D259" si="23">COUNTIF(C$2:C$151,C233)</f>
        <v>3</v>
      </c>
      <c r="E233" s="14">
        <f t="shared" ref="E233:E259" si="24">SUMIF(C$2:C$151,C233,D$2:D$151)</f>
        <v>476</v>
      </c>
      <c r="F233" s="15">
        <f t="shared" ref="F233:F259" si="25">SUMIF(C$2:C$151,C233,O$2:O$151)+SUMIF(C$2:C$151,C233,U$2:U$151)+SUMIF(C$2:C$151,C233,H$2:H$151)</f>
        <v>40</v>
      </c>
    </row>
    <row r="234" spans="2:8" x14ac:dyDescent="0.25">
      <c r="B234" s="8" t="s">
        <v>1638</v>
      </c>
      <c r="C234" t="s">
        <v>605</v>
      </c>
      <c r="D234">
        <f t="shared" si="23"/>
        <v>1</v>
      </c>
      <c r="E234">
        <f t="shared" si="24"/>
        <v>21</v>
      </c>
      <c r="F234" s="9">
        <f t="shared" si="25"/>
        <v>5</v>
      </c>
    </row>
    <row r="235" spans="2:8" x14ac:dyDescent="0.25">
      <c r="B235" s="8" t="s">
        <v>1638</v>
      </c>
      <c r="C235" t="s">
        <v>1140</v>
      </c>
      <c r="D235">
        <f t="shared" si="23"/>
        <v>1</v>
      </c>
      <c r="E235">
        <f t="shared" si="24"/>
        <v>495</v>
      </c>
      <c r="F235" s="9">
        <f t="shared" si="25"/>
        <v>33</v>
      </c>
    </row>
    <row r="236" spans="2:8" x14ac:dyDescent="0.25">
      <c r="B236" s="10" t="s">
        <v>1638</v>
      </c>
      <c r="C236" s="11" t="s">
        <v>175</v>
      </c>
      <c r="D236" s="11">
        <f t="shared" si="23"/>
        <v>0</v>
      </c>
      <c r="E236" s="11">
        <f t="shared" si="24"/>
        <v>0</v>
      </c>
      <c r="F236" s="12">
        <f t="shared" si="25"/>
        <v>0</v>
      </c>
      <c r="G236">
        <f>SUM(E233:E236)</f>
        <v>992</v>
      </c>
      <c r="H236" s="34">
        <f>G236/E$260</f>
        <v>7.6372315035799526E-2</v>
      </c>
    </row>
    <row r="237" spans="2:8" x14ac:dyDescent="0.25">
      <c r="B237" s="13" t="s">
        <v>1641</v>
      </c>
      <c r="C237" s="14" t="s">
        <v>144</v>
      </c>
      <c r="D237" s="14">
        <f t="shared" si="23"/>
        <v>3</v>
      </c>
      <c r="E237" s="14">
        <f t="shared" si="24"/>
        <v>601</v>
      </c>
      <c r="F237" s="15">
        <f t="shared" si="25"/>
        <v>91</v>
      </c>
    </row>
    <row r="238" spans="2:8" x14ac:dyDescent="0.25">
      <c r="B238" s="10" t="s">
        <v>1641</v>
      </c>
      <c r="C238" s="11" t="s">
        <v>1186</v>
      </c>
      <c r="D238" s="11">
        <f t="shared" si="23"/>
        <v>0</v>
      </c>
      <c r="E238" s="11">
        <f t="shared" si="24"/>
        <v>0</v>
      </c>
      <c r="F238" s="12">
        <f t="shared" si="25"/>
        <v>0</v>
      </c>
      <c r="G238">
        <f>SUM(E237:E238)</f>
        <v>601</v>
      </c>
      <c r="H238" s="34">
        <f>G238/E$260</f>
        <v>4.6269920702132573E-2</v>
      </c>
    </row>
    <row r="239" spans="2:8" x14ac:dyDescent="0.25">
      <c r="B239" s="13" t="s">
        <v>1639</v>
      </c>
      <c r="C239" s="14" t="s">
        <v>163</v>
      </c>
      <c r="D239" s="14">
        <f t="shared" si="23"/>
        <v>1</v>
      </c>
      <c r="E239" s="14">
        <f t="shared" si="24"/>
        <v>59</v>
      </c>
      <c r="F239" s="15">
        <f t="shared" si="25"/>
        <v>13</v>
      </c>
    </row>
    <row r="240" spans="2:8" x14ac:dyDescent="0.25">
      <c r="B240" s="8" t="s">
        <v>1639</v>
      </c>
      <c r="C240" t="s">
        <v>69</v>
      </c>
      <c r="D240">
        <f t="shared" si="23"/>
        <v>1</v>
      </c>
      <c r="E240">
        <f t="shared" si="24"/>
        <v>384</v>
      </c>
      <c r="F240" s="9">
        <f t="shared" si="25"/>
        <v>64</v>
      </c>
    </row>
    <row r="241" spans="2:8" x14ac:dyDescent="0.25">
      <c r="B241" s="8" t="s">
        <v>1639</v>
      </c>
      <c r="C241" t="s">
        <v>318</v>
      </c>
      <c r="D241">
        <f t="shared" si="23"/>
        <v>4</v>
      </c>
      <c r="E241">
        <f t="shared" si="24"/>
        <v>351</v>
      </c>
      <c r="F241" s="9">
        <f t="shared" si="25"/>
        <v>56</v>
      </c>
    </row>
    <row r="242" spans="2:8" x14ac:dyDescent="0.25">
      <c r="B242" s="8" t="s">
        <v>1639</v>
      </c>
      <c r="C242" t="s">
        <v>206</v>
      </c>
      <c r="D242">
        <f t="shared" si="23"/>
        <v>2</v>
      </c>
      <c r="E242">
        <f t="shared" si="24"/>
        <v>75</v>
      </c>
      <c r="F242" s="9">
        <f t="shared" si="25"/>
        <v>18</v>
      </c>
    </row>
    <row r="243" spans="2:8" x14ac:dyDescent="0.25">
      <c r="B243" s="8" t="s">
        <v>1639</v>
      </c>
      <c r="C243" t="s">
        <v>138</v>
      </c>
      <c r="D243">
        <f t="shared" si="23"/>
        <v>44</v>
      </c>
      <c r="E243">
        <f t="shared" si="24"/>
        <v>3098</v>
      </c>
      <c r="F243" s="9">
        <f t="shared" si="25"/>
        <v>389</v>
      </c>
    </row>
    <row r="244" spans="2:8" x14ac:dyDescent="0.25">
      <c r="B244" s="8" t="s">
        <v>1639</v>
      </c>
      <c r="C244" t="s">
        <v>148</v>
      </c>
      <c r="D244">
        <f t="shared" si="23"/>
        <v>2</v>
      </c>
      <c r="E244">
        <f t="shared" si="24"/>
        <v>73</v>
      </c>
      <c r="F244" s="9">
        <f t="shared" si="25"/>
        <v>16</v>
      </c>
    </row>
    <row r="245" spans="2:8" x14ac:dyDescent="0.25">
      <c r="B245" s="8" t="s">
        <v>1639</v>
      </c>
      <c r="C245" t="s">
        <v>1639</v>
      </c>
      <c r="D245">
        <f t="shared" si="23"/>
        <v>1</v>
      </c>
      <c r="E245">
        <f t="shared" si="24"/>
        <v>660</v>
      </c>
      <c r="F245" s="9">
        <f t="shared" si="25"/>
        <v>0</v>
      </c>
    </row>
    <row r="246" spans="2:8" x14ac:dyDescent="0.25">
      <c r="B246" s="8" t="s">
        <v>1639</v>
      </c>
      <c r="C246" t="s">
        <v>146</v>
      </c>
      <c r="D246">
        <f t="shared" si="23"/>
        <v>11</v>
      </c>
      <c r="E246">
        <f t="shared" si="24"/>
        <v>589</v>
      </c>
      <c r="F246" s="9">
        <f t="shared" si="25"/>
        <v>116</v>
      </c>
    </row>
    <row r="247" spans="2:8" x14ac:dyDescent="0.25">
      <c r="B247" s="8" t="s">
        <v>1639</v>
      </c>
      <c r="C247" t="s">
        <v>526</v>
      </c>
      <c r="D247">
        <f t="shared" si="23"/>
        <v>4</v>
      </c>
      <c r="E247">
        <f t="shared" si="24"/>
        <v>536</v>
      </c>
      <c r="F247" s="9">
        <f t="shared" si="25"/>
        <v>88</v>
      </c>
    </row>
    <row r="248" spans="2:8" x14ac:dyDescent="0.25">
      <c r="B248" s="8" t="s">
        <v>1639</v>
      </c>
      <c r="C248" t="s">
        <v>161</v>
      </c>
      <c r="D248">
        <f t="shared" si="23"/>
        <v>2</v>
      </c>
      <c r="E248">
        <f t="shared" si="24"/>
        <v>72</v>
      </c>
      <c r="F248" s="9">
        <f t="shared" si="25"/>
        <v>18</v>
      </c>
    </row>
    <row r="249" spans="2:8" x14ac:dyDescent="0.25">
      <c r="B249" s="8" t="s">
        <v>1639</v>
      </c>
      <c r="C249" t="s">
        <v>852</v>
      </c>
      <c r="D249">
        <f t="shared" si="23"/>
        <v>4</v>
      </c>
      <c r="E249">
        <f t="shared" si="24"/>
        <v>127</v>
      </c>
      <c r="F249" s="9">
        <f t="shared" si="25"/>
        <v>26</v>
      </c>
    </row>
    <row r="250" spans="2:8" x14ac:dyDescent="0.25">
      <c r="B250" s="8" t="s">
        <v>1639</v>
      </c>
      <c r="C250" t="s">
        <v>166</v>
      </c>
      <c r="D250">
        <f t="shared" si="23"/>
        <v>5</v>
      </c>
      <c r="E250">
        <f t="shared" si="24"/>
        <v>216</v>
      </c>
      <c r="F250" s="9">
        <f t="shared" si="25"/>
        <v>41</v>
      </c>
    </row>
    <row r="251" spans="2:8" x14ac:dyDescent="0.25">
      <c r="B251" s="8" t="s">
        <v>1639</v>
      </c>
      <c r="C251" t="s">
        <v>162</v>
      </c>
      <c r="D251">
        <f t="shared" si="23"/>
        <v>3</v>
      </c>
      <c r="E251">
        <f t="shared" si="24"/>
        <v>188</v>
      </c>
      <c r="F251" s="9">
        <f t="shared" si="25"/>
        <v>40</v>
      </c>
    </row>
    <row r="252" spans="2:8" x14ac:dyDescent="0.25">
      <c r="B252" s="8" t="s">
        <v>1639</v>
      </c>
      <c r="C252" s="154" t="s">
        <v>165</v>
      </c>
      <c r="D252" s="154">
        <f t="shared" si="23"/>
        <v>1</v>
      </c>
      <c r="E252" s="154">
        <f t="shared" si="24"/>
        <v>63</v>
      </c>
      <c r="F252" s="9">
        <f t="shared" si="25"/>
        <v>14</v>
      </c>
      <c r="G252">
        <f>SUM(E239:E252)</f>
        <v>6491</v>
      </c>
      <c r="H252" s="34">
        <f>G252/E$260</f>
        <v>0.49973054122719224</v>
      </c>
    </row>
    <row r="253" spans="2:8" x14ac:dyDescent="0.25">
      <c r="B253" s="13" t="s">
        <v>1419</v>
      </c>
      <c r="C253" s="14" t="s">
        <v>45</v>
      </c>
      <c r="D253" s="14">
        <f t="shared" si="23"/>
        <v>2</v>
      </c>
      <c r="E253" s="14">
        <f t="shared" si="24"/>
        <v>398</v>
      </c>
      <c r="F253" s="15">
        <f t="shared" si="25"/>
        <v>65</v>
      </c>
      <c r="H253" s="34"/>
    </row>
    <row r="254" spans="2:8" x14ac:dyDescent="0.25">
      <c r="B254" s="8" t="s">
        <v>1419</v>
      </c>
      <c r="C254" s="153" t="s">
        <v>2050</v>
      </c>
      <c r="D254" s="153">
        <f t="shared" si="23"/>
        <v>2</v>
      </c>
      <c r="E254" s="153">
        <f t="shared" si="24"/>
        <v>921</v>
      </c>
      <c r="F254" s="9">
        <f t="shared" si="25"/>
        <v>0</v>
      </c>
      <c r="H254" s="34"/>
    </row>
    <row r="255" spans="2:8" x14ac:dyDescent="0.25">
      <c r="B255" s="8" t="s">
        <v>1419</v>
      </c>
      <c r="C255" s="153" t="s">
        <v>319</v>
      </c>
      <c r="D255" s="153">
        <f t="shared" si="23"/>
        <v>1</v>
      </c>
      <c r="E255" s="153">
        <f t="shared" si="24"/>
        <v>22</v>
      </c>
      <c r="F255" s="9">
        <f t="shared" si="25"/>
        <v>5</v>
      </c>
      <c r="H255" s="34"/>
    </row>
    <row r="256" spans="2:8" x14ac:dyDescent="0.25">
      <c r="B256" s="10" t="s">
        <v>1419</v>
      </c>
      <c r="C256" s="11" t="s">
        <v>1247</v>
      </c>
      <c r="D256" s="11">
        <f t="shared" si="23"/>
        <v>5</v>
      </c>
      <c r="E256" s="11">
        <f t="shared" si="24"/>
        <v>2289</v>
      </c>
      <c r="F256" s="12">
        <f t="shared" si="25"/>
        <v>144</v>
      </c>
      <c r="G256">
        <f>SUM(E253:E256)</f>
        <v>3630</v>
      </c>
      <c r="H256" s="34">
        <f>G256/E$260</f>
        <v>0.27946724151204866</v>
      </c>
    </row>
    <row r="257" spans="2:8" x14ac:dyDescent="0.25">
      <c r="B257" s="8" t="s">
        <v>1640</v>
      </c>
      <c r="C257" s="154" t="s">
        <v>27</v>
      </c>
      <c r="D257" s="154">
        <f t="shared" si="23"/>
        <v>2</v>
      </c>
      <c r="E257" s="154">
        <f t="shared" si="24"/>
        <v>319</v>
      </c>
      <c r="F257" s="9">
        <f t="shared" si="25"/>
        <v>50</v>
      </c>
    </row>
    <row r="258" spans="2:8" x14ac:dyDescent="0.25">
      <c r="B258" s="8" t="s">
        <v>1640</v>
      </c>
      <c r="C258" s="153" t="s">
        <v>42</v>
      </c>
      <c r="D258" s="153">
        <f t="shared" si="23"/>
        <v>1</v>
      </c>
      <c r="E258" s="153">
        <f t="shared" si="24"/>
        <v>128</v>
      </c>
      <c r="F258" s="9">
        <f t="shared" si="25"/>
        <v>20</v>
      </c>
    </row>
    <row r="259" spans="2:8" x14ac:dyDescent="0.25">
      <c r="B259" s="10" t="s">
        <v>1640</v>
      </c>
      <c r="C259" s="11" t="s">
        <v>141</v>
      </c>
      <c r="D259" s="11">
        <f t="shared" si="23"/>
        <v>1</v>
      </c>
      <c r="E259" s="11">
        <f t="shared" si="24"/>
        <v>828</v>
      </c>
      <c r="F259" s="12">
        <f t="shared" si="25"/>
        <v>184</v>
      </c>
      <c r="G259">
        <f>SUM(E257:E259)</f>
        <v>1275</v>
      </c>
      <c r="H259" s="34">
        <f>G259/E$260</f>
        <v>9.8159981522827011E-2</v>
      </c>
    </row>
    <row r="260" spans="2:8" x14ac:dyDescent="0.25">
      <c r="E260">
        <f>SUM(E233:E259)</f>
        <v>12989</v>
      </c>
    </row>
  </sheetData>
  <conditionalFormatting sqref="AI2:AK108">
    <cfRule type="cellIs" dxfId="6" priority="2" operator="equal">
      <formula>1</formula>
    </cfRule>
  </conditionalFormatting>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06775-67DE-4108-9B35-B21EEC2BEBBB}">
  <dimension ref="A1:AQ292"/>
  <sheetViews>
    <sheetView zoomScale="94" zoomScaleNormal="94" workbookViewId="0">
      <pane xSplit="3" ySplit="1" topLeftCell="D91" activePane="bottomRight" state="frozen"/>
      <selection pane="topRight" activeCell="D1" sqref="D1"/>
      <selection pane="bottomLeft" activeCell="A2" sqref="A2"/>
      <selection pane="bottomRight" activeCell="G233" sqref="G233"/>
    </sheetView>
  </sheetViews>
  <sheetFormatPr defaultRowHeight="15" x14ac:dyDescent="0.25"/>
  <cols>
    <col min="2" max="3" width="13.7109375" customWidth="1"/>
    <col min="4" max="4" width="10.7109375" customWidth="1"/>
    <col min="5" max="5" width="13.7109375" customWidth="1"/>
    <col min="6" max="6" width="8.28515625" customWidth="1"/>
    <col min="7" max="7" width="13.7109375" customWidth="1"/>
    <col min="8" max="8" width="8" customWidth="1"/>
    <col min="9" max="9" width="13.7109375" customWidth="1"/>
    <col min="10" max="10" width="6" bestFit="1" customWidth="1"/>
    <col min="11" max="11" width="7.85546875" customWidth="1"/>
    <col min="12" max="12" width="12" bestFit="1" customWidth="1"/>
    <col min="13" max="13" width="13.42578125" customWidth="1"/>
    <col min="14" max="14" width="8.7109375" customWidth="1"/>
    <col min="15" max="15" width="4.140625" customWidth="1"/>
    <col min="16" max="16" width="15.140625" customWidth="1"/>
    <col min="17" max="17" width="6" bestFit="1" customWidth="1"/>
    <col min="18" max="18" width="4.7109375" bestFit="1" customWidth="1"/>
    <col min="19" max="19" width="10.7109375" customWidth="1"/>
    <col min="20" max="20" width="9" customWidth="1"/>
    <col min="21" max="21" width="4.42578125" customWidth="1"/>
    <col min="22" max="22" width="13.28515625" bestFit="1" customWidth="1"/>
    <col min="23" max="23" width="5" customWidth="1"/>
    <col min="24" max="24" width="6.5703125" customWidth="1"/>
    <col min="27" max="27" width="4.42578125" customWidth="1"/>
    <col min="28" max="28" width="13.28515625" bestFit="1" customWidth="1"/>
    <col min="29" max="29" width="5" customWidth="1"/>
    <col min="30" max="30" width="6.5703125" customWidth="1"/>
    <col min="35" max="35" width="4" customWidth="1"/>
    <col min="36" max="36" width="3.28515625" customWidth="1"/>
    <col min="38" max="39" width="10.7109375" bestFit="1" customWidth="1"/>
  </cols>
  <sheetData>
    <row r="1" spans="1:43" x14ac:dyDescent="0.25">
      <c r="B1" s="3" t="s">
        <v>86</v>
      </c>
      <c r="C1" s="3" t="s">
        <v>87</v>
      </c>
      <c r="D1" s="3" t="s">
        <v>88</v>
      </c>
      <c r="E1" s="3" t="s">
        <v>98</v>
      </c>
      <c r="F1" s="3" t="s">
        <v>100</v>
      </c>
      <c r="G1" s="3" t="s">
        <v>89</v>
      </c>
      <c r="H1" s="3" t="s">
        <v>91</v>
      </c>
      <c r="I1" s="3" t="s">
        <v>90</v>
      </c>
      <c r="J1" s="3" t="s">
        <v>131</v>
      </c>
      <c r="K1" s="3" t="s">
        <v>130</v>
      </c>
      <c r="L1" s="3" t="s">
        <v>103</v>
      </c>
      <c r="M1" s="3" t="s">
        <v>101</v>
      </c>
      <c r="N1" s="3" t="s">
        <v>107</v>
      </c>
      <c r="O1" s="3" t="s">
        <v>91</v>
      </c>
      <c r="P1" s="3" t="s">
        <v>105</v>
      </c>
      <c r="Q1" s="3" t="s">
        <v>131</v>
      </c>
      <c r="R1" s="3" t="s">
        <v>130</v>
      </c>
      <c r="S1" s="3" t="s">
        <v>103</v>
      </c>
      <c r="T1" s="3" t="s">
        <v>101</v>
      </c>
      <c r="U1" s="3" t="s">
        <v>91</v>
      </c>
      <c r="V1" s="3" t="s">
        <v>105</v>
      </c>
      <c r="W1" s="3" t="s">
        <v>131</v>
      </c>
      <c r="X1" s="3" t="s">
        <v>130</v>
      </c>
      <c r="Y1" s="3" t="s">
        <v>101</v>
      </c>
      <c r="Z1" s="3" t="s">
        <v>601</v>
      </c>
      <c r="AA1" s="3" t="s">
        <v>91</v>
      </c>
      <c r="AB1" s="3" t="s">
        <v>105</v>
      </c>
      <c r="AC1" s="3" t="s">
        <v>131</v>
      </c>
      <c r="AD1" s="3" t="s">
        <v>130</v>
      </c>
      <c r="AE1" s="3" t="s">
        <v>101</v>
      </c>
      <c r="AF1" s="3" t="s">
        <v>601</v>
      </c>
      <c r="AG1" s="3" t="s">
        <v>1630</v>
      </c>
      <c r="AH1" s="3" t="s">
        <v>1631</v>
      </c>
      <c r="AI1" s="3" t="s">
        <v>1632</v>
      </c>
      <c r="AJ1" t="s">
        <v>1633</v>
      </c>
      <c r="AL1" s="3" t="s">
        <v>1794</v>
      </c>
    </row>
    <row r="2" spans="1:43" x14ac:dyDescent="0.25">
      <c r="B2" s="44" t="s">
        <v>1866</v>
      </c>
      <c r="C2" s="44" t="s">
        <v>146</v>
      </c>
      <c r="D2" s="46">
        <v>63</v>
      </c>
      <c r="E2" s="44" t="s">
        <v>94</v>
      </c>
      <c r="F2">
        <v>10</v>
      </c>
      <c r="G2" s="44"/>
      <c r="H2" s="46">
        <v>14</v>
      </c>
      <c r="I2" s="44" t="s">
        <v>1400</v>
      </c>
      <c r="J2" s="46">
        <v>150</v>
      </c>
      <c r="K2" s="69">
        <v>4.5</v>
      </c>
      <c r="AG2">
        <v>2</v>
      </c>
      <c r="AH2">
        <v>2025</v>
      </c>
      <c r="AI2">
        <f t="shared" ref="AI2:AI33" si="0">COUNTIF($I$177:$I$208,I2)</f>
        <v>1</v>
      </c>
      <c r="AJ2">
        <f t="shared" ref="AJ2:AJ33" si="1">COUNTIF($C$176:$C$205,C2)</f>
        <v>1</v>
      </c>
      <c r="AK2">
        <f t="shared" ref="AK2:AK33" si="2">COUNTIF($C$232:$C$270,C2)</f>
        <v>1</v>
      </c>
      <c r="AL2">
        <f>_xlfn.DAYS(DATE(AH2,AG2*3-2,1),DATE(RIGHT(B2,4),MID(B2,4,2),LEFT(B2,2)))</f>
        <v>416</v>
      </c>
      <c r="AM2" s="99"/>
    </row>
    <row r="3" spans="1:43" x14ac:dyDescent="0.25">
      <c r="B3" s="44" t="s">
        <v>1867</v>
      </c>
      <c r="C3" t="s">
        <v>1247</v>
      </c>
      <c r="D3" s="46">
        <v>153</v>
      </c>
      <c r="E3" s="44" t="s">
        <v>94</v>
      </c>
      <c r="F3" s="46"/>
      <c r="G3" s="44"/>
      <c r="H3" s="46">
        <v>34</v>
      </c>
      <c r="I3" s="44" t="s">
        <v>1400</v>
      </c>
      <c r="J3" s="46">
        <v>150</v>
      </c>
      <c r="K3" s="69">
        <v>4.5</v>
      </c>
      <c r="AG3">
        <v>4</v>
      </c>
      <c r="AH3">
        <v>2026</v>
      </c>
      <c r="AI3">
        <f t="shared" si="0"/>
        <v>1</v>
      </c>
      <c r="AJ3">
        <f t="shared" si="1"/>
        <v>1</v>
      </c>
      <c r="AK3">
        <f t="shared" si="2"/>
        <v>1</v>
      </c>
      <c r="AL3">
        <f t="shared" ref="AL3:AL79" si="3">_xlfn.DAYS(DATE(AH3,AG3*3-2,1),DATE(RIGHT(B3,4),MID(B3,4,2),LEFT(B3,2)))</f>
        <v>948</v>
      </c>
      <c r="AM3" s="99"/>
    </row>
    <row r="4" spans="1:43" x14ac:dyDescent="0.25">
      <c r="B4" s="44" t="s">
        <v>1868</v>
      </c>
      <c r="C4" s="44" t="s">
        <v>138</v>
      </c>
      <c r="D4" s="46">
        <v>65</v>
      </c>
      <c r="E4" s="44" t="s">
        <v>94</v>
      </c>
      <c r="F4" s="46">
        <v>25</v>
      </c>
      <c r="G4" s="44" t="s">
        <v>1870</v>
      </c>
      <c r="H4" s="46">
        <v>9</v>
      </c>
      <c r="I4" s="44" t="s">
        <v>1784</v>
      </c>
      <c r="J4" s="46">
        <v>172</v>
      </c>
      <c r="K4" s="69">
        <v>7.2</v>
      </c>
      <c r="V4" s="46"/>
      <c r="W4" s="46"/>
      <c r="X4" s="46"/>
      <c r="AB4" s="46"/>
      <c r="AC4" s="46"/>
      <c r="AD4" s="46"/>
      <c r="AG4">
        <v>4</v>
      </c>
      <c r="AH4">
        <v>2025</v>
      </c>
      <c r="AI4">
        <f t="shared" si="0"/>
        <v>1</v>
      </c>
      <c r="AJ4">
        <f t="shared" si="1"/>
        <v>1</v>
      </c>
      <c r="AK4">
        <f t="shared" si="2"/>
        <v>1</v>
      </c>
      <c r="AL4">
        <f t="shared" si="3"/>
        <v>575</v>
      </c>
      <c r="AM4" s="99"/>
    </row>
    <row r="5" spans="1:43" x14ac:dyDescent="0.25">
      <c r="B5" s="44" t="s">
        <v>1869</v>
      </c>
      <c r="C5" s="44" t="s">
        <v>163</v>
      </c>
      <c r="D5" s="46">
        <v>15</v>
      </c>
      <c r="E5" s="44" t="s">
        <v>93</v>
      </c>
      <c r="F5" s="46">
        <v>20</v>
      </c>
      <c r="G5" s="44" t="s">
        <v>1871</v>
      </c>
      <c r="H5" s="46">
        <v>1</v>
      </c>
      <c r="I5" s="44" t="s">
        <v>1776</v>
      </c>
      <c r="J5" s="46">
        <v>236</v>
      </c>
      <c r="K5" s="69">
        <v>15</v>
      </c>
      <c r="V5" s="44"/>
      <c r="W5" s="46"/>
      <c r="X5" s="46"/>
      <c r="AB5" s="46"/>
      <c r="AC5" s="46"/>
      <c r="AD5" s="46"/>
      <c r="AF5" t="s">
        <v>1872</v>
      </c>
      <c r="AG5">
        <v>2</v>
      </c>
      <c r="AH5">
        <v>2024</v>
      </c>
      <c r="AI5">
        <f t="shared" si="0"/>
        <v>1</v>
      </c>
      <c r="AJ5">
        <f t="shared" si="1"/>
        <v>1</v>
      </c>
      <c r="AK5">
        <f t="shared" si="2"/>
        <v>1</v>
      </c>
      <c r="AL5">
        <f t="shared" si="3"/>
        <v>24</v>
      </c>
      <c r="AM5" s="99"/>
    </row>
    <row r="6" spans="1:43" x14ac:dyDescent="0.25">
      <c r="B6" s="44" t="s">
        <v>1873</v>
      </c>
      <c r="C6" s="44" t="s">
        <v>34</v>
      </c>
      <c r="D6" s="46">
        <v>319</v>
      </c>
      <c r="E6" s="44" t="s">
        <v>94</v>
      </c>
      <c r="F6" s="46">
        <v>10</v>
      </c>
      <c r="G6" s="44" t="s">
        <v>236</v>
      </c>
      <c r="H6" s="46">
        <v>46</v>
      </c>
      <c r="I6" s="44" t="s">
        <v>1709</v>
      </c>
      <c r="J6" s="46">
        <v>163</v>
      </c>
      <c r="K6" s="69">
        <v>4.5</v>
      </c>
      <c r="O6">
        <v>18</v>
      </c>
      <c r="P6" t="s">
        <v>1486</v>
      </c>
      <c r="Q6">
        <v>162</v>
      </c>
      <c r="R6">
        <v>6.2</v>
      </c>
      <c r="AG6">
        <v>4</v>
      </c>
      <c r="AH6">
        <v>2024</v>
      </c>
      <c r="AI6">
        <f t="shared" si="0"/>
        <v>1</v>
      </c>
      <c r="AJ6">
        <f t="shared" si="1"/>
        <v>1</v>
      </c>
      <c r="AK6">
        <f t="shared" si="2"/>
        <v>1</v>
      </c>
      <c r="AL6">
        <f t="shared" si="3"/>
        <v>201</v>
      </c>
      <c r="AM6" s="99"/>
    </row>
    <row r="7" spans="1:43" x14ac:dyDescent="0.25">
      <c r="B7" s="44" t="s">
        <v>1874</v>
      </c>
      <c r="C7" s="44" t="s">
        <v>166</v>
      </c>
      <c r="D7" s="46">
        <v>51</v>
      </c>
      <c r="E7" s="44" t="s">
        <v>94</v>
      </c>
      <c r="F7" s="46">
        <v>20</v>
      </c>
      <c r="G7" s="44" t="s">
        <v>1875</v>
      </c>
      <c r="H7" s="46">
        <v>8</v>
      </c>
      <c r="I7" s="44" t="s">
        <v>1486</v>
      </c>
      <c r="J7" s="46">
        <v>162</v>
      </c>
      <c r="K7" s="69">
        <v>6.2</v>
      </c>
      <c r="L7" t="s">
        <v>1783</v>
      </c>
      <c r="M7" s="44"/>
      <c r="AG7">
        <v>4</v>
      </c>
      <c r="AH7">
        <v>2024</v>
      </c>
      <c r="AI7">
        <f t="shared" si="0"/>
        <v>1</v>
      </c>
      <c r="AJ7">
        <f t="shared" si="1"/>
        <v>1</v>
      </c>
      <c r="AK7">
        <f t="shared" si="2"/>
        <v>1</v>
      </c>
      <c r="AL7">
        <f t="shared" si="3"/>
        <v>196</v>
      </c>
    </row>
    <row r="8" spans="1:43" x14ac:dyDescent="0.25">
      <c r="B8" s="44" t="s">
        <v>1876</v>
      </c>
      <c r="C8" s="44" t="s">
        <v>161</v>
      </c>
      <c r="D8" s="46">
        <v>37</v>
      </c>
      <c r="E8" s="44" t="s">
        <v>94</v>
      </c>
      <c r="F8" s="46">
        <v>25</v>
      </c>
      <c r="G8" s="44" t="s">
        <v>1901</v>
      </c>
      <c r="H8" s="46">
        <v>17</v>
      </c>
      <c r="I8" s="44" t="s">
        <v>110</v>
      </c>
      <c r="J8" s="46">
        <v>110</v>
      </c>
      <c r="K8" s="69">
        <v>2.2000000000000002</v>
      </c>
      <c r="L8" t="s">
        <v>1782</v>
      </c>
      <c r="AG8">
        <v>3</v>
      </c>
      <c r="AH8">
        <v>2025</v>
      </c>
      <c r="AI8">
        <f t="shared" si="0"/>
        <v>1</v>
      </c>
      <c r="AJ8">
        <f t="shared" si="1"/>
        <v>1</v>
      </c>
      <c r="AK8">
        <f t="shared" si="2"/>
        <v>1</v>
      </c>
      <c r="AL8">
        <f t="shared" si="3"/>
        <v>461</v>
      </c>
    </row>
    <row r="9" spans="1:43" x14ac:dyDescent="0.25">
      <c r="B9" s="44" t="s">
        <v>1877</v>
      </c>
      <c r="C9" s="44" t="s">
        <v>140</v>
      </c>
      <c r="D9" s="46">
        <v>88</v>
      </c>
      <c r="E9" s="44" t="s">
        <v>94</v>
      </c>
      <c r="F9" s="44"/>
      <c r="G9" s="44" t="s">
        <v>50</v>
      </c>
      <c r="H9" s="46">
        <v>11</v>
      </c>
      <c r="I9" s="44" t="s">
        <v>1486</v>
      </c>
      <c r="J9" s="46">
        <v>162</v>
      </c>
      <c r="K9" s="69">
        <v>6.4</v>
      </c>
      <c r="L9" t="s">
        <v>1783</v>
      </c>
      <c r="O9">
        <v>4</v>
      </c>
      <c r="P9" t="s">
        <v>1400</v>
      </c>
      <c r="Q9">
        <v>150</v>
      </c>
      <c r="R9">
        <v>4.5</v>
      </c>
      <c r="AG9">
        <v>1</v>
      </c>
      <c r="AH9">
        <v>2025</v>
      </c>
      <c r="AI9">
        <f t="shared" si="0"/>
        <v>1</v>
      </c>
      <c r="AJ9">
        <f t="shared" si="1"/>
        <v>1</v>
      </c>
      <c r="AK9">
        <f t="shared" si="2"/>
        <v>1</v>
      </c>
      <c r="AL9">
        <f t="shared" si="3"/>
        <v>278</v>
      </c>
    </row>
    <row r="10" spans="1:43" x14ac:dyDescent="0.25">
      <c r="B10" s="44" t="s">
        <v>1877</v>
      </c>
      <c r="C10" s="44" t="s">
        <v>147</v>
      </c>
      <c r="D10" s="46">
        <v>77</v>
      </c>
      <c r="E10" s="44"/>
      <c r="F10" s="44"/>
      <c r="G10" s="44" t="s">
        <v>1902</v>
      </c>
      <c r="H10" s="46">
        <v>18</v>
      </c>
      <c r="I10" s="44" t="s">
        <v>121</v>
      </c>
      <c r="J10" s="46">
        <v>136</v>
      </c>
      <c r="K10" s="69">
        <v>4.3</v>
      </c>
      <c r="L10" t="s">
        <v>1903</v>
      </c>
      <c r="AG10">
        <v>1</v>
      </c>
      <c r="AH10">
        <v>2025</v>
      </c>
      <c r="AI10">
        <f t="shared" si="0"/>
        <v>1</v>
      </c>
      <c r="AJ10">
        <f t="shared" si="1"/>
        <v>1</v>
      </c>
      <c r="AK10">
        <f t="shared" si="2"/>
        <v>1</v>
      </c>
      <c r="AL10">
        <f t="shared" si="3"/>
        <v>278</v>
      </c>
      <c r="AM10" s="46"/>
      <c r="AN10" s="46"/>
      <c r="AP10" s="46"/>
      <c r="AQ10" s="46"/>
    </row>
    <row r="11" spans="1:43" x14ac:dyDescent="0.25">
      <c r="B11" s="44" t="s">
        <v>1877</v>
      </c>
      <c r="C11" s="44" t="s">
        <v>146</v>
      </c>
      <c r="D11" s="46">
        <v>81</v>
      </c>
      <c r="E11" s="44"/>
      <c r="F11" s="44">
        <v>10</v>
      </c>
      <c r="G11" s="44" t="s">
        <v>1904</v>
      </c>
      <c r="H11" s="46">
        <v>18</v>
      </c>
      <c r="I11" s="44" t="s">
        <v>1559</v>
      </c>
      <c r="J11" s="46">
        <v>136</v>
      </c>
      <c r="K11" s="69">
        <v>4.5</v>
      </c>
      <c r="AG11">
        <v>2</v>
      </c>
      <c r="AH11">
        <v>2025</v>
      </c>
      <c r="AI11">
        <f t="shared" si="0"/>
        <v>1</v>
      </c>
      <c r="AJ11">
        <f t="shared" si="1"/>
        <v>1</v>
      </c>
      <c r="AK11">
        <f t="shared" si="2"/>
        <v>1</v>
      </c>
      <c r="AL11">
        <f t="shared" si="3"/>
        <v>368</v>
      </c>
      <c r="AM11" s="46"/>
      <c r="AN11" s="46"/>
      <c r="AP11" s="46"/>
      <c r="AQ11" s="46"/>
    </row>
    <row r="12" spans="1:43" s="11" customFormat="1" x14ac:dyDescent="0.25">
      <c r="A12" s="11">
        <f>SUM(D2:D12)</f>
        <v>1503</v>
      </c>
      <c r="B12" s="71" t="s">
        <v>1877</v>
      </c>
      <c r="C12" s="71" t="s">
        <v>1247</v>
      </c>
      <c r="D12" s="48">
        <v>554</v>
      </c>
      <c r="E12" s="71" t="s">
        <v>94</v>
      </c>
      <c r="F12" s="71"/>
      <c r="G12" s="71"/>
      <c r="H12" s="48">
        <v>123</v>
      </c>
      <c r="I12" s="71" t="s">
        <v>1709</v>
      </c>
      <c r="J12" s="48"/>
      <c r="K12" s="70"/>
      <c r="AG12" s="11">
        <v>3</v>
      </c>
      <c r="AH12" s="11">
        <v>2026</v>
      </c>
      <c r="AI12">
        <f t="shared" si="0"/>
        <v>1</v>
      </c>
      <c r="AJ12">
        <f t="shared" si="1"/>
        <v>1</v>
      </c>
      <c r="AK12">
        <f t="shared" si="2"/>
        <v>1</v>
      </c>
      <c r="AL12" s="11">
        <f t="shared" si="3"/>
        <v>824</v>
      </c>
      <c r="AM12" s="48"/>
      <c r="AN12" s="48"/>
      <c r="AP12" s="28"/>
      <c r="AQ12" s="48"/>
    </row>
    <row r="13" spans="1:43" x14ac:dyDescent="0.25">
      <c r="B13" t="s">
        <v>1878</v>
      </c>
      <c r="C13" s="44" t="s">
        <v>145</v>
      </c>
      <c r="D13" s="44">
        <v>84</v>
      </c>
      <c r="E13" s="44" t="s">
        <v>94</v>
      </c>
      <c r="F13" s="46">
        <v>25</v>
      </c>
      <c r="G13" s="44" t="s">
        <v>1905</v>
      </c>
      <c r="H13" s="46">
        <v>14</v>
      </c>
      <c r="I13" s="44" t="s">
        <v>1664</v>
      </c>
      <c r="J13" s="46">
        <v>150</v>
      </c>
      <c r="K13" s="69">
        <v>6</v>
      </c>
      <c r="AG13">
        <v>2</v>
      </c>
      <c r="AH13">
        <v>2025</v>
      </c>
      <c r="AI13">
        <f t="shared" si="0"/>
        <v>1</v>
      </c>
      <c r="AJ13">
        <f t="shared" si="1"/>
        <v>1</v>
      </c>
      <c r="AK13">
        <f t="shared" si="2"/>
        <v>1</v>
      </c>
      <c r="AL13">
        <f t="shared" si="3"/>
        <v>315</v>
      </c>
      <c r="AM13" s="46"/>
      <c r="AN13" s="46"/>
      <c r="AP13" s="1"/>
      <c r="AQ13" s="46"/>
    </row>
    <row r="14" spans="1:43" x14ac:dyDescent="0.25">
      <c r="B14" t="s">
        <v>1879</v>
      </c>
      <c r="C14" s="44" t="s">
        <v>1616</v>
      </c>
      <c r="D14" s="44">
        <v>124</v>
      </c>
      <c r="E14" s="44" t="s">
        <v>94</v>
      </c>
      <c r="F14" s="44" t="s">
        <v>1103</v>
      </c>
      <c r="G14" s="44" t="s">
        <v>1906</v>
      </c>
      <c r="H14" s="46">
        <v>20</v>
      </c>
      <c r="I14" s="44" t="s">
        <v>1486</v>
      </c>
      <c r="J14" s="46">
        <v>162</v>
      </c>
      <c r="K14" s="69">
        <v>6.2</v>
      </c>
      <c r="AG14">
        <v>1</v>
      </c>
      <c r="AH14">
        <v>2026</v>
      </c>
      <c r="AI14">
        <f t="shared" si="0"/>
        <v>1</v>
      </c>
      <c r="AJ14">
        <f t="shared" si="1"/>
        <v>1</v>
      </c>
      <c r="AK14">
        <f t="shared" si="2"/>
        <v>1</v>
      </c>
      <c r="AL14">
        <f t="shared" si="3"/>
        <v>577</v>
      </c>
      <c r="AM14" s="46"/>
      <c r="AN14" s="46"/>
      <c r="AP14" s="1"/>
      <c r="AQ14" s="46"/>
    </row>
    <row r="15" spans="1:43" x14ac:dyDescent="0.25">
      <c r="B15" t="s">
        <v>1880</v>
      </c>
      <c r="C15" s="44" t="s">
        <v>145</v>
      </c>
      <c r="D15" s="145">
        <v>68</v>
      </c>
      <c r="E15" s="44" t="s">
        <v>93</v>
      </c>
      <c r="F15">
        <v>24</v>
      </c>
      <c r="G15" s="44" t="s">
        <v>1907</v>
      </c>
      <c r="H15" s="46">
        <v>10</v>
      </c>
      <c r="I15" s="44" t="s">
        <v>1486</v>
      </c>
      <c r="J15" s="46">
        <v>162</v>
      </c>
      <c r="K15" s="69">
        <v>6.2</v>
      </c>
      <c r="O15">
        <v>1</v>
      </c>
      <c r="P15" t="s">
        <v>1664</v>
      </c>
      <c r="Q15">
        <v>150</v>
      </c>
      <c r="R15">
        <v>6</v>
      </c>
      <c r="AG15">
        <v>2</v>
      </c>
      <c r="AH15">
        <v>2025</v>
      </c>
      <c r="AI15">
        <f t="shared" si="0"/>
        <v>1</v>
      </c>
      <c r="AJ15">
        <f t="shared" si="1"/>
        <v>1</v>
      </c>
      <c r="AK15">
        <f t="shared" si="2"/>
        <v>1</v>
      </c>
      <c r="AL15">
        <f t="shared" si="3"/>
        <v>299</v>
      </c>
      <c r="AM15" s="46"/>
      <c r="AN15" s="46"/>
      <c r="AP15" s="1"/>
      <c r="AQ15" s="46"/>
    </row>
    <row r="16" spans="1:43" x14ac:dyDescent="0.25">
      <c r="B16" t="s">
        <v>1881</v>
      </c>
      <c r="C16" s="44" t="s">
        <v>138</v>
      </c>
      <c r="D16" s="44">
        <v>72</v>
      </c>
      <c r="E16" s="44" t="s">
        <v>94</v>
      </c>
      <c r="F16" s="44">
        <v>20</v>
      </c>
      <c r="G16" s="44" t="s">
        <v>1908</v>
      </c>
      <c r="H16" s="46">
        <v>10</v>
      </c>
      <c r="I16" s="44" t="s">
        <v>1780</v>
      </c>
      <c r="J16" s="46">
        <v>162</v>
      </c>
      <c r="K16" s="69">
        <v>7.2</v>
      </c>
      <c r="AG16">
        <v>4</v>
      </c>
      <c r="AH16">
        <v>2025</v>
      </c>
      <c r="AI16">
        <f t="shared" si="0"/>
        <v>1</v>
      </c>
      <c r="AJ16">
        <f t="shared" si="1"/>
        <v>1</v>
      </c>
      <c r="AK16">
        <f t="shared" si="2"/>
        <v>1</v>
      </c>
      <c r="AL16">
        <f t="shared" si="3"/>
        <v>478</v>
      </c>
      <c r="AM16" s="46"/>
      <c r="AN16" s="46"/>
      <c r="AP16" s="1"/>
      <c r="AQ16" s="46"/>
    </row>
    <row r="17" spans="1:43" x14ac:dyDescent="0.25">
      <c r="B17" t="s">
        <v>1882</v>
      </c>
      <c r="C17" s="44" t="s">
        <v>147</v>
      </c>
      <c r="D17" s="44">
        <v>90</v>
      </c>
      <c r="E17" s="44" t="s">
        <v>94</v>
      </c>
      <c r="F17" s="46"/>
      <c r="G17" s="46"/>
      <c r="H17" s="46">
        <v>21</v>
      </c>
      <c r="I17" s="44" t="s">
        <v>121</v>
      </c>
      <c r="J17" s="46">
        <v>136</v>
      </c>
      <c r="K17" s="69">
        <v>4.3</v>
      </c>
      <c r="L17" t="s">
        <v>1903</v>
      </c>
      <c r="AG17">
        <v>2</v>
      </c>
      <c r="AH17">
        <v>2025</v>
      </c>
      <c r="AI17">
        <f t="shared" si="0"/>
        <v>1</v>
      </c>
      <c r="AJ17">
        <f t="shared" si="1"/>
        <v>1</v>
      </c>
      <c r="AK17">
        <f t="shared" si="2"/>
        <v>1</v>
      </c>
      <c r="AL17">
        <f t="shared" si="3"/>
        <v>292</v>
      </c>
      <c r="AM17" s="46"/>
      <c r="AN17" s="46"/>
      <c r="AP17" s="1"/>
      <c r="AQ17" s="46"/>
    </row>
    <row r="18" spans="1:43" x14ac:dyDescent="0.25">
      <c r="B18" t="s">
        <v>1883</v>
      </c>
      <c r="C18" s="44" t="s">
        <v>138</v>
      </c>
      <c r="D18" s="150">
        <v>660</v>
      </c>
      <c r="E18" s="44"/>
      <c r="F18" s="46">
        <v>5</v>
      </c>
      <c r="G18" s="44" t="s">
        <v>1771</v>
      </c>
      <c r="H18" s="46">
        <v>44</v>
      </c>
      <c r="I18" s="44" t="s">
        <v>1776</v>
      </c>
      <c r="J18" s="46">
        <v>236</v>
      </c>
      <c r="K18" s="69">
        <v>15</v>
      </c>
      <c r="AB18" s="46"/>
      <c r="AC18" s="46"/>
      <c r="AD18" s="46"/>
      <c r="AG18">
        <v>2</v>
      </c>
      <c r="AH18">
        <v>2026</v>
      </c>
      <c r="AI18">
        <f t="shared" si="0"/>
        <v>1</v>
      </c>
      <c r="AJ18">
        <f t="shared" si="1"/>
        <v>1</v>
      </c>
      <c r="AK18">
        <f t="shared" si="2"/>
        <v>1</v>
      </c>
      <c r="AL18">
        <f t="shared" si="3"/>
        <v>656</v>
      </c>
      <c r="AM18" s="46"/>
      <c r="AN18" s="46"/>
    </row>
    <row r="19" spans="1:43" x14ac:dyDescent="0.25">
      <c r="B19" t="s">
        <v>1884</v>
      </c>
      <c r="C19" s="44" t="s">
        <v>526</v>
      </c>
      <c r="D19" s="44">
        <v>192</v>
      </c>
      <c r="E19" s="44" t="s">
        <v>94</v>
      </c>
      <c r="F19" s="46">
        <v>15</v>
      </c>
      <c r="G19" s="44" t="s">
        <v>1909</v>
      </c>
      <c r="H19" s="46">
        <v>30</v>
      </c>
      <c r="I19" s="44" t="s">
        <v>1486</v>
      </c>
      <c r="J19" s="46">
        <v>162</v>
      </c>
      <c r="K19" s="69">
        <v>6.4</v>
      </c>
      <c r="L19" t="s">
        <v>1783</v>
      </c>
      <c r="AG19">
        <v>1</v>
      </c>
      <c r="AH19">
        <v>2025</v>
      </c>
      <c r="AI19">
        <f t="shared" si="0"/>
        <v>1</v>
      </c>
      <c r="AJ19">
        <f t="shared" si="1"/>
        <v>1</v>
      </c>
      <c r="AK19">
        <f t="shared" si="2"/>
        <v>1</v>
      </c>
      <c r="AL19">
        <f t="shared" si="3"/>
        <v>198</v>
      </c>
      <c r="AM19" s="46"/>
      <c r="AN19" s="46"/>
    </row>
    <row r="20" spans="1:43" x14ac:dyDescent="0.25">
      <c r="B20" t="s">
        <v>1885</v>
      </c>
      <c r="C20" s="44" t="s">
        <v>144</v>
      </c>
      <c r="D20" s="44">
        <v>577</v>
      </c>
      <c r="E20" s="44" t="s">
        <v>94</v>
      </c>
      <c r="F20" s="46">
        <v>30</v>
      </c>
      <c r="G20" s="44" t="s">
        <v>1657</v>
      </c>
      <c r="H20" s="46">
        <v>63</v>
      </c>
      <c r="I20" s="44" t="s">
        <v>1486</v>
      </c>
      <c r="J20" s="46">
        <v>162</v>
      </c>
      <c r="K20" s="69">
        <v>6.2</v>
      </c>
      <c r="AG20">
        <v>1</v>
      </c>
      <c r="AH20">
        <v>2025</v>
      </c>
      <c r="AI20">
        <f t="shared" si="0"/>
        <v>1</v>
      </c>
      <c r="AJ20">
        <f t="shared" si="1"/>
        <v>1</v>
      </c>
      <c r="AK20">
        <f t="shared" si="2"/>
        <v>1</v>
      </c>
      <c r="AL20">
        <f t="shared" si="3"/>
        <v>197</v>
      </c>
      <c r="AM20" s="1"/>
      <c r="AN20" s="46"/>
    </row>
    <row r="21" spans="1:43" x14ac:dyDescent="0.25">
      <c r="B21" t="s">
        <v>1886</v>
      </c>
      <c r="C21" s="44" t="s">
        <v>166</v>
      </c>
      <c r="D21" s="145">
        <v>50</v>
      </c>
      <c r="E21" s="44" t="s">
        <v>93</v>
      </c>
      <c r="F21" s="46">
        <v>25</v>
      </c>
      <c r="G21" s="44" t="s">
        <v>1910</v>
      </c>
      <c r="H21" s="46">
        <v>8</v>
      </c>
      <c r="I21" s="44" t="s">
        <v>1486</v>
      </c>
      <c r="J21" s="46">
        <v>162</v>
      </c>
      <c r="K21" s="69">
        <v>6.2</v>
      </c>
      <c r="L21" t="s">
        <v>1911</v>
      </c>
      <c r="AG21">
        <v>1</v>
      </c>
      <c r="AH21">
        <v>2025</v>
      </c>
      <c r="AI21">
        <f t="shared" si="0"/>
        <v>1</v>
      </c>
      <c r="AJ21">
        <f t="shared" si="1"/>
        <v>1</v>
      </c>
      <c r="AK21">
        <f t="shared" si="2"/>
        <v>1</v>
      </c>
      <c r="AL21">
        <f t="shared" si="3"/>
        <v>190</v>
      </c>
      <c r="AM21" s="1"/>
      <c r="AN21" s="46"/>
    </row>
    <row r="22" spans="1:43" x14ac:dyDescent="0.25">
      <c r="B22" t="s">
        <v>1886</v>
      </c>
      <c r="C22" s="44" t="s">
        <v>1186</v>
      </c>
      <c r="D22" s="44">
        <v>155</v>
      </c>
      <c r="E22" s="44" t="s">
        <v>94</v>
      </c>
      <c r="F22" s="46">
        <v>30</v>
      </c>
      <c r="G22" s="44" t="s">
        <v>1912</v>
      </c>
      <c r="H22" s="46">
        <v>36</v>
      </c>
      <c r="I22" s="44" t="s">
        <v>121</v>
      </c>
      <c r="J22" s="46">
        <v>136</v>
      </c>
      <c r="K22" s="69">
        <v>4.3</v>
      </c>
      <c r="L22" t="s">
        <v>1903</v>
      </c>
      <c r="AG22">
        <v>4</v>
      </c>
      <c r="AH22">
        <v>2025</v>
      </c>
      <c r="AI22">
        <f t="shared" si="0"/>
        <v>1</v>
      </c>
      <c r="AJ22">
        <f t="shared" si="1"/>
        <v>1</v>
      </c>
      <c r="AK22">
        <f t="shared" si="2"/>
        <v>1</v>
      </c>
      <c r="AL22">
        <f t="shared" si="3"/>
        <v>463</v>
      </c>
      <c r="AM22" s="1"/>
      <c r="AN22" s="46"/>
    </row>
    <row r="23" spans="1:43" x14ac:dyDescent="0.25">
      <c r="B23" t="s">
        <v>1887</v>
      </c>
      <c r="C23" s="44" t="s">
        <v>165</v>
      </c>
      <c r="D23" s="44">
        <v>81</v>
      </c>
      <c r="E23" s="44" t="s">
        <v>94</v>
      </c>
      <c r="F23" s="46"/>
      <c r="G23" s="44" t="s">
        <v>1913</v>
      </c>
      <c r="H23" s="46">
        <v>18</v>
      </c>
      <c r="I23" s="44" t="s">
        <v>1559</v>
      </c>
      <c r="J23" s="46">
        <v>136</v>
      </c>
      <c r="K23" s="69">
        <v>4.5</v>
      </c>
      <c r="AG23">
        <v>2</v>
      </c>
      <c r="AH23">
        <v>2025</v>
      </c>
      <c r="AI23">
        <f t="shared" si="0"/>
        <v>1</v>
      </c>
      <c r="AJ23">
        <f t="shared" si="1"/>
        <v>1</v>
      </c>
      <c r="AK23">
        <f t="shared" si="2"/>
        <v>1</v>
      </c>
      <c r="AL23">
        <f t="shared" si="3"/>
        <v>277</v>
      </c>
      <c r="AM23" s="1"/>
      <c r="AN23" s="46"/>
    </row>
    <row r="24" spans="1:43" x14ac:dyDescent="0.25">
      <c r="B24" t="s">
        <v>1887</v>
      </c>
      <c r="C24" s="44" t="s">
        <v>138</v>
      </c>
      <c r="D24" s="44">
        <v>105</v>
      </c>
      <c r="E24" s="44" t="s">
        <v>94</v>
      </c>
      <c r="F24" s="46">
        <v>20</v>
      </c>
      <c r="G24" s="44" t="s">
        <v>1914</v>
      </c>
      <c r="H24" s="46">
        <v>17</v>
      </c>
      <c r="I24" s="44" t="s">
        <v>1486</v>
      </c>
      <c r="J24" s="46">
        <v>162</v>
      </c>
      <c r="K24" s="69">
        <v>6.2</v>
      </c>
      <c r="AG24">
        <v>4</v>
      </c>
      <c r="AH24">
        <v>2025</v>
      </c>
      <c r="AI24">
        <f t="shared" si="0"/>
        <v>1</v>
      </c>
      <c r="AJ24">
        <f t="shared" si="1"/>
        <v>1</v>
      </c>
      <c r="AK24">
        <f t="shared" si="2"/>
        <v>1</v>
      </c>
      <c r="AL24">
        <f t="shared" si="3"/>
        <v>460</v>
      </c>
      <c r="AM24" s="1"/>
      <c r="AN24" s="46"/>
    </row>
    <row r="25" spans="1:43" x14ac:dyDescent="0.25">
      <c r="B25" t="s">
        <v>1887</v>
      </c>
      <c r="C25" s="44" t="s">
        <v>138</v>
      </c>
      <c r="D25" s="145">
        <v>114</v>
      </c>
      <c r="E25" s="44" t="s">
        <v>94</v>
      </c>
      <c r="F25" s="46">
        <v>25</v>
      </c>
      <c r="G25" s="44" t="s">
        <v>1787</v>
      </c>
      <c r="H25" s="46">
        <v>17</v>
      </c>
      <c r="I25" s="44" t="s">
        <v>1486</v>
      </c>
      <c r="J25" s="46">
        <v>162</v>
      </c>
      <c r="K25" s="69">
        <v>6.2</v>
      </c>
      <c r="M25" s="44"/>
      <c r="O25">
        <v>2</v>
      </c>
      <c r="P25" t="s">
        <v>121</v>
      </c>
      <c r="Q25">
        <v>136</v>
      </c>
      <c r="R25">
        <v>4.2</v>
      </c>
      <c r="AG25">
        <v>2</v>
      </c>
      <c r="AH25">
        <v>2025</v>
      </c>
      <c r="AI25">
        <f t="shared" si="0"/>
        <v>1</v>
      </c>
      <c r="AJ25">
        <f t="shared" si="1"/>
        <v>1</v>
      </c>
      <c r="AK25">
        <f t="shared" si="2"/>
        <v>1</v>
      </c>
      <c r="AL25">
        <f t="shared" si="3"/>
        <v>277</v>
      </c>
      <c r="AM25" s="1"/>
      <c r="AN25" s="46"/>
    </row>
    <row r="26" spans="1:43" x14ac:dyDescent="0.25">
      <c r="B26" t="s">
        <v>1887</v>
      </c>
      <c r="C26" s="44" t="s">
        <v>176</v>
      </c>
      <c r="D26" s="44">
        <v>45</v>
      </c>
      <c r="E26" s="44" t="s">
        <v>93</v>
      </c>
      <c r="F26" s="46">
        <v>15</v>
      </c>
      <c r="H26" s="1">
        <v>10</v>
      </c>
      <c r="I26" s="44" t="s">
        <v>1400</v>
      </c>
      <c r="J26" s="46">
        <v>150</v>
      </c>
      <c r="K26" s="69">
        <v>4.5</v>
      </c>
      <c r="AG26">
        <v>2</v>
      </c>
      <c r="AH26">
        <v>2025</v>
      </c>
      <c r="AI26">
        <f t="shared" si="0"/>
        <v>1</v>
      </c>
      <c r="AJ26">
        <f t="shared" si="1"/>
        <v>1</v>
      </c>
      <c r="AK26">
        <f t="shared" si="2"/>
        <v>1</v>
      </c>
      <c r="AL26">
        <f t="shared" si="3"/>
        <v>277</v>
      </c>
      <c r="AM26" s="1"/>
      <c r="AN26" s="46"/>
    </row>
    <row r="27" spans="1:43" x14ac:dyDescent="0.25">
      <c r="B27" t="s">
        <v>1887</v>
      </c>
      <c r="C27" s="44" t="s">
        <v>528</v>
      </c>
      <c r="D27" s="44">
        <v>144</v>
      </c>
      <c r="E27" s="44" t="s">
        <v>94</v>
      </c>
      <c r="F27" s="46">
        <v>10</v>
      </c>
      <c r="G27" s="44" t="s">
        <v>1915</v>
      </c>
      <c r="H27" s="1">
        <v>32</v>
      </c>
      <c r="I27" s="44" t="s">
        <v>1709</v>
      </c>
      <c r="J27" s="46">
        <v>163</v>
      </c>
      <c r="K27" s="69">
        <v>4.5</v>
      </c>
      <c r="AG27">
        <v>2</v>
      </c>
      <c r="AH27">
        <v>2025</v>
      </c>
      <c r="AI27">
        <f t="shared" si="0"/>
        <v>1</v>
      </c>
      <c r="AJ27">
        <f t="shared" si="1"/>
        <v>1</v>
      </c>
      <c r="AK27">
        <f t="shared" si="2"/>
        <v>1</v>
      </c>
      <c r="AL27">
        <f t="shared" si="3"/>
        <v>277</v>
      </c>
      <c r="AM27" s="1"/>
      <c r="AN27" s="46"/>
    </row>
    <row r="28" spans="1:43" x14ac:dyDescent="0.25">
      <c r="B28" t="s">
        <v>1887</v>
      </c>
      <c r="C28" s="44" t="s">
        <v>1616</v>
      </c>
      <c r="D28" s="44">
        <v>99</v>
      </c>
      <c r="E28" s="44" t="s">
        <v>94</v>
      </c>
      <c r="F28" s="44">
        <v>35</v>
      </c>
      <c r="G28" s="44" t="s">
        <v>1916</v>
      </c>
      <c r="H28" s="1">
        <v>16</v>
      </c>
      <c r="I28" s="44" t="s">
        <v>1486</v>
      </c>
      <c r="J28" s="46">
        <v>162</v>
      </c>
      <c r="K28" s="69">
        <v>6.2</v>
      </c>
      <c r="AG28">
        <v>4</v>
      </c>
      <c r="AH28">
        <v>2024</v>
      </c>
      <c r="AI28">
        <f t="shared" si="0"/>
        <v>1</v>
      </c>
      <c r="AJ28">
        <f t="shared" si="1"/>
        <v>1</v>
      </c>
      <c r="AK28">
        <f t="shared" si="2"/>
        <v>1</v>
      </c>
      <c r="AL28">
        <f t="shared" si="3"/>
        <v>95</v>
      </c>
      <c r="AM28" s="1"/>
    </row>
    <row r="29" spans="1:43" x14ac:dyDescent="0.25">
      <c r="B29" t="s">
        <v>1887</v>
      </c>
      <c r="C29" t="s">
        <v>176</v>
      </c>
      <c r="D29" s="44">
        <v>63</v>
      </c>
      <c r="E29" s="44" t="s">
        <v>93</v>
      </c>
      <c r="F29" s="46">
        <v>10</v>
      </c>
      <c r="G29" s="44" t="s">
        <v>1917</v>
      </c>
      <c r="H29" s="1">
        <v>12</v>
      </c>
      <c r="I29" s="44" t="s">
        <v>1400</v>
      </c>
      <c r="J29" s="46">
        <v>150</v>
      </c>
      <c r="K29" s="69">
        <v>4.5</v>
      </c>
      <c r="O29">
        <v>2</v>
      </c>
      <c r="P29" t="s">
        <v>1559</v>
      </c>
      <c r="Q29">
        <v>136</v>
      </c>
      <c r="R29">
        <v>4.5</v>
      </c>
      <c r="AG29">
        <v>2</v>
      </c>
      <c r="AH29">
        <v>2025</v>
      </c>
      <c r="AI29">
        <f t="shared" si="0"/>
        <v>1</v>
      </c>
      <c r="AJ29">
        <f t="shared" si="1"/>
        <v>1</v>
      </c>
      <c r="AK29">
        <f t="shared" si="2"/>
        <v>1</v>
      </c>
      <c r="AL29">
        <f t="shared" si="3"/>
        <v>277</v>
      </c>
      <c r="AM29" s="1"/>
      <c r="AN29" s="46"/>
    </row>
    <row r="30" spans="1:43" x14ac:dyDescent="0.25">
      <c r="B30" t="s">
        <v>1887</v>
      </c>
      <c r="C30" s="44" t="s">
        <v>27</v>
      </c>
      <c r="D30" s="44">
        <v>95</v>
      </c>
      <c r="E30" s="44" t="s">
        <v>94</v>
      </c>
      <c r="F30" s="46">
        <v>30</v>
      </c>
      <c r="G30" s="44"/>
      <c r="H30" s="1">
        <v>21</v>
      </c>
      <c r="I30" s="44" t="s">
        <v>1400</v>
      </c>
      <c r="J30" s="46">
        <v>150</v>
      </c>
      <c r="K30" s="69">
        <v>4.5</v>
      </c>
      <c r="M30" s="46"/>
      <c r="AG30">
        <v>2</v>
      </c>
      <c r="AH30">
        <v>2025</v>
      </c>
      <c r="AI30">
        <f t="shared" si="0"/>
        <v>1</v>
      </c>
      <c r="AJ30">
        <f t="shared" si="1"/>
        <v>1</v>
      </c>
      <c r="AK30">
        <f t="shared" si="2"/>
        <v>1</v>
      </c>
      <c r="AL30">
        <f t="shared" si="3"/>
        <v>277</v>
      </c>
      <c r="AM30" s="1"/>
      <c r="AN30" s="46"/>
    </row>
    <row r="31" spans="1:43" s="11" customFormat="1" x14ac:dyDescent="0.25">
      <c r="A31" s="11">
        <f>SUM(D13:D31)</f>
        <v>2902</v>
      </c>
      <c r="B31" s="11" t="s">
        <v>1887</v>
      </c>
      <c r="C31" s="71" t="s">
        <v>1247</v>
      </c>
      <c r="D31" s="71">
        <v>84</v>
      </c>
      <c r="E31" s="71" t="s">
        <v>94</v>
      </c>
      <c r="F31" s="48"/>
      <c r="G31" s="71"/>
      <c r="H31" s="28">
        <v>38</v>
      </c>
      <c r="I31" s="71" t="s">
        <v>119</v>
      </c>
      <c r="J31" s="48">
        <v>110</v>
      </c>
      <c r="K31" s="70">
        <v>2.2000000000000002</v>
      </c>
      <c r="AG31" s="11">
        <v>3</v>
      </c>
      <c r="AH31" s="11">
        <v>2025</v>
      </c>
      <c r="AI31">
        <f t="shared" si="0"/>
        <v>1</v>
      </c>
      <c r="AJ31">
        <f t="shared" si="1"/>
        <v>1</v>
      </c>
      <c r="AK31">
        <f t="shared" si="2"/>
        <v>1</v>
      </c>
      <c r="AL31" s="11">
        <f t="shared" si="3"/>
        <v>368</v>
      </c>
      <c r="AM31" s="28"/>
      <c r="AN31" s="48"/>
    </row>
    <row r="32" spans="1:43" x14ac:dyDescent="0.25">
      <c r="B32" s="44" t="s">
        <v>1888</v>
      </c>
      <c r="C32" s="44" t="s">
        <v>45</v>
      </c>
      <c r="D32" s="46">
        <v>347</v>
      </c>
      <c r="E32" s="44" t="s">
        <v>94</v>
      </c>
      <c r="F32" s="46"/>
      <c r="G32" s="46"/>
      <c r="H32" s="1">
        <v>56</v>
      </c>
      <c r="I32" s="44" t="s">
        <v>1486</v>
      </c>
      <c r="J32" s="46">
        <v>162</v>
      </c>
      <c r="K32" s="69">
        <v>6.2</v>
      </c>
      <c r="AG32">
        <v>1</v>
      </c>
      <c r="AH32">
        <v>2025</v>
      </c>
      <c r="AI32">
        <f t="shared" si="0"/>
        <v>1</v>
      </c>
      <c r="AJ32">
        <f t="shared" si="1"/>
        <v>1</v>
      </c>
      <c r="AK32">
        <f t="shared" si="2"/>
        <v>1</v>
      </c>
      <c r="AL32">
        <f t="shared" si="3"/>
        <v>182</v>
      </c>
      <c r="AM32" s="1"/>
      <c r="AN32" s="46"/>
    </row>
    <row r="33" spans="1:40" x14ac:dyDescent="0.25">
      <c r="A33" s="40"/>
      <c r="B33" s="44" t="s">
        <v>1889</v>
      </c>
      <c r="C33" s="44" t="s">
        <v>1247</v>
      </c>
      <c r="D33" s="46">
        <v>117</v>
      </c>
      <c r="E33" s="44" t="s">
        <v>94</v>
      </c>
      <c r="F33" s="46"/>
      <c r="G33" s="46"/>
      <c r="H33" s="1">
        <v>26</v>
      </c>
      <c r="I33" s="44" t="s">
        <v>1400</v>
      </c>
      <c r="J33" s="46">
        <v>150</v>
      </c>
      <c r="K33" s="69">
        <v>4.5</v>
      </c>
      <c r="AG33">
        <v>2</v>
      </c>
      <c r="AH33">
        <v>2025</v>
      </c>
      <c r="AI33">
        <f t="shared" si="0"/>
        <v>1</v>
      </c>
      <c r="AJ33">
        <f t="shared" si="1"/>
        <v>1</v>
      </c>
      <c r="AK33">
        <f t="shared" si="2"/>
        <v>1</v>
      </c>
      <c r="AL33">
        <f t="shared" si="3"/>
        <v>257</v>
      </c>
      <c r="AM33" s="1"/>
      <c r="AN33" s="46"/>
    </row>
    <row r="34" spans="1:40" x14ac:dyDescent="0.25">
      <c r="B34" s="44" t="s">
        <v>1890</v>
      </c>
      <c r="C34" s="44" t="s">
        <v>1247</v>
      </c>
      <c r="D34" s="46">
        <v>136</v>
      </c>
      <c r="E34" s="44"/>
      <c r="F34" s="46"/>
      <c r="G34" s="46"/>
      <c r="H34" s="1">
        <v>62</v>
      </c>
      <c r="I34" s="44" t="s">
        <v>574</v>
      </c>
      <c r="J34" s="46">
        <v>120</v>
      </c>
      <c r="K34" s="69">
        <v>2.2000000000000002</v>
      </c>
      <c r="AG34">
        <v>3</v>
      </c>
      <c r="AH34">
        <v>2025</v>
      </c>
      <c r="AI34">
        <f t="shared" ref="AI34:AI65" si="4">COUNTIF($I$177:$I$208,I34)</f>
        <v>1</v>
      </c>
      <c r="AJ34">
        <f t="shared" ref="AJ34:AJ65" si="5">COUNTIF($C$176:$C$205,C34)</f>
        <v>1</v>
      </c>
      <c r="AK34">
        <f t="shared" ref="AK34:AK66" si="6">COUNTIF($C$232:$C$270,C34)</f>
        <v>1</v>
      </c>
      <c r="AL34">
        <f t="shared" si="3"/>
        <v>344</v>
      </c>
      <c r="AM34" s="28"/>
      <c r="AN34" s="48"/>
    </row>
    <row r="35" spans="1:40" x14ac:dyDescent="0.25">
      <c r="A35" s="40"/>
      <c r="B35" s="44" t="s">
        <v>1891</v>
      </c>
      <c r="C35" s="44" t="s">
        <v>527</v>
      </c>
      <c r="D35" s="150">
        <v>795</v>
      </c>
      <c r="E35" s="44"/>
      <c r="F35" s="46"/>
      <c r="G35" s="44" t="s">
        <v>1919</v>
      </c>
      <c r="H35" s="1">
        <v>53</v>
      </c>
      <c r="I35" s="44" t="s">
        <v>1776</v>
      </c>
      <c r="J35" s="46">
        <v>236</v>
      </c>
      <c r="K35" s="69">
        <v>15</v>
      </c>
      <c r="O35" s="40"/>
      <c r="P35" s="40"/>
      <c r="Q35" s="40"/>
      <c r="R35" s="40"/>
      <c r="S35" s="40"/>
      <c r="T35" s="40"/>
      <c r="U35" s="40"/>
      <c r="V35" s="40"/>
      <c r="W35" s="40"/>
      <c r="X35" s="40"/>
      <c r="Y35" s="40"/>
      <c r="Z35" s="40"/>
      <c r="AA35" s="40"/>
      <c r="AB35" s="40"/>
      <c r="AC35" s="40"/>
      <c r="AD35" s="40"/>
      <c r="AE35" s="40"/>
      <c r="AF35" s="40" t="s">
        <v>1918</v>
      </c>
      <c r="AG35" s="40"/>
      <c r="AI35">
        <f t="shared" si="4"/>
        <v>1</v>
      </c>
      <c r="AJ35">
        <f t="shared" si="5"/>
        <v>1</v>
      </c>
      <c r="AK35">
        <f t="shared" si="6"/>
        <v>1</v>
      </c>
      <c r="AL35" t="e">
        <f t="shared" si="3"/>
        <v>#NUM!</v>
      </c>
    </row>
    <row r="36" spans="1:40" x14ac:dyDescent="0.25">
      <c r="A36" s="40"/>
      <c r="B36" s="44" t="s">
        <v>1892</v>
      </c>
      <c r="C36" s="44" t="s">
        <v>138</v>
      </c>
      <c r="D36" s="46">
        <v>49</v>
      </c>
      <c r="E36" s="44" t="s">
        <v>94</v>
      </c>
      <c r="G36" s="44" t="s">
        <v>1920</v>
      </c>
      <c r="H36" s="1">
        <v>6</v>
      </c>
      <c r="I36" s="44" t="s">
        <v>1780</v>
      </c>
      <c r="J36" s="46">
        <v>162</v>
      </c>
      <c r="K36" s="69">
        <v>7.2</v>
      </c>
      <c r="O36" s="40">
        <v>1</v>
      </c>
      <c r="P36" s="40" t="s">
        <v>1664</v>
      </c>
      <c r="Q36" s="40">
        <v>150</v>
      </c>
      <c r="R36" s="40">
        <v>6</v>
      </c>
      <c r="S36" s="40"/>
      <c r="T36" s="40"/>
      <c r="U36" s="40"/>
      <c r="V36" s="40"/>
      <c r="W36" s="40"/>
      <c r="X36" s="40"/>
      <c r="Y36" s="40"/>
      <c r="Z36" s="40"/>
      <c r="AA36" s="40"/>
      <c r="AB36" s="40"/>
      <c r="AC36" s="40"/>
      <c r="AD36" s="40"/>
      <c r="AE36" s="40"/>
      <c r="AF36" s="40"/>
      <c r="AG36" s="40">
        <v>1</v>
      </c>
      <c r="AH36">
        <v>2026</v>
      </c>
      <c r="AI36">
        <f t="shared" si="4"/>
        <v>1</v>
      </c>
      <c r="AJ36">
        <f t="shared" si="5"/>
        <v>1</v>
      </c>
      <c r="AK36">
        <f t="shared" si="6"/>
        <v>1</v>
      </c>
      <c r="AL36">
        <f t="shared" si="3"/>
        <v>520</v>
      </c>
    </row>
    <row r="37" spans="1:40" x14ac:dyDescent="0.25">
      <c r="A37" s="40"/>
      <c r="B37" s="44" t="s">
        <v>1893</v>
      </c>
      <c r="C37" s="44" t="s">
        <v>528</v>
      </c>
      <c r="D37" s="46">
        <v>144</v>
      </c>
      <c r="E37" s="44" t="s">
        <v>94</v>
      </c>
      <c r="F37" s="46">
        <v>10</v>
      </c>
      <c r="G37" s="44" t="s">
        <v>1915</v>
      </c>
      <c r="H37" s="1">
        <v>32</v>
      </c>
      <c r="I37" s="44" t="s">
        <v>1709</v>
      </c>
      <c r="J37" s="46">
        <v>163</v>
      </c>
      <c r="K37" s="69">
        <v>4.5</v>
      </c>
      <c r="O37" s="40"/>
      <c r="P37" s="40"/>
      <c r="Q37" s="40"/>
      <c r="R37" s="40"/>
      <c r="S37" s="40"/>
      <c r="T37" s="40"/>
      <c r="U37" s="40"/>
      <c r="V37" s="40"/>
      <c r="W37" s="40"/>
      <c r="X37" s="40"/>
      <c r="Y37" s="40"/>
      <c r="Z37" s="40"/>
      <c r="AA37" s="40"/>
      <c r="AB37" s="40"/>
      <c r="AC37" s="40"/>
      <c r="AD37" s="40"/>
      <c r="AE37" s="40"/>
      <c r="AF37" s="40"/>
      <c r="AG37" s="40">
        <v>2</v>
      </c>
      <c r="AH37">
        <v>2025</v>
      </c>
      <c r="AI37">
        <f t="shared" si="4"/>
        <v>1</v>
      </c>
      <c r="AJ37">
        <f t="shared" si="5"/>
        <v>1</v>
      </c>
      <c r="AK37">
        <f t="shared" si="6"/>
        <v>1</v>
      </c>
      <c r="AL37">
        <f t="shared" si="3"/>
        <v>237</v>
      </c>
    </row>
    <row r="38" spans="1:40" x14ac:dyDescent="0.25">
      <c r="B38" s="44" t="s">
        <v>1894</v>
      </c>
      <c r="C38" s="44" t="s">
        <v>526</v>
      </c>
      <c r="D38" s="46">
        <v>99</v>
      </c>
      <c r="E38" s="44" t="s">
        <v>94</v>
      </c>
      <c r="F38" s="46">
        <v>35</v>
      </c>
      <c r="G38" s="44" t="s">
        <v>68</v>
      </c>
      <c r="H38" s="1">
        <v>16</v>
      </c>
      <c r="I38" s="44" t="s">
        <v>1486</v>
      </c>
      <c r="J38" s="46">
        <v>162</v>
      </c>
      <c r="K38" s="69">
        <v>6.2</v>
      </c>
      <c r="O38" s="40"/>
      <c r="P38" s="40"/>
      <c r="Q38" s="40"/>
      <c r="R38" s="40"/>
      <c r="S38" s="40"/>
      <c r="T38" s="40"/>
      <c r="U38" s="40"/>
      <c r="V38" s="40"/>
      <c r="W38" s="40"/>
      <c r="X38" s="40"/>
      <c r="Y38" s="40"/>
      <c r="Z38" s="40"/>
      <c r="AA38" s="40"/>
      <c r="AB38" s="40"/>
      <c r="AC38" s="40"/>
      <c r="AD38" s="40"/>
      <c r="AE38" s="40"/>
      <c r="AF38" s="40"/>
      <c r="AG38" s="40">
        <v>3</v>
      </c>
      <c r="AH38">
        <v>2025</v>
      </c>
      <c r="AI38">
        <f t="shared" si="4"/>
        <v>1</v>
      </c>
      <c r="AJ38">
        <f t="shared" si="5"/>
        <v>1</v>
      </c>
      <c r="AK38">
        <f t="shared" si="6"/>
        <v>1</v>
      </c>
      <c r="AL38">
        <f t="shared" si="3"/>
        <v>327</v>
      </c>
    </row>
    <row r="39" spans="1:40" x14ac:dyDescent="0.25">
      <c r="A39" s="40"/>
      <c r="B39" s="44" t="s">
        <v>1895</v>
      </c>
      <c r="C39" s="44" t="s">
        <v>166</v>
      </c>
      <c r="D39" s="46">
        <v>41</v>
      </c>
      <c r="E39" s="44" t="s">
        <v>93</v>
      </c>
      <c r="F39" s="46">
        <v>20</v>
      </c>
      <c r="G39" s="44" t="s">
        <v>1921</v>
      </c>
      <c r="H39" s="1">
        <v>6</v>
      </c>
      <c r="I39" s="44" t="s">
        <v>1709</v>
      </c>
      <c r="J39" s="46">
        <v>163</v>
      </c>
      <c r="K39" s="69">
        <v>4.5</v>
      </c>
      <c r="O39" s="40">
        <v>3</v>
      </c>
      <c r="P39" s="40" t="s">
        <v>1559</v>
      </c>
      <c r="Q39" s="40">
        <v>136</v>
      </c>
      <c r="R39" s="40">
        <v>4.5</v>
      </c>
      <c r="S39" s="40"/>
      <c r="T39" s="40"/>
      <c r="U39" s="40"/>
      <c r="V39" s="40"/>
      <c r="W39" s="40"/>
      <c r="X39" s="40"/>
      <c r="Y39" s="40"/>
      <c r="Z39" s="40"/>
      <c r="AA39" s="40"/>
      <c r="AB39" s="40"/>
      <c r="AC39" s="40"/>
      <c r="AD39" s="40"/>
      <c r="AE39" s="40"/>
      <c r="AF39" s="40"/>
      <c r="AG39" s="40">
        <v>2</v>
      </c>
      <c r="AH39">
        <v>2025</v>
      </c>
      <c r="AI39">
        <f t="shared" si="4"/>
        <v>1</v>
      </c>
      <c r="AJ39">
        <f t="shared" si="5"/>
        <v>1</v>
      </c>
      <c r="AK39">
        <f t="shared" si="6"/>
        <v>1</v>
      </c>
      <c r="AL39">
        <f t="shared" si="3"/>
        <v>235</v>
      </c>
    </row>
    <row r="40" spans="1:40" x14ac:dyDescent="0.25">
      <c r="A40" s="40"/>
      <c r="B40" s="44" t="s">
        <v>1895</v>
      </c>
      <c r="C40" s="44" t="s">
        <v>138</v>
      </c>
      <c r="D40" s="46">
        <v>58</v>
      </c>
      <c r="E40" s="44" t="s">
        <v>94</v>
      </c>
      <c r="F40" s="46">
        <v>25</v>
      </c>
      <c r="G40" s="44" t="s">
        <v>71</v>
      </c>
      <c r="H40" s="1">
        <v>8</v>
      </c>
      <c r="I40" s="44" t="s">
        <v>1784</v>
      </c>
      <c r="J40" s="46">
        <v>172</v>
      </c>
      <c r="K40" s="69">
        <v>7.2</v>
      </c>
      <c r="O40" s="40"/>
      <c r="P40" s="40"/>
      <c r="Q40" s="40"/>
      <c r="R40" s="40"/>
      <c r="S40" s="40"/>
      <c r="T40" s="40"/>
      <c r="U40" s="40"/>
      <c r="V40" s="40"/>
      <c r="W40" s="40"/>
      <c r="X40" s="40"/>
      <c r="Y40" s="40"/>
      <c r="Z40" s="40"/>
      <c r="AA40" s="40"/>
      <c r="AB40" s="40"/>
      <c r="AC40" s="40"/>
      <c r="AD40" s="40"/>
      <c r="AE40" s="40"/>
      <c r="AF40" s="40"/>
      <c r="AG40" s="40">
        <v>1</v>
      </c>
      <c r="AH40">
        <v>2026</v>
      </c>
      <c r="AI40">
        <f t="shared" si="4"/>
        <v>1</v>
      </c>
      <c r="AJ40">
        <f t="shared" si="5"/>
        <v>1</v>
      </c>
      <c r="AK40">
        <f t="shared" si="6"/>
        <v>1</v>
      </c>
      <c r="AL40">
        <f t="shared" si="3"/>
        <v>510</v>
      </c>
    </row>
    <row r="41" spans="1:40" x14ac:dyDescent="0.25">
      <c r="A41" s="40"/>
      <c r="B41" s="44" t="s">
        <v>1896</v>
      </c>
      <c r="C41" s="44" t="s">
        <v>449</v>
      </c>
      <c r="D41" s="46">
        <v>50</v>
      </c>
      <c r="E41" s="44" t="s">
        <v>94</v>
      </c>
      <c r="F41" s="46">
        <v>20</v>
      </c>
      <c r="G41" s="44"/>
      <c r="H41" s="1">
        <v>11</v>
      </c>
      <c r="I41" s="44" t="s">
        <v>1709</v>
      </c>
      <c r="J41" s="46">
        <v>163</v>
      </c>
      <c r="K41" s="69">
        <v>4.5</v>
      </c>
      <c r="O41" s="40"/>
      <c r="P41" s="40"/>
      <c r="Q41" s="40"/>
      <c r="R41" s="40"/>
      <c r="S41" s="40"/>
      <c r="T41" s="40"/>
      <c r="U41" s="40"/>
      <c r="V41" s="40"/>
      <c r="W41" s="40"/>
      <c r="X41" s="40"/>
      <c r="Y41" s="40"/>
      <c r="Z41" s="40"/>
      <c r="AA41" s="40"/>
      <c r="AB41" s="40"/>
      <c r="AC41" s="40"/>
      <c r="AD41" s="40"/>
      <c r="AE41" s="40"/>
      <c r="AF41" s="40"/>
      <c r="AG41" s="40">
        <v>4</v>
      </c>
      <c r="AH41">
        <v>2025</v>
      </c>
      <c r="AI41">
        <f t="shared" si="4"/>
        <v>1</v>
      </c>
      <c r="AJ41">
        <f t="shared" si="5"/>
        <v>1</v>
      </c>
      <c r="AK41">
        <f t="shared" si="6"/>
        <v>1</v>
      </c>
      <c r="AL41">
        <f t="shared" si="3"/>
        <v>414</v>
      </c>
    </row>
    <row r="42" spans="1:40" x14ac:dyDescent="0.25">
      <c r="A42" s="40"/>
      <c r="B42" s="44" t="s">
        <v>1896</v>
      </c>
      <c r="C42" s="44" t="s">
        <v>146</v>
      </c>
      <c r="D42" s="46">
        <v>29</v>
      </c>
      <c r="E42" s="44" t="s">
        <v>94</v>
      </c>
      <c r="F42" s="46">
        <v>20</v>
      </c>
      <c r="G42" s="44" t="s">
        <v>1922</v>
      </c>
      <c r="H42" s="1">
        <v>3</v>
      </c>
      <c r="I42" s="44" t="s">
        <v>1486</v>
      </c>
      <c r="J42" s="46">
        <v>162</v>
      </c>
      <c r="K42" s="69">
        <v>6.2</v>
      </c>
      <c r="O42" s="40"/>
      <c r="P42" s="40"/>
      <c r="Q42" s="40"/>
      <c r="R42" s="40"/>
      <c r="S42" s="40"/>
      <c r="T42" s="40"/>
      <c r="U42" s="40"/>
      <c r="V42" s="40"/>
      <c r="W42" s="40"/>
      <c r="X42" s="40"/>
      <c r="Y42" s="40"/>
      <c r="Z42" s="40"/>
      <c r="AA42" s="40"/>
      <c r="AB42" s="40"/>
      <c r="AC42" s="40"/>
      <c r="AD42" s="40"/>
      <c r="AE42" s="40"/>
      <c r="AF42" s="40"/>
      <c r="AG42" s="40">
        <v>4</v>
      </c>
      <c r="AH42">
        <v>2025</v>
      </c>
      <c r="AI42">
        <f t="shared" si="4"/>
        <v>1</v>
      </c>
      <c r="AJ42">
        <f t="shared" si="5"/>
        <v>1</v>
      </c>
      <c r="AK42">
        <f t="shared" si="6"/>
        <v>1</v>
      </c>
      <c r="AL42">
        <f t="shared" si="3"/>
        <v>414</v>
      </c>
    </row>
    <row r="43" spans="1:40" x14ac:dyDescent="0.25">
      <c r="A43" s="40"/>
      <c r="B43" s="44" t="s">
        <v>1896</v>
      </c>
      <c r="C43" s="44" t="s">
        <v>148</v>
      </c>
      <c r="D43" s="46">
        <v>27</v>
      </c>
      <c r="E43" s="44" t="s">
        <v>94</v>
      </c>
      <c r="F43" s="46">
        <v>20</v>
      </c>
      <c r="G43" s="44"/>
      <c r="H43" s="1">
        <v>6</v>
      </c>
      <c r="I43" s="44" t="s">
        <v>1400</v>
      </c>
      <c r="J43" s="46">
        <v>150</v>
      </c>
      <c r="K43" s="69">
        <v>4.5</v>
      </c>
      <c r="O43" s="40"/>
      <c r="P43" s="40"/>
      <c r="Q43" s="40"/>
      <c r="R43" s="40"/>
      <c r="S43" s="40"/>
      <c r="T43" s="40"/>
      <c r="U43" s="40"/>
      <c r="V43" s="40"/>
      <c r="W43" s="40"/>
      <c r="X43" s="40"/>
      <c r="Y43" s="40"/>
      <c r="Z43" s="40"/>
      <c r="AA43" s="40"/>
      <c r="AB43" s="40"/>
      <c r="AC43" s="40"/>
      <c r="AD43" s="40"/>
      <c r="AE43" s="40"/>
      <c r="AF43" s="40"/>
      <c r="AG43" s="40">
        <v>2</v>
      </c>
      <c r="AH43">
        <v>2025</v>
      </c>
      <c r="AI43">
        <f t="shared" si="4"/>
        <v>1</v>
      </c>
      <c r="AJ43">
        <f t="shared" si="5"/>
        <v>1</v>
      </c>
      <c r="AK43">
        <f t="shared" si="6"/>
        <v>1</v>
      </c>
      <c r="AL43">
        <f t="shared" si="3"/>
        <v>231</v>
      </c>
    </row>
    <row r="44" spans="1:40" x14ac:dyDescent="0.25">
      <c r="A44" s="40"/>
      <c r="B44" s="44" t="s">
        <v>1896</v>
      </c>
      <c r="C44" s="44" t="s">
        <v>206</v>
      </c>
      <c r="D44" s="46">
        <v>46</v>
      </c>
      <c r="E44" s="44" t="s">
        <v>94</v>
      </c>
      <c r="F44" s="46">
        <v>20</v>
      </c>
      <c r="G44" s="44"/>
      <c r="H44" s="1">
        <v>21</v>
      </c>
      <c r="I44" s="44" t="s">
        <v>119</v>
      </c>
      <c r="J44" s="46">
        <v>110</v>
      </c>
      <c r="K44" s="69">
        <v>2.2000000000000002</v>
      </c>
      <c r="O44" s="40"/>
      <c r="P44" s="40"/>
      <c r="Q44" s="40"/>
      <c r="R44" s="40"/>
      <c r="S44" s="40"/>
      <c r="T44" s="40"/>
      <c r="U44" s="40"/>
      <c r="V44" s="40"/>
      <c r="W44" s="40"/>
      <c r="X44" s="40"/>
      <c r="Y44" s="40"/>
      <c r="Z44" s="40"/>
      <c r="AA44" s="40"/>
      <c r="AB44" s="40"/>
      <c r="AC44" s="40"/>
      <c r="AD44" s="40"/>
      <c r="AE44" s="40"/>
      <c r="AF44" s="40"/>
      <c r="AG44" s="40">
        <v>3</v>
      </c>
      <c r="AH44">
        <v>2025</v>
      </c>
      <c r="AI44">
        <f t="shared" si="4"/>
        <v>1</v>
      </c>
      <c r="AJ44">
        <f t="shared" si="5"/>
        <v>1</v>
      </c>
      <c r="AK44">
        <f t="shared" si="6"/>
        <v>1</v>
      </c>
      <c r="AL44">
        <f t="shared" si="3"/>
        <v>322</v>
      </c>
    </row>
    <row r="45" spans="1:40" x14ac:dyDescent="0.25">
      <c r="B45" s="44" t="s">
        <v>1896</v>
      </c>
      <c r="C45" s="44" t="s">
        <v>1247</v>
      </c>
      <c r="D45" s="46">
        <v>252</v>
      </c>
      <c r="E45" s="44" t="s">
        <v>94</v>
      </c>
      <c r="F45" s="44">
        <v>10</v>
      </c>
      <c r="G45" s="44"/>
      <c r="H45" s="1">
        <v>56</v>
      </c>
      <c r="I45" s="44" t="s">
        <v>1709</v>
      </c>
      <c r="J45" s="44">
        <v>163</v>
      </c>
      <c r="K45" s="24">
        <v>4.5</v>
      </c>
      <c r="O45" s="40"/>
      <c r="P45" s="40"/>
      <c r="Q45" s="40"/>
      <c r="R45" s="40"/>
      <c r="S45" s="40"/>
      <c r="T45" s="40"/>
      <c r="U45" s="40"/>
      <c r="V45" s="40"/>
      <c r="W45" s="40"/>
      <c r="X45" s="40"/>
      <c r="Y45" s="40"/>
      <c r="Z45" s="40"/>
      <c r="AA45" s="40"/>
      <c r="AB45" s="40"/>
      <c r="AC45" s="40"/>
      <c r="AD45" s="40"/>
      <c r="AE45" s="40"/>
      <c r="AF45" s="40"/>
      <c r="AG45" s="40">
        <v>3</v>
      </c>
      <c r="AH45">
        <v>2026</v>
      </c>
      <c r="AI45">
        <f t="shared" si="4"/>
        <v>1</v>
      </c>
      <c r="AJ45">
        <f t="shared" si="5"/>
        <v>1</v>
      </c>
      <c r="AK45">
        <f t="shared" si="6"/>
        <v>1</v>
      </c>
      <c r="AL45">
        <f t="shared" si="3"/>
        <v>687</v>
      </c>
    </row>
    <row r="46" spans="1:40" x14ac:dyDescent="0.25">
      <c r="A46" s="40"/>
      <c r="B46" s="44" t="s">
        <v>1897</v>
      </c>
      <c r="C46" t="s">
        <v>144</v>
      </c>
      <c r="D46" s="145">
        <v>285</v>
      </c>
      <c r="E46" s="44" t="s">
        <v>94</v>
      </c>
      <c r="F46" s="46"/>
      <c r="G46" s="44" t="s">
        <v>1924</v>
      </c>
      <c r="H46" s="1">
        <v>46</v>
      </c>
      <c r="I46" s="44" t="s">
        <v>1486</v>
      </c>
      <c r="J46" s="46">
        <v>162</v>
      </c>
      <c r="K46" s="69">
        <v>6.2</v>
      </c>
      <c r="O46" s="40"/>
      <c r="P46" s="40"/>
      <c r="Q46" s="40"/>
      <c r="R46" s="40"/>
      <c r="S46" s="40"/>
      <c r="T46" s="40"/>
      <c r="U46" s="40"/>
      <c r="V46" s="40"/>
      <c r="W46" s="40"/>
      <c r="X46" s="40"/>
      <c r="Y46" s="40"/>
      <c r="Z46" s="40"/>
      <c r="AA46" s="40"/>
      <c r="AB46" s="40"/>
      <c r="AC46" s="40"/>
      <c r="AD46" s="40"/>
      <c r="AE46" s="40"/>
      <c r="AF46" s="40"/>
      <c r="AG46" s="40">
        <v>1</v>
      </c>
      <c r="AH46">
        <v>2026</v>
      </c>
      <c r="AI46">
        <f t="shared" si="4"/>
        <v>1</v>
      </c>
      <c r="AJ46">
        <f t="shared" si="5"/>
        <v>1</v>
      </c>
      <c r="AK46">
        <f t="shared" si="6"/>
        <v>1</v>
      </c>
      <c r="AL46">
        <f t="shared" si="3"/>
        <v>504</v>
      </c>
    </row>
    <row r="47" spans="1:40" ht="15.75" customHeight="1" x14ac:dyDescent="0.25">
      <c r="A47" s="40"/>
      <c r="B47" s="44" t="s">
        <v>1898</v>
      </c>
      <c r="C47" s="44" t="s">
        <v>1247</v>
      </c>
      <c r="D47" s="46">
        <v>114</v>
      </c>
      <c r="E47" s="44" t="s">
        <v>94</v>
      </c>
      <c r="F47" s="46"/>
      <c r="G47" s="44" t="s">
        <v>1925</v>
      </c>
      <c r="H47" s="1">
        <v>19</v>
      </c>
      <c r="I47" s="44" t="s">
        <v>1404</v>
      </c>
      <c r="J47" s="46">
        <v>162</v>
      </c>
      <c r="K47" s="69">
        <v>6</v>
      </c>
      <c r="O47" s="40"/>
      <c r="P47" s="40"/>
      <c r="Q47" s="40"/>
      <c r="R47" s="40"/>
      <c r="S47" s="40"/>
      <c r="T47" s="40"/>
      <c r="U47" s="40"/>
      <c r="V47" s="40"/>
      <c r="W47" s="40"/>
      <c r="X47" s="40"/>
      <c r="Y47" s="40"/>
      <c r="Z47" s="40"/>
      <c r="AA47" s="40"/>
      <c r="AB47" s="40"/>
      <c r="AC47" s="40"/>
      <c r="AD47" s="40"/>
      <c r="AE47" s="40"/>
      <c r="AF47" s="40"/>
      <c r="AG47" s="40">
        <v>1</v>
      </c>
      <c r="AH47">
        <v>2025</v>
      </c>
      <c r="AI47">
        <f t="shared" si="4"/>
        <v>1</v>
      </c>
      <c r="AJ47">
        <f t="shared" si="5"/>
        <v>1</v>
      </c>
      <c r="AK47">
        <f t="shared" si="6"/>
        <v>1</v>
      </c>
      <c r="AL47">
        <f t="shared" si="3"/>
        <v>133</v>
      </c>
    </row>
    <row r="48" spans="1:40" x14ac:dyDescent="0.25">
      <c r="A48" s="40"/>
      <c r="B48" s="44" t="s">
        <v>1899</v>
      </c>
      <c r="C48" s="44" t="s">
        <v>138</v>
      </c>
      <c r="D48" s="46">
        <v>55</v>
      </c>
      <c r="E48" s="44" t="s">
        <v>94</v>
      </c>
      <c r="F48" s="46">
        <v>20</v>
      </c>
      <c r="G48" s="44" t="s">
        <v>1926</v>
      </c>
      <c r="H48" s="1">
        <v>6</v>
      </c>
      <c r="I48" s="44" t="s">
        <v>1486</v>
      </c>
      <c r="J48" s="46">
        <v>162</v>
      </c>
      <c r="K48" s="69">
        <v>6.2</v>
      </c>
      <c r="O48" s="40">
        <v>3</v>
      </c>
      <c r="P48" s="40" t="s">
        <v>1664</v>
      </c>
      <c r="Q48" s="40">
        <v>150</v>
      </c>
      <c r="R48" s="40">
        <v>6</v>
      </c>
      <c r="S48" s="40"/>
      <c r="T48" s="40"/>
      <c r="U48" s="40"/>
      <c r="V48" s="40"/>
      <c r="W48" s="40"/>
      <c r="X48" s="40"/>
      <c r="Y48" s="40"/>
      <c r="Z48" s="40"/>
      <c r="AA48" s="40"/>
      <c r="AB48" s="40"/>
      <c r="AC48" s="40"/>
      <c r="AD48" s="40"/>
      <c r="AE48" s="40"/>
      <c r="AF48" s="40"/>
      <c r="AG48" s="40">
        <v>3</v>
      </c>
      <c r="AH48">
        <v>2025</v>
      </c>
      <c r="AI48">
        <f t="shared" si="4"/>
        <v>1</v>
      </c>
      <c r="AJ48">
        <f t="shared" si="5"/>
        <v>1</v>
      </c>
      <c r="AK48">
        <f t="shared" si="6"/>
        <v>1</v>
      </c>
      <c r="AL48">
        <f t="shared" si="3"/>
        <v>332</v>
      </c>
    </row>
    <row r="49" spans="1:38" x14ac:dyDescent="0.25">
      <c r="A49" s="40"/>
      <c r="B49" s="44" t="s">
        <v>1900</v>
      </c>
      <c r="C49" s="44" t="s">
        <v>1247</v>
      </c>
      <c r="D49" s="150">
        <v>810</v>
      </c>
      <c r="E49" s="44"/>
      <c r="F49" s="46">
        <v>5</v>
      </c>
      <c r="G49" s="44" t="s">
        <v>1927</v>
      </c>
      <c r="H49" s="1">
        <v>54</v>
      </c>
      <c r="I49" s="44" t="s">
        <v>1776</v>
      </c>
      <c r="J49" s="46">
        <v>236</v>
      </c>
      <c r="K49" s="69">
        <v>15</v>
      </c>
      <c r="O49" s="40"/>
      <c r="P49" s="40"/>
      <c r="Q49" s="40"/>
      <c r="R49" s="40"/>
      <c r="S49" s="40"/>
      <c r="T49" s="40"/>
      <c r="U49" s="40"/>
      <c r="V49" s="40"/>
      <c r="W49" s="40"/>
      <c r="X49" s="40"/>
      <c r="Y49" s="40"/>
      <c r="Z49" s="40"/>
      <c r="AA49" s="40"/>
      <c r="AB49" s="40"/>
      <c r="AC49" s="40"/>
      <c r="AD49" s="40"/>
      <c r="AE49" s="40"/>
      <c r="AF49" s="40"/>
      <c r="AG49" s="40">
        <v>2</v>
      </c>
      <c r="AH49">
        <v>2026</v>
      </c>
      <c r="AI49">
        <f t="shared" si="4"/>
        <v>1</v>
      </c>
      <c r="AJ49">
        <f t="shared" si="5"/>
        <v>1</v>
      </c>
      <c r="AK49">
        <f t="shared" si="6"/>
        <v>1</v>
      </c>
      <c r="AL49">
        <f t="shared" si="3"/>
        <v>569</v>
      </c>
    </row>
    <row r="50" spans="1:38" x14ac:dyDescent="0.25">
      <c r="A50" s="40"/>
      <c r="B50" s="44" t="s">
        <v>1928</v>
      </c>
      <c r="C50" s="44" t="s">
        <v>605</v>
      </c>
      <c r="D50" s="44">
        <v>134</v>
      </c>
      <c r="E50" s="44" t="s">
        <v>94</v>
      </c>
      <c r="F50" s="44">
        <v>20</v>
      </c>
      <c r="G50" s="44" t="s">
        <v>1913</v>
      </c>
      <c r="H50" s="1">
        <v>32</v>
      </c>
      <c r="I50" s="44" t="s">
        <v>1156</v>
      </c>
      <c r="J50" s="46">
        <v>117</v>
      </c>
      <c r="K50" s="69">
        <v>4.2</v>
      </c>
      <c r="O50" s="40"/>
      <c r="P50" s="40"/>
      <c r="Q50" s="40"/>
      <c r="R50" s="40"/>
      <c r="S50" s="40"/>
      <c r="T50" s="40"/>
      <c r="U50" s="40"/>
      <c r="V50" s="40"/>
      <c r="W50" s="40"/>
      <c r="X50" s="40"/>
      <c r="Y50" s="40"/>
      <c r="Z50" s="40"/>
      <c r="AA50" s="40"/>
      <c r="AB50" s="40"/>
      <c r="AC50" s="40"/>
      <c r="AD50" s="40"/>
      <c r="AE50" s="40"/>
      <c r="AF50" s="40"/>
      <c r="AG50" s="40">
        <v>2</v>
      </c>
      <c r="AH50">
        <v>2027</v>
      </c>
      <c r="AI50">
        <f t="shared" si="4"/>
        <v>1</v>
      </c>
      <c r="AJ50">
        <f t="shared" si="5"/>
        <v>1</v>
      </c>
      <c r="AK50">
        <f t="shared" si="6"/>
        <v>1</v>
      </c>
      <c r="AL50">
        <f t="shared" si="3"/>
        <v>919</v>
      </c>
    </row>
    <row r="51" spans="1:38" x14ac:dyDescent="0.25">
      <c r="A51" s="40"/>
      <c r="B51" s="44" t="s">
        <v>1929</v>
      </c>
      <c r="C51" s="44" t="s">
        <v>605</v>
      </c>
      <c r="D51" s="44">
        <v>34</v>
      </c>
      <c r="E51" s="44" t="s">
        <v>94</v>
      </c>
      <c r="F51" s="44">
        <v>20</v>
      </c>
      <c r="G51" s="44" t="s">
        <v>1930</v>
      </c>
      <c r="H51" s="1">
        <v>8</v>
      </c>
      <c r="I51" s="44" t="s">
        <v>1156</v>
      </c>
      <c r="J51" s="46">
        <v>117</v>
      </c>
      <c r="K51" s="69">
        <v>4.2</v>
      </c>
      <c r="O51" s="40"/>
      <c r="P51" s="40"/>
      <c r="Q51" s="40"/>
      <c r="R51" s="40"/>
      <c r="S51" s="40"/>
      <c r="T51" s="40"/>
      <c r="U51" s="40"/>
      <c r="V51" s="40"/>
      <c r="W51" s="40"/>
      <c r="X51" s="40"/>
      <c r="Y51" s="40"/>
      <c r="Z51" s="40"/>
      <c r="AA51" s="40"/>
      <c r="AB51" s="40"/>
      <c r="AC51" s="40"/>
      <c r="AD51" s="40"/>
      <c r="AE51" s="40"/>
      <c r="AF51" s="40"/>
      <c r="AG51" s="40">
        <v>1</v>
      </c>
      <c r="AH51">
        <v>2026</v>
      </c>
      <c r="AI51">
        <f t="shared" si="4"/>
        <v>1</v>
      </c>
      <c r="AJ51">
        <f t="shared" si="5"/>
        <v>1</v>
      </c>
      <c r="AK51">
        <f t="shared" si="6"/>
        <v>1</v>
      </c>
      <c r="AL51">
        <f t="shared" si="3"/>
        <v>458</v>
      </c>
    </row>
    <row r="52" spans="1:38" x14ac:dyDescent="0.25">
      <c r="A52" s="40"/>
      <c r="B52" s="44" t="s">
        <v>1929</v>
      </c>
      <c r="C52" s="44" t="s">
        <v>319</v>
      </c>
      <c r="D52" s="44">
        <v>34</v>
      </c>
      <c r="E52" s="44" t="s">
        <v>94</v>
      </c>
      <c r="F52" s="44">
        <v>5</v>
      </c>
      <c r="G52" s="44"/>
      <c r="H52" s="1">
        <v>8</v>
      </c>
      <c r="I52" s="44" t="s">
        <v>1156</v>
      </c>
      <c r="J52" s="46">
        <v>117</v>
      </c>
      <c r="K52" s="69">
        <v>4.2</v>
      </c>
      <c r="O52" s="40"/>
      <c r="P52" s="40"/>
      <c r="Q52" s="40"/>
      <c r="R52" s="40"/>
      <c r="S52" s="40"/>
      <c r="T52" s="40"/>
      <c r="U52" s="40"/>
      <c r="V52" s="40"/>
      <c r="W52" s="40"/>
      <c r="X52" s="40"/>
      <c r="Y52" s="40"/>
      <c r="Z52" s="40"/>
      <c r="AA52" s="40"/>
      <c r="AB52" s="40"/>
      <c r="AC52" s="40"/>
      <c r="AD52" s="40"/>
      <c r="AE52" s="40"/>
      <c r="AF52" s="40"/>
      <c r="AG52" s="40">
        <v>2</v>
      </c>
      <c r="AH52">
        <v>2025</v>
      </c>
      <c r="AI52">
        <f t="shared" si="4"/>
        <v>1</v>
      </c>
      <c r="AJ52">
        <f t="shared" si="5"/>
        <v>1</v>
      </c>
      <c r="AK52">
        <f t="shared" si="6"/>
        <v>1</v>
      </c>
      <c r="AL52">
        <f t="shared" si="3"/>
        <v>183</v>
      </c>
    </row>
    <row r="53" spans="1:38" x14ac:dyDescent="0.25">
      <c r="A53" s="40"/>
      <c r="B53" s="44" t="s">
        <v>1929</v>
      </c>
      <c r="C53" s="44" t="s">
        <v>146</v>
      </c>
      <c r="D53" s="46">
        <v>45</v>
      </c>
      <c r="E53" s="44" t="s">
        <v>94</v>
      </c>
      <c r="F53" s="46">
        <v>18</v>
      </c>
      <c r="G53" s="44" t="s">
        <v>1931</v>
      </c>
      <c r="H53" s="1">
        <v>7</v>
      </c>
      <c r="I53" s="44" t="s">
        <v>1486</v>
      </c>
      <c r="J53" s="46">
        <v>162</v>
      </c>
      <c r="K53" s="69">
        <v>6.4</v>
      </c>
      <c r="O53" s="40"/>
      <c r="P53" s="40"/>
      <c r="Q53" s="40"/>
      <c r="R53" s="40"/>
      <c r="S53" s="40"/>
      <c r="T53" s="40"/>
      <c r="U53" s="40"/>
      <c r="V53" s="40"/>
      <c r="W53" s="40"/>
      <c r="X53" s="40"/>
      <c r="Y53" s="40"/>
      <c r="Z53" s="40"/>
      <c r="AA53" s="40"/>
      <c r="AB53" s="40"/>
      <c r="AC53" s="40"/>
      <c r="AD53" s="40"/>
      <c r="AE53" s="40"/>
      <c r="AF53" s="40"/>
      <c r="AG53" s="40">
        <v>3</v>
      </c>
      <c r="AH53">
        <v>2025</v>
      </c>
      <c r="AI53">
        <f t="shared" si="4"/>
        <v>1</v>
      </c>
      <c r="AJ53">
        <f t="shared" si="5"/>
        <v>1</v>
      </c>
      <c r="AK53">
        <f t="shared" si="6"/>
        <v>1</v>
      </c>
      <c r="AL53">
        <f t="shared" si="3"/>
        <v>274</v>
      </c>
    </row>
    <row r="54" spans="1:38" s="11" customFormat="1" x14ac:dyDescent="0.25">
      <c r="A54" s="11">
        <f>SUM(D32:D54)</f>
        <v>3742</v>
      </c>
      <c r="B54" s="71" t="s">
        <v>1929</v>
      </c>
      <c r="C54" s="71" t="s">
        <v>166</v>
      </c>
      <c r="D54" s="48">
        <v>41</v>
      </c>
      <c r="E54" s="71" t="s">
        <v>94</v>
      </c>
      <c r="F54" s="48">
        <v>15</v>
      </c>
      <c r="G54" s="71" t="s">
        <v>1932</v>
      </c>
      <c r="H54" s="28">
        <v>9</v>
      </c>
      <c r="I54" s="71" t="s">
        <v>1709</v>
      </c>
      <c r="J54" s="48">
        <v>163</v>
      </c>
      <c r="K54" s="70">
        <v>4.5</v>
      </c>
      <c r="AG54" s="41">
        <v>3</v>
      </c>
      <c r="AH54" s="11">
        <v>2025</v>
      </c>
      <c r="AI54" s="11">
        <f t="shared" si="4"/>
        <v>1</v>
      </c>
      <c r="AJ54" s="11">
        <f t="shared" si="5"/>
        <v>1</v>
      </c>
      <c r="AK54">
        <f t="shared" si="6"/>
        <v>1</v>
      </c>
      <c r="AL54" s="11">
        <f t="shared" si="3"/>
        <v>274</v>
      </c>
    </row>
    <row r="55" spans="1:38" x14ac:dyDescent="0.25">
      <c r="B55" s="44" t="s">
        <v>1933</v>
      </c>
      <c r="C55" s="44" t="s">
        <v>1247</v>
      </c>
      <c r="D55" s="46">
        <v>137</v>
      </c>
      <c r="E55" s="44" t="s">
        <v>94</v>
      </c>
      <c r="F55" s="46">
        <v>20</v>
      </c>
      <c r="G55" s="44" t="s">
        <v>1951</v>
      </c>
      <c r="H55" s="1">
        <v>62</v>
      </c>
      <c r="I55" s="44" t="s">
        <v>574</v>
      </c>
      <c r="J55" s="46">
        <v>120</v>
      </c>
      <c r="K55" s="69">
        <v>2.2000000000000002</v>
      </c>
      <c r="AG55" s="40">
        <v>4</v>
      </c>
      <c r="AH55">
        <v>2025</v>
      </c>
      <c r="AI55">
        <f t="shared" si="4"/>
        <v>1</v>
      </c>
      <c r="AJ55">
        <f t="shared" si="5"/>
        <v>1</v>
      </c>
      <c r="AK55">
        <f t="shared" si="6"/>
        <v>1</v>
      </c>
      <c r="AL55">
        <f t="shared" si="3"/>
        <v>350</v>
      </c>
    </row>
    <row r="56" spans="1:38" x14ac:dyDescent="0.25">
      <c r="B56" s="44" t="s">
        <v>1934</v>
      </c>
      <c r="C56" s="44" t="s">
        <v>138</v>
      </c>
      <c r="D56" s="46">
        <v>70</v>
      </c>
      <c r="E56" s="44" t="s">
        <v>94</v>
      </c>
      <c r="F56" s="46">
        <v>25</v>
      </c>
      <c r="G56" s="44" t="s">
        <v>1952</v>
      </c>
      <c r="H56" s="1">
        <v>7</v>
      </c>
      <c r="I56" s="44" t="s">
        <v>1404</v>
      </c>
      <c r="J56" s="46">
        <v>162</v>
      </c>
      <c r="K56" s="69">
        <v>5.6</v>
      </c>
      <c r="O56">
        <v>5</v>
      </c>
      <c r="P56" t="s">
        <v>1486</v>
      </c>
      <c r="Q56">
        <v>162</v>
      </c>
      <c r="R56">
        <v>6.2</v>
      </c>
      <c r="AG56" s="40">
        <v>3</v>
      </c>
      <c r="AH56">
        <v>2025</v>
      </c>
      <c r="AI56">
        <f t="shared" si="4"/>
        <v>1</v>
      </c>
      <c r="AJ56">
        <f t="shared" si="5"/>
        <v>1</v>
      </c>
      <c r="AK56">
        <f t="shared" si="6"/>
        <v>1</v>
      </c>
      <c r="AL56">
        <f t="shared" si="3"/>
        <v>256</v>
      </c>
    </row>
    <row r="57" spans="1:38" x14ac:dyDescent="0.25">
      <c r="A57" s="40"/>
      <c r="B57" s="44" t="s">
        <v>1935</v>
      </c>
      <c r="C57" s="100" t="s">
        <v>526</v>
      </c>
      <c r="D57" s="44">
        <v>50</v>
      </c>
      <c r="E57" s="44" t="s">
        <v>94</v>
      </c>
      <c r="F57" s="44">
        <v>20</v>
      </c>
      <c r="G57" s="44" t="s">
        <v>1953</v>
      </c>
      <c r="H57" s="1">
        <v>9</v>
      </c>
      <c r="I57" s="44" t="s">
        <v>619</v>
      </c>
      <c r="J57" s="44">
        <v>150</v>
      </c>
      <c r="K57" s="101">
        <v>4.2</v>
      </c>
      <c r="O57">
        <v>3</v>
      </c>
      <c r="P57" t="s">
        <v>1954</v>
      </c>
      <c r="Q57">
        <v>150</v>
      </c>
      <c r="R57">
        <v>4</v>
      </c>
      <c r="AG57" s="40">
        <v>3</v>
      </c>
      <c r="AH57">
        <v>2025</v>
      </c>
      <c r="AI57">
        <f t="shared" si="4"/>
        <v>1</v>
      </c>
      <c r="AJ57">
        <f t="shared" si="5"/>
        <v>1</v>
      </c>
      <c r="AK57">
        <f t="shared" si="6"/>
        <v>1</v>
      </c>
      <c r="AL57">
        <f t="shared" si="3"/>
        <v>245</v>
      </c>
    </row>
    <row r="58" spans="1:38" x14ac:dyDescent="0.25">
      <c r="A58" s="40"/>
      <c r="B58" s="44" t="s">
        <v>1936</v>
      </c>
      <c r="C58" s="44" t="s">
        <v>1247</v>
      </c>
      <c r="D58" s="44">
        <v>203</v>
      </c>
      <c r="E58" s="44" t="s">
        <v>94</v>
      </c>
      <c r="F58" s="44">
        <v>10</v>
      </c>
      <c r="G58" s="44" t="s">
        <v>1648</v>
      </c>
      <c r="H58" s="1">
        <v>45</v>
      </c>
      <c r="I58" s="44" t="s">
        <v>1709</v>
      </c>
      <c r="J58" s="44">
        <v>163</v>
      </c>
      <c r="K58" s="101">
        <v>4.5</v>
      </c>
      <c r="AG58" s="40">
        <v>4</v>
      </c>
      <c r="AH58">
        <v>2025</v>
      </c>
      <c r="AI58">
        <f t="shared" si="4"/>
        <v>1</v>
      </c>
      <c r="AJ58">
        <f t="shared" si="5"/>
        <v>1</v>
      </c>
      <c r="AK58">
        <f t="shared" si="6"/>
        <v>1</v>
      </c>
      <c r="AL58">
        <f t="shared" si="3"/>
        <v>330</v>
      </c>
    </row>
    <row r="59" spans="1:38" x14ac:dyDescent="0.25">
      <c r="A59" s="40"/>
      <c r="B59" s="44" t="s">
        <v>1937</v>
      </c>
      <c r="C59" s="44" t="s">
        <v>138</v>
      </c>
      <c r="D59" s="44">
        <v>93</v>
      </c>
      <c r="E59" s="44" t="s">
        <v>94</v>
      </c>
      <c r="F59" s="44">
        <v>20</v>
      </c>
      <c r="G59" s="44" t="s">
        <v>1955</v>
      </c>
      <c r="H59" s="1">
        <v>15</v>
      </c>
      <c r="I59" s="44" t="s">
        <v>1486</v>
      </c>
      <c r="J59" s="44">
        <v>162</v>
      </c>
      <c r="K59" s="101">
        <v>6.2</v>
      </c>
      <c r="AG59" s="40">
        <v>2</v>
      </c>
      <c r="AH59">
        <v>2026</v>
      </c>
      <c r="AI59">
        <f t="shared" si="4"/>
        <v>1</v>
      </c>
      <c r="AJ59">
        <f t="shared" si="5"/>
        <v>1</v>
      </c>
      <c r="AK59">
        <f t="shared" si="6"/>
        <v>1</v>
      </c>
      <c r="AL59">
        <f t="shared" si="3"/>
        <v>504</v>
      </c>
    </row>
    <row r="60" spans="1:38" x14ac:dyDescent="0.25">
      <c r="A60" s="40"/>
      <c r="B60" s="44" t="s">
        <v>1937</v>
      </c>
      <c r="C60" s="44" t="s">
        <v>138</v>
      </c>
      <c r="D60" s="44">
        <v>101</v>
      </c>
      <c r="E60" s="44" t="s">
        <v>94</v>
      </c>
      <c r="F60" s="44">
        <v>25</v>
      </c>
      <c r="G60" s="44" t="s">
        <v>1956</v>
      </c>
      <c r="H60" s="1">
        <v>18</v>
      </c>
      <c r="I60" s="44" t="s">
        <v>1664</v>
      </c>
      <c r="J60" s="44">
        <v>150</v>
      </c>
      <c r="K60" s="101">
        <v>5.6</v>
      </c>
      <c r="AG60" s="40">
        <v>2</v>
      </c>
      <c r="AH60">
        <v>2025</v>
      </c>
      <c r="AI60">
        <f t="shared" si="4"/>
        <v>1</v>
      </c>
      <c r="AJ60">
        <f t="shared" si="5"/>
        <v>1</v>
      </c>
      <c r="AK60">
        <f t="shared" si="6"/>
        <v>1</v>
      </c>
      <c r="AL60">
        <f t="shared" si="3"/>
        <v>139</v>
      </c>
    </row>
    <row r="61" spans="1:38" x14ac:dyDescent="0.25">
      <c r="A61" s="40"/>
      <c r="B61" s="44" t="s">
        <v>1938</v>
      </c>
      <c r="C61" s="44" t="s">
        <v>147</v>
      </c>
      <c r="D61" s="44">
        <v>50</v>
      </c>
      <c r="E61" s="44" t="s">
        <v>94</v>
      </c>
      <c r="F61" s="44">
        <v>20</v>
      </c>
      <c r="G61" s="44"/>
      <c r="H61" s="1">
        <v>8</v>
      </c>
      <c r="I61" s="44" t="s">
        <v>1486</v>
      </c>
      <c r="J61" s="44">
        <v>162</v>
      </c>
      <c r="K61" s="101">
        <v>6.2</v>
      </c>
      <c r="AG61" s="40">
        <v>2</v>
      </c>
      <c r="AH61">
        <v>2025</v>
      </c>
      <c r="AI61">
        <f t="shared" si="4"/>
        <v>1</v>
      </c>
      <c r="AJ61">
        <f t="shared" si="5"/>
        <v>1</v>
      </c>
      <c r="AK61">
        <f t="shared" si="6"/>
        <v>1</v>
      </c>
      <c r="AL61">
        <f t="shared" si="3"/>
        <v>134</v>
      </c>
    </row>
    <row r="62" spans="1:38" x14ac:dyDescent="0.25">
      <c r="B62" s="44" t="s">
        <v>1939</v>
      </c>
      <c r="C62" s="47" t="s">
        <v>138</v>
      </c>
      <c r="D62" s="44">
        <v>900</v>
      </c>
      <c r="E62" s="44"/>
      <c r="F62" s="44">
        <v>5</v>
      </c>
      <c r="G62" s="44" t="s">
        <v>1771</v>
      </c>
      <c r="H62" s="1">
        <v>16</v>
      </c>
      <c r="I62" s="44" t="s">
        <v>1776</v>
      </c>
      <c r="J62" s="44">
        <v>236</v>
      </c>
      <c r="K62" s="101">
        <v>15</v>
      </c>
      <c r="AF62" t="s">
        <v>1957</v>
      </c>
      <c r="AG62" s="40">
        <v>2</v>
      </c>
      <c r="AH62">
        <v>2028</v>
      </c>
      <c r="AI62">
        <f t="shared" si="4"/>
        <v>1</v>
      </c>
      <c r="AJ62">
        <f t="shared" si="5"/>
        <v>1</v>
      </c>
      <c r="AK62">
        <f t="shared" si="6"/>
        <v>1</v>
      </c>
      <c r="AL62">
        <f t="shared" si="3"/>
        <v>1220</v>
      </c>
    </row>
    <row r="63" spans="1:38" x14ac:dyDescent="0.25">
      <c r="B63" s="44" t="s">
        <v>1940</v>
      </c>
      <c r="C63" s="44" t="s">
        <v>1247</v>
      </c>
      <c r="D63" s="44">
        <v>342</v>
      </c>
      <c r="E63" s="44" t="s">
        <v>94</v>
      </c>
      <c r="F63" s="44">
        <v>10</v>
      </c>
      <c r="G63" s="44" t="s">
        <v>1913</v>
      </c>
      <c r="H63" s="1">
        <v>76</v>
      </c>
      <c r="I63" s="44" t="s">
        <v>1400</v>
      </c>
      <c r="J63" s="44">
        <v>150</v>
      </c>
      <c r="K63" s="101">
        <v>4.5</v>
      </c>
      <c r="AG63" s="40">
        <v>4</v>
      </c>
      <c r="AH63">
        <v>2025</v>
      </c>
      <c r="AI63">
        <f t="shared" si="4"/>
        <v>1</v>
      </c>
      <c r="AJ63">
        <f t="shared" si="5"/>
        <v>1</v>
      </c>
      <c r="AK63">
        <f t="shared" si="6"/>
        <v>1</v>
      </c>
      <c r="AL63">
        <f t="shared" si="3"/>
        <v>303</v>
      </c>
    </row>
    <row r="64" spans="1:38" x14ac:dyDescent="0.25">
      <c r="B64" s="44" t="s">
        <v>1941</v>
      </c>
      <c r="C64" s="47" t="s">
        <v>165</v>
      </c>
      <c r="D64" s="44">
        <v>1080</v>
      </c>
      <c r="E64" s="44"/>
      <c r="F64" s="44"/>
      <c r="G64" s="44" t="s">
        <v>1040</v>
      </c>
      <c r="H64" s="1">
        <v>72</v>
      </c>
      <c r="I64" s="44" t="s">
        <v>1776</v>
      </c>
      <c r="J64" s="44">
        <v>236</v>
      </c>
      <c r="K64" s="101">
        <v>15</v>
      </c>
      <c r="AG64" s="40">
        <v>2</v>
      </c>
      <c r="AH64">
        <v>2026</v>
      </c>
      <c r="AI64">
        <f t="shared" si="4"/>
        <v>1</v>
      </c>
      <c r="AJ64">
        <f t="shared" si="5"/>
        <v>1</v>
      </c>
      <c r="AK64">
        <f t="shared" si="6"/>
        <v>1</v>
      </c>
      <c r="AL64">
        <f t="shared" si="3"/>
        <v>474</v>
      </c>
    </row>
    <row r="65" spans="1:38" x14ac:dyDescent="0.25">
      <c r="A65" s="40"/>
      <c r="B65" s="44" t="s">
        <v>1942</v>
      </c>
      <c r="C65" s="44" t="s">
        <v>165</v>
      </c>
      <c r="D65" s="44">
        <v>217</v>
      </c>
      <c r="E65" s="44" t="s">
        <v>94</v>
      </c>
      <c r="F65" s="44">
        <v>20</v>
      </c>
      <c r="G65" s="44" t="s">
        <v>1958</v>
      </c>
      <c r="H65" s="1">
        <v>35</v>
      </c>
      <c r="I65" s="44" t="s">
        <v>1486</v>
      </c>
      <c r="J65" s="44">
        <v>162</v>
      </c>
      <c r="K65" s="101">
        <v>6.2</v>
      </c>
      <c r="AG65" s="40">
        <v>4</v>
      </c>
      <c r="AH65">
        <v>2026</v>
      </c>
      <c r="AI65">
        <f t="shared" si="4"/>
        <v>1</v>
      </c>
      <c r="AJ65">
        <f t="shared" si="5"/>
        <v>1</v>
      </c>
      <c r="AK65">
        <f t="shared" si="6"/>
        <v>1</v>
      </c>
      <c r="AL65">
        <f t="shared" si="3"/>
        <v>653</v>
      </c>
    </row>
    <row r="66" spans="1:38" x14ac:dyDescent="0.25">
      <c r="A66" s="40"/>
      <c r="B66" s="44" t="s">
        <v>1943</v>
      </c>
      <c r="C66" s="44" t="s">
        <v>138</v>
      </c>
      <c r="D66" s="44">
        <v>62</v>
      </c>
      <c r="E66" s="44" t="s">
        <v>94</v>
      </c>
      <c r="F66" s="44">
        <v>20</v>
      </c>
      <c r="G66" s="44" t="s">
        <v>1959</v>
      </c>
      <c r="H66" s="1">
        <v>10</v>
      </c>
      <c r="I66" s="44" t="s">
        <v>1486</v>
      </c>
      <c r="J66" s="44">
        <v>162</v>
      </c>
      <c r="K66" s="101">
        <v>6.2</v>
      </c>
      <c r="AG66" s="40">
        <v>3</v>
      </c>
      <c r="AH66">
        <v>2026</v>
      </c>
      <c r="AI66">
        <f t="shared" ref="AI66:AI78" si="7">COUNTIF($I$177:$I$208,I66)</f>
        <v>1</v>
      </c>
      <c r="AJ66">
        <f t="shared" ref="AJ66:AJ95" si="8">COUNTIF($C$176:$C$205,C66)</f>
        <v>1</v>
      </c>
      <c r="AK66">
        <f t="shared" si="6"/>
        <v>1</v>
      </c>
      <c r="AL66">
        <f t="shared" si="3"/>
        <v>560</v>
      </c>
    </row>
    <row r="67" spans="1:38" x14ac:dyDescent="0.25">
      <c r="A67" s="40"/>
      <c r="B67" s="44" t="s">
        <v>1943</v>
      </c>
      <c r="C67" s="44" t="s">
        <v>1186</v>
      </c>
      <c r="D67" s="44">
        <v>77</v>
      </c>
      <c r="E67" s="44" t="s">
        <v>94</v>
      </c>
      <c r="F67" s="44">
        <v>30</v>
      </c>
      <c r="G67" s="44" t="s">
        <v>1912</v>
      </c>
      <c r="H67" s="1">
        <v>12</v>
      </c>
      <c r="I67" s="44" t="s">
        <v>1960</v>
      </c>
      <c r="J67" s="44">
        <v>162</v>
      </c>
      <c r="K67" s="101">
        <v>6.4</v>
      </c>
      <c r="AG67" s="40">
        <v>2</v>
      </c>
      <c r="AH67">
        <v>2026</v>
      </c>
      <c r="AI67">
        <f t="shared" si="7"/>
        <v>1</v>
      </c>
      <c r="AJ67">
        <f t="shared" si="8"/>
        <v>1</v>
      </c>
      <c r="AK67">
        <f t="shared" ref="AK67:AK95" si="9">COUNTIF($C$232:$C$270,C67)</f>
        <v>1</v>
      </c>
      <c r="AL67">
        <f t="shared" si="3"/>
        <v>469</v>
      </c>
    </row>
    <row r="68" spans="1:38" x14ac:dyDescent="0.25">
      <c r="A68" s="40"/>
      <c r="B68" s="44" t="s">
        <v>1943</v>
      </c>
      <c r="C68" s="44" t="s">
        <v>1247</v>
      </c>
      <c r="D68" s="44">
        <v>86</v>
      </c>
      <c r="E68" s="44" t="s">
        <v>94</v>
      </c>
      <c r="F68" s="44">
        <v>10</v>
      </c>
      <c r="G68" s="44" t="s">
        <v>1961</v>
      </c>
      <c r="H68" s="1">
        <v>19</v>
      </c>
      <c r="I68" s="44" t="s">
        <v>1709</v>
      </c>
      <c r="J68" s="44">
        <v>163</v>
      </c>
      <c r="K68" s="101">
        <v>4.5</v>
      </c>
      <c r="AG68" s="40">
        <v>4</v>
      </c>
      <c r="AH68">
        <v>2025</v>
      </c>
      <c r="AI68">
        <f t="shared" si="7"/>
        <v>1</v>
      </c>
      <c r="AJ68">
        <f t="shared" si="8"/>
        <v>1</v>
      </c>
      <c r="AK68">
        <f t="shared" si="9"/>
        <v>1</v>
      </c>
      <c r="AL68">
        <f t="shared" si="3"/>
        <v>287</v>
      </c>
    </row>
    <row r="69" spans="1:38" x14ac:dyDescent="0.25">
      <c r="B69" s="44" t="s">
        <v>1944</v>
      </c>
      <c r="C69" s="44" t="s">
        <v>140</v>
      </c>
      <c r="D69" s="44">
        <v>224</v>
      </c>
      <c r="E69" s="44" t="s">
        <v>94</v>
      </c>
      <c r="G69" s="44" t="s">
        <v>1962</v>
      </c>
      <c r="H69" s="1">
        <v>35</v>
      </c>
      <c r="I69" s="44" t="s">
        <v>1960</v>
      </c>
      <c r="J69" s="44">
        <v>162</v>
      </c>
      <c r="K69" s="101">
        <v>6.4</v>
      </c>
      <c r="AG69" s="40">
        <v>2</v>
      </c>
      <c r="AH69">
        <v>2026</v>
      </c>
      <c r="AI69">
        <f t="shared" si="7"/>
        <v>1</v>
      </c>
      <c r="AJ69">
        <f t="shared" si="8"/>
        <v>1</v>
      </c>
      <c r="AK69">
        <f t="shared" si="9"/>
        <v>1</v>
      </c>
      <c r="AL69">
        <f t="shared" si="3"/>
        <v>468</v>
      </c>
    </row>
    <row r="70" spans="1:38" x14ac:dyDescent="0.25">
      <c r="A70" s="40"/>
      <c r="B70" s="44" t="s">
        <v>1945</v>
      </c>
      <c r="C70" s="44" t="s">
        <v>605</v>
      </c>
      <c r="D70" s="44">
        <v>38</v>
      </c>
      <c r="E70" s="44"/>
      <c r="G70" s="44"/>
      <c r="H70" s="1">
        <v>9</v>
      </c>
      <c r="I70" s="44" t="s">
        <v>1156</v>
      </c>
      <c r="J70" s="44">
        <v>117</v>
      </c>
      <c r="K70" s="101">
        <v>4.2</v>
      </c>
      <c r="AG70" s="40">
        <v>2</v>
      </c>
      <c r="AH70">
        <v>2026</v>
      </c>
      <c r="AI70">
        <f t="shared" si="7"/>
        <v>1</v>
      </c>
      <c r="AJ70">
        <f t="shared" si="8"/>
        <v>1</v>
      </c>
      <c r="AK70">
        <f t="shared" si="9"/>
        <v>1</v>
      </c>
      <c r="AL70">
        <f t="shared" si="3"/>
        <v>467</v>
      </c>
    </row>
    <row r="71" spans="1:38" x14ac:dyDescent="0.25">
      <c r="A71" s="40"/>
      <c r="B71" s="44" t="s">
        <v>1945</v>
      </c>
      <c r="C71" s="44" t="s">
        <v>605</v>
      </c>
      <c r="D71" s="44">
        <v>34</v>
      </c>
      <c r="E71" s="44"/>
      <c r="G71" s="44"/>
      <c r="H71" s="1">
        <v>8</v>
      </c>
      <c r="I71" s="44" t="s">
        <v>1156</v>
      </c>
      <c r="J71" s="44">
        <v>117</v>
      </c>
      <c r="K71" s="101">
        <v>4.2</v>
      </c>
      <c r="AG71" s="40">
        <v>2</v>
      </c>
      <c r="AH71">
        <v>2026</v>
      </c>
      <c r="AI71">
        <f t="shared" si="7"/>
        <v>1</v>
      </c>
      <c r="AJ71">
        <f t="shared" si="8"/>
        <v>1</v>
      </c>
      <c r="AK71">
        <f t="shared" si="9"/>
        <v>1</v>
      </c>
      <c r="AL71">
        <f t="shared" si="3"/>
        <v>467</v>
      </c>
    </row>
    <row r="72" spans="1:38" x14ac:dyDescent="0.25">
      <c r="A72" s="40"/>
      <c r="B72" s="44" t="s">
        <v>1945</v>
      </c>
      <c r="C72" s="44" t="s">
        <v>605</v>
      </c>
      <c r="D72" s="44">
        <v>21</v>
      </c>
      <c r="E72" s="44" t="s">
        <v>94</v>
      </c>
      <c r="G72" s="44" t="s">
        <v>1963</v>
      </c>
      <c r="H72" s="1">
        <v>5</v>
      </c>
      <c r="I72" s="44" t="s">
        <v>121</v>
      </c>
      <c r="J72" s="44">
        <v>136</v>
      </c>
      <c r="K72" s="101">
        <v>4.2</v>
      </c>
      <c r="AG72" s="40">
        <v>2</v>
      </c>
      <c r="AH72">
        <v>2026</v>
      </c>
      <c r="AI72">
        <f t="shared" si="7"/>
        <v>1</v>
      </c>
      <c r="AJ72">
        <f t="shared" si="8"/>
        <v>1</v>
      </c>
      <c r="AK72">
        <f t="shared" si="9"/>
        <v>1</v>
      </c>
      <c r="AL72">
        <f t="shared" si="3"/>
        <v>467</v>
      </c>
    </row>
    <row r="73" spans="1:38" x14ac:dyDescent="0.25">
      <c r="A73" s="40"/>
      <c r="B73" s="44" t="s">
        <v>1946</v>
      </c>
      <c r="C73" s="44" t="s">
        <v>144</v>
      </c>
      <c r="D73" s="44">
        <v>108</v>
      </c>
      <c r="E73" s="44" t="s">
        <v>94</v>
      </c>
      <c r="F73" s="44">
        <v>30</v>
      </c>
      <c r="G73" s="44" t="s">
        <v>1151</v>
      </c>
      <c r="H73" s="44">
        <v>30</v>
      </c>
      <c r="I73" s="44" t="s">
        <v>118</v>
      </c>
      <c r="J73" s="44">
        <v>136</v>
      </c>
      <c r="K73" s="44">
        <v>3.6</v>
      </c>
      <c r="AG73" s="40">
        <v>2</v>
      </c>
      <c r="AH73">
        <v>2026</v>
      </c>
      <c r="AI73">
        <f t="shared" si="7"/>
        <v>1</v>
      </c>
      <c r="AJ73">
        <f t="shared" si="8"/>
        <v>1</v>
      </c>
      <c r="AK73">
        <f t="shared" si="9"/>
        <v>1</v>
      </c>
      <c r="AL73">
        <f t="shared" si="3"/>
        <v>464</v>
      </c>
    </row>
    <row r="74" spans="1:38" x14ac:dyDescent="0.25">
      <c r="A74" s="40"/>
      <c r="B74" s="44" t="s">
        <v>1946</v>
      </c>
      <c r="C74" s="44" t="s">
        <v>161</v>
      </c>
      <c r="D74" s="44">
        <v>29</v>
      </c>
      <c r="E74" s="44" t="s">
        <v>94</v>
      </c>
      <c r="F74" s="44">
        <v>20</v>
      </c>
      <c r="G74" s="44" t="s">
        <v>1964</v>
      </c>
      <c r="H74" s="44">
        <v>13</v>
      </c>
      <c r="I74" s="44" t="s">
        <v>119</v>
      </c>
      <c r="J74" s="44">
        <v>110</v>
      </c>
      <c r="K74" s="44">
        <v>2.2000000000000002</v>
      </c>
      <c r="AG74" s="40">
        <v>1</v>
      </c>
      <c r="AH74">
        <v>2026</v>
      </c>
      <c r="AI74">
        <f t="shared" si="7"/>
        <v>1</v>
      </c>
      <c r="AJ74">
        <f t="shared" si="8"/>
        <v>1</v>
      </c>
      <c r="AK74">
        <f t="shared" si="9"/>
        <v>1</v>
      </c>
      <c r="AL74">
        <f t="shared" si="3"/>
        <v>374</v>
      </c>
    </row>
    <row r="75" spans="1:38" x14ac:dyDescent="0.25">
      <c r="A75" s="40"/>
      <c r="B75" s="44" t="s">
        <v>1946</v>
      </c>
      <c r="C75" s="44" t="s">
        <v>163</v>
      </c>
      <c r="D75" s="44">
        <v>27</v>
      </c>
      <c r="E75" s="44" t="s">
        <v>94</v>
      </c>
      <c r="F75" s="44"/>
      <c r="G75" s="44" t="s">
        <v>1965</v>
      </c>
      <c r="H75" s="44">
        <v>6</v>
      </c>
      <c r="I75" s="44" t="s">
        <v>1559</v>
      </c>
      <c r="J75" s="44">
        <v>136</v>
      </c>
      <c r="K75" s="44">
        <v>4.5</v>
      </c>
      <c r="AG75" s="40">
        <v>4</v>
      </c>
      <c r="AH75">
        <v>2025</v>
      </c>
      <c r="AI75">
        <f t="shared" si="7"/>
        <v>1</v>
      </c>
      <c r="AJ75">
        <f t="shared" si="8"/>
        <v>1</v>
      </c>
      <c r="AK75">
        <f t="shared" si="9"/>
        <v>1</v>
      </c>
      <c r="AL75">
        <f t="shared" si="3"/>
        <v>282</v>
      </c>
    </row>
    <row r="76" spans="1:38" x14ac:dyDescent="0.25">
      <c r="A76" s="40"/>
      <c r="B76" s="44" t="s">
        <v>1946</v>
      </c>
      <c r="C76" s="44" t="s">
        <v>146</v>
      </c>
      <c r="D76" s="44">
        <v>32</v>
      </c>
      <c r="E76" s="44" t="s">
        <v>94</v>
      </c>
      <c r="F76" s="44">
        <v>20</v>
      </c>
      <c r="G76" s="44" t="s">
        <v>1966</v>
      </c>
      <c r="H76" s="44">
        <v>5</v>
      </c>
      <c r="I76" s="44" t="s">
        <v>1486</v>
      </c>
      <c r="J76" s="44">
        <v>162</v>
      </c>
      <c r="K76" s="44">
        <v>6.2</v>
      </c>
      <c r="AG76" s="40">
        <v>3</v>
      </c>
      <c r="AH76">
        <v>2025</v>
      </c>
      <c r="AI76">
        <f t="shared" si="7"/>
        <v>1</v>
      </c>
      <c r="AJ76">
        <f t="shared" si="8"/>
        <v>1</v>
      </c>
      <c r="AK76">
        <f t="shared" si="9"/>
        <v>1</v>
      </c>
      <c r="AL76">
        <f t="shared" si="3"/>
        <v>190</v>
      </c>
    </row>
    <row r="77" spans="1:38" x14ac:dyDescent="0.25">
      <c r="A77" s="40"/>
      <c r="B77" s="44" t="s">
        <v>1946</v>
      </c>
      <c r="C77" s="44" t="s">
        <v>852</v>
      </c>
      <c r="D77" s="44">
        <v>63</v>
      </c>
      <c r="E77" s="44" t="s">
        <v>94</v>
      </c>
      <c r="F77" s="44">
        <v>30</v>
      </c>
      <c r="G77" s="44"/>
      <c r="H77" s="44">
        <v>14</v>
      </c>
      <c r="I77" s="44" t="s">
        <v>1709</v>
      </c>
      <c r="J77" s="44">
        <v>163</v>
      </c>
      <c r="K77" s="44">
        <v>4.5</v>
      </c>
      <c r="AG77" s="40">
        <v>3</v>
      </c>
      <c r="AH77">
        <v>2025</v>
      </c>
      <c r="AI77">
        <f t="shared" si="7"/>
        <v>1</v>
      </c>
      <c r="AJ77">
        <f t="shared" si="8"/>
        <v>1</v>
      </c>
      <c r="AK77">
        <f t="shared" si="9"/>
        <v>1</v>
      </c>
      <c r="AL77">
        <f t="shared" si="3"/>
        <v>190</v>
      </c>
    </row>
    <row r="78" spans="1:38" x14ac:dyDescent="0.25">
      <c r="A78" s="40"/>
      <c r="B78" s="44" t="s">
        <v>1947</v>
      </c>
      <c r="C78" s="44" t="s">
        <v>144</v>
      </c>
      <c r="D78" s="44">
        <v>105</v>
      </c>
      <c r="E78" s="44" t="s">
        <v>94</v>
      </c>
      <c r="F78" s="44">
        <v>30</v>
      </c>
      <c r="G78" s="44" t="s">
        <v>1967</v>
      </c>
      <c r="H78" s="44">
        <v>17</v>
      </c>
      <c r="I78" s="44" t="s">
        <v>1486</v>
      </c>
      <c r="J78" s="44">
        <v>162</v>
      </c>
      <c r="K78" s="44">
        <v>6.2</v>
      </c>
      <c r="AG78" s="40">
        <v>3</v>
      </c>
      <c r="AH78">
        <v>2026</v>
      </c>
      <c r="AI78">
        <f t="shared" si="7"/>
        <v>1</v>
      </c>
      <c r="AJ78">
        <f t="shared" si="8"/>
        <v>1</v>
      </c>
      <c r="AK78">
        <f t="shared" si="9"/>
        <v>1</v>
      </c>
      <c r="AL78">
        <f t="shared" si="3"/>
        <v>554</v>
      </c>
    </row>
    <row r="79" spans="1:38" x14ac:dyDescent="0.25">
      <c r="A79" s="40"/>
      <c r="B79" s="44" t="s">
        <v>1948</v>
      </c>
      <c r="C79" s="44" t="s">
        <v>166</v>
      </c>
      <c r="D79" s="44">
        <v>99</v>
      </c>
      <c r="E79" s="44" t="s">
        <v>93</v>
      </c>
      <c r="F79" s="44">
        <v>10</v>
      </c>
      <c r="G79" s="44" t="s">
        <v>816</v>
      </c>
      <c r="H79" s="44">
        <v>11</v>
      </c>
      <c r="I79" s="44" t="s">
        <v>1400</v>
      </c>
      <c r="J79" s="44">
        <v>150</v>
      </c>
      <c r="K79" s="44">
        <v>4.5</v>
      </c>
      <c r="AG79" s="40">
        <v>2</v>
      </c>
      <c r="AH79">
        <v>2025</v>
      </c>
      <c r="AI79">
        <f t="shared" ref="AI79:AI95" si="10">COUNTIF($I$177:$I$208,I79)</f>
        <v>1</v>
      </c>
      <c r="AJ79">
        <f t="shared" si="8"/>
        <v>1</v>
      </c>
      <c r="AK79">
        <f t="shared" si="9"/>
        <v>1</v>
      </c>
      <c r="AL79">
        <f t="shared" si="3"/>
        <v>96</v>
      </c>
    </row>
    <row r="80" spans="1:38" x14ac:dyDescent="0.25">
      <c r="B80" s="44" t="s">
        <v>1949</v>
      </c>
      <c r="C80" s="44" t="s">
        <v>138</v>
      </c>
      <c r="D80" s="44">
        <v>86</v>
      </c>
      <c r="E80" s="44" t="s">
        <v>94</v>
      </c>
      <c r="F80" s="44">
        <v>25</v>
      </c>
      <c r="G80" s="44" t="s">
        <v>1968</v>
      </c>
      <c r="H80" s="44">
        <v>12</v>
      </c>
      <c r="I80" s="44" t="s">
        <v>1784</v>
      </c>
      <c r="J80" s="44">
        <v>172</v>
      </c>
      <c r="K80" s="44">
        <v>7.2</v>
      </c>
      <c r="AG80" s="40">
        <v>2</v>
      </c>
      <c r="AH80">
        <v>2026</v>
      </c>
      <c r="AI80">
        <f t="shared" si="10"/>
        <v>1</v>
      </c>
      <c r="AJ80">
        <f t="shared" si="8"/>
        <v>1</v>
      </c>
      <c r="AK80">
        <f t="shared" si="9"/>
        <v>1</v>
      </c>
      <c r="AL80">
        <f t="shared" ref="AL80:AL95" si="11">_xlfn.DAYS(DATE(AH80,AG80*3-2,1),DATE(RIGHT(B80,4),MID(B80,4,2),LEFT(B80,2)))</f>
        <v>460</v>
      </c>
    </row>
    <row r="81" spans="1:38" x14ac:dyDescent="0.25">
      <c r="B81" s="44" t="s">
        <v>1949</v>
      </c>
      <c r="C81" s="44" t="s">
        <v>138</v>
      </c>
      <c r="D81" s="44">
        <v>48</v>
      </c>
      <c r="E81" s="44" t="s">
        <v>94</v>
      </c>
      <c r="F81" s="44">
        <v>20</v>
      </c>
      <c r="G81" s="44" t="s">
        <v>1969</v>
      </c>
      <c r="H81" s="44">
        <v>8</v>
      </c>
      <c r="I81" s="44" t="s">
        <v>1404</v>
      </c>
      <c r="J81" s="44">
        <v>162</v>
      </c>
      <c r="K81" s="44">
        <v>6</v>
      </c>
      <c r="AG81" s="40">
        <v>2</v>
      </c>
      <c r="AH81">
        <v>2026</v>
      </c>
      <c r="AI81">
        <f t="shared" si="10"/>
        <v>1</v>
      </c>
      <c r="AJ81">
        <f t="shared" si="8"/>
        <v>1</v>
      </c>
      <c r="AK81">
        <f t="shared" si="9"/>
        <v>1</v>
      </c>
      <c r="AL81">
        <f t="shared" si="11"/>
        <v>460</v>
      </c>
    </row>
    <row r="82" spans="1:38" x14ac:dyDescent="0.25">
      <c r="B82" s="44" t="s">
        <v>1949</v>
      </c>
      <c r="C82" s="44" t="s">
        <v>1465</v>
      </c>
      <c r="D82" s="44">
        <v>64</v>
      </c>
      <c r="E82" s="44" t="s">
        <v>94</v>
      </c>
      <c r="F82" s="44">
        <v>35</v>
      </c>
      <c r="G82" s="44" t="s">
        <v>1970</v>
      </c>
      <c r="H82" s="44">
        <v>10</v>
      </c>
      <c r="I82" s="44" t="s">
        <v>1960</v>
      </c>
      <c r="J82" s="44">
        <v>162</v>
      </c>
      <c r="K82" s="44">
        <v>6.4</v>
      </c>
      <c r="AG82" s="40">
        <v>1</v>
      </c>
      <c r="AH82">
        <v>2026</v>
      </c>
      <c r="AI82">
        <f t="shared" si="10"/>
        <v>1</v>
      </c>
      <c r="AJ82">
        <f t="shared" si="8"/>
        <v>1</v>
      </c>
      <c r="AK82">
        <f t="shared" si="9"/>
        <v>1</v>
      </c>
      <c r="AL82">
        <f t="shared" si="11"/>
        <v>370</v>
      </c>
    </row>
    <row r="83" spans="1:38" x14ac:dyDescent="0.25">
      <c r="A83" s="40"/>
      <c r="B83" s="44" t="s">
        <v>1949</v>
      </c>
      <c r="C83" s="44" t="s">
        <v>605</v>
      </c>
      <c r="D83" s="47">
        <v>315</v>
      </c>
      <c r="E83" s="44"/>
      <c r="F83" s="44"/>
      <c r="G83" s="44" t="s">
        <v>1971</v>
      </c>
      <c r="H83" s="44">
        <v>21</v>
      </c>
      <c r="I83" s="44" t="s">
        <v>1776</v>
      </c>
      <c r="J83" s="44">
        <v>236</v>
      </c>
      <c r="K83" s="44">
        <v>15</v>
      </c>
      <c r="AG83" s="40">
        <v>2</v>
      </c>
      <c r="AH83">
        <v>2026</v>
      </c>
      <c r="AI83">
        <f t="shared" si="10"/>
        <v>1</v>
      </c>
      <c r="AJ83">
        <f t="shared" si="8"/>
        <v>1</v>
      </c>
      <c r="AK83">
        <f t="shared" si="9"/>
        <v>1</v>
      </c>
      <c r="AL83">
        <f t="shared" si="11"/>
        <v>460</v>
      </c>
    </row>
    <row r="84" spans="1:38" x14ac:dyDescent="0.25">
      <c r="A84" s="40"/>
      <c r="B84" s="44" t="s">
        <v>1950</v>
      </c>
      <c r="C84" s="44" t="s">
        <v>1247</v>
      </c>
      <c r="D84" s="44">
        <v>163</v>
      </c>
      <c r="E84" s="44" t="s">
        <v>94</v>
      </c>
      <c r="F84" s="44">
        <v>10</v>
      </c>
      <c r="G84" s="44" t="s">
        <v>1972</v>
      </c>
      <c r="H84" s="44">
        <v>38</v>
      </c>
      <c r="I84" s="44" t="s">
        <v>1156</v>
      </c>
      <c r="J84" s="44">
        <v>117</v>
      </c>
      <c r="K84" s="44">
        <v>4.2</v>
      </c>
      <c r="AG84" s="40">
        <v>3</v>
      </c>
      <c r="AH84">
        <v>2026</v>
      </c>
      <c r="AI84">
        <f t="shared" si="10"/>
        <v>1</v>
      </c>
      <c r="AJ84">
        <f t="shared" si="8"/>
        <v>1</v>
      </c>
      <c r="AK84">
        <f t="shared" si="9"/>
        <v>1</v>
      </c>
      <c r="AL84">
        <f t="shared" si="11"/>
        <v>548</v>
      </c>
    </row>
    <row r="85" spans="1:38" x14ac:dyDescent="0.25">
      <c r="A85" s="40"/>
      <c r="B85" s="44" t="s">
        <v>1950</v>
      </c>
      <c r="C85" s="44" t="s">
        <v>163</v>
      </c>
      <c r="D85" s="44">
        <v>50</v>
      </c>
      <c r="E85" s="44" t="s">
        <v>94</v>
      </c>
      <c r="F85" s="44">
        <v>20</v>
      </c>
      <c r="G85" s="44" t="s">
        <v>1973</v>
      </c>
      <c r="H85" s="44">
        <v>11</v>
      </c>
      <c r="I85" s="44" t="s">
        <v>1559</v>
      </c>
      <c r="J85" s="44">
        <v>136</v>
      </c>
      <c r="K85" s="44">
        <v>4.5</v>
      </c>
      <c r="AG85" s="40">
        <v>1</v>
      </c>
      <c r="AH85">
        <v>2026</v>
      </c>
      <c r="AI85">
        <f t="shared" si="10"/>
        <v>1</v>
      </c>
      <c r="AJ85">
        <f t="shared" si="8"/>
        <v>1</v>
      </c>
      <c r="AK85">
        <f t="shared" si="9"/>
        <v>1</v>
      </c>
      <c r="AL85">
        <f t="shared" si="11"/>
        <v>367</v>
      </c>
    </row>
    <row r="86" spans="1:38" x14ac:dyDescent="0.25">
      <c r="B86" s="44" t="s">
        <v>1950</v>
      </c>
      <c r="C86" s="44" t="s">
        <v>447</v>
      </c>
      <c r="D86" s="44">
        <v>63</v>
      </c>
      <c r="E86" s="44" t="s">
        <v>94</v>
      </c>
      <c r="F86" s="44">
        <v>5</v>
      </c>
      <c r="G86" s="44"/>
      <c r="H86" s="44">
        <v>14</v>
      </c>
      <c r="I86" s="44" t="s">
        <v>1400</v>
      </c>
      <c r="J86" s="44">
        <v>150</v>
      </c>
      <c r="K86" s="44">
        <v>4.5</v>
      </c>
      <c r="AG86" s="40">
        <v>4</v>
      </c>
      <c r="AH86">
        <v>2026</v>
      </c>
      <c r="AI86">
        <f t="shared" si="10"/>
        <v>1</v>
      </c>
      <c r="AJ86">
        <f t="shared" si="8"/>
        <v>1</v>
      </c>
      <c r="AK86">
        <f t="shared" si="9"/>
        <v>1</v>
      </c>
      <c r="AL86">
        <f t="shared" si="11"/>
        <v>640</v>
      </c>
    </row>
    <row r="87" spans="1:38" x14ac:dyDescent="0.25">
      <c r="B87" s="44" t="s">
        <v>1950</v>
      </c>
      <c r="C87" s="44" t="s">
        <v>528</v>
      </c>
      <c r="D87" s="44">
        <v>95</v>
      </c>
      <c r="E87" s="44" t="s">
        <v>94</v>
      </c>
      <c r="F87" s="44">
        <v>20</v>
      </c>
      <c r="G87" s="44"/>
      <c r="H87" s="44">
        <v>21</v>
      </c>
      <c r="I87" s="44" t="s">
        <v>1400</v>
      </c>
      <c r="J87" s="44">
        <v>150</v>
      </c>
      <c r="K87" s="44">
        <v>4.5</v>
      </c>
      <c r="AG87" s="40">
        <v>2</v>
      </c>
      <c r="AH87">
        <v>2026</v>
      </c>
      <c r="AI87">
        <f t="shared" si="10"/>
        <v>1</v>
      </c>
      <c r="AJ87">
        <f t="shared" si="8"/>
        <v>1</v>
      </c>
      <c r="AK87">
        <f t="shared" si="9"/>
        <v>1</v>
      </c>
      <c r="AL87">
        <f t="shared" si="11"/>
        <v>457</v>
      </c>
    </row>
    <row r="88" spans="1:38" s="154" customFormat="1" x14ac:dyDescent="0.25">
      <c r="B88" s="155" t="s">
        <v>1950</v>
      </c>
      <c r="C88" s="155" t="s">
        <v>206</v>
      </c>
      <c r="D88" s="155">
        <v>55</v>
      </c>
      <c r="E88" s="155"/>
      <c r="F88" s="155"/>
      <c r="G88" s="155"/>
      <c r="H88" s="155">
        <v>13</v>
      </c>
      <c r="I88" s="155" t="s">
        <v>121</v>
      </c>
      <c r="J88" s="155">
        <v>136</v>
      </c>
      <c r="K88" s="155">
        <v>4.2</v>
      </c>
      <c r="AG88" s="156">
        <v>2</v>
      </c>
      <c r="AH88" s="154">
        <v>2025</v>
      </c>
      <c r="AI88" s="154">
        <f t="shared" si="10"/>
        <v>1</v>
      </c>
      <c r="AJ88" s="154">
        <f t="shared" si="8"/>
        <v>1</v>
      </c>
      <c r="AK88">
        <f t="shared" si="9"/>
        <v>1</v>
      </c>
      <c r="AL88" s="154">
        <f t="shared" si="11"/>
        <v>92</v>
      </c>
    </row>
    <row r="89" spans="1:38" s="154" customFormat="1" x14ac:dyDescent="0.25">
      <c r="B89" s="155" t="s">
        <v>1950</v>
      </c>
      <c r="C89" s="155" t="s">
        <v>206</v>
      </c>
      <c r="D89" s="155">
        <v>31</v>
      </c>
      <c r="E89" s="155" t="s">
        <v>94</v>
      </c>
      <c r="F89" s="155">
        <v>20</v>
      </c>
      <c r="G89" s="155"/>
      <c r="H89" s="155">
        <v>5</v>
      </c>
      <c r="I89" s="155" t="s">
        <v>109</v>
      </c>
      <c r="J89" s="155">
        <v>126</v>
      </c>
      <c r="K89" s="155">
        <v>3.6</v>
      </c>
      <c r="O89" s="154">
        <v>3</v>
      </c>
      <c r="P89" s="154" t="s">
        <v>619</v>
      </c>
      <c r="Q89" s="154">
        <v>150</v>
      </c>
      <c r="R89" s="154">
        <v>4.2</v>
      </c>
      <c r="AG89" s="156">
        <v>2</v>
      </c>
      <c r="AH89" s="154">
        <v>2025</v>
      </c>
      <c r="AI89" s="154">
        <f t="shared" si="10"/>
        <v>1</v>
      </c>
      <c r="AJ89" s="154">
        <f t="shared" si="8"/>
        <v>1</v>
      </c>
      <c r="AK89">
        <f t="shared" si="9"/>
        <v>1</v>
      </c>
      <c r="AL89" s="154">
        <f t="shared" si="11"/>
        <v>92</v>
      </c>
    </row>
    <row r="90" spans="1:38" s="154" customFormat="1" x14ac:dyDescent="0.25">
      <c r="A90" s="156"/>
      <c r="B90" s="155" t="s">
        <v>1950</v>
      </c>
      <c r="C90" s="155" t="s">
        <v>1247</v>
      </c>
      <c r="D90" s="155">
        <v>203</v>
      </c>
      <c r="E90" s="155" t="s">
        <v>94</v>
      </c>
      <c r="F90" s="155"/>
      <c r="H90" s="155">
        <v>45</v>
      </c>
      <c r="I90" s="155" t="s">
        <v>1709</v>
      </c>
      <c r="J90" s="155">
        <v>163</v>
      </c>
      <c r="K90" s="155">
        <v>4.5</v>
      </c>
      <c r="M90" s="155"/>
      <c r="AG90" s="156">
        <v>3</v>
      </c>
      <c r="AH90" s="153">
        <v>2026</v>
      </c>
      <c r="AI90" s="154">
        <f t="shared" si="10"/>
        <v>1</v>
      </c>
      <c r="AJ90" s="154">
        <f t="shared" si="8"/>
        <v>1</v>
      </c>
      <c r="AK90">
        <f t="shared" si="9"/>
        <v>1</v>
      </c>
      <c r="AL90" s="154">
        <f t="shared" si="11"/>
        <v>548</v>
      </c>
    </row>
    <row r="91" spans="1:38" s="154" customFormat="1" x14ac:dyDescent="0.25">
      <c r="B91" s="155" t="s">
        <v>1950</v>
      </c>
      <c r="C91" s="155" t="s">
        <v>1247</v>
      </c>
      <c r="D91" s="155">
        <v>270</v>
      </c>
      <c r="E91" s="155" t="s">
        <v>94</v>
      </c>
      <c r="F91" s="155"/>
      <c r="G91" s="155"/>
      <c r="H91" s="155">
        <v>60</v>
      </c>
      <c r="I91" s="155" t="s">
        <v>1709</v>
      </c>
      <c r="J91" s="155">
        <v>163</v>
      </c>
      <c r="K91" s="155">
        <v>4.5</v>
      </c>
      <c r="M91" s="155"/>
      <c r="AG91" s="156">
        <v>2</v>
      </c>
      <c r="AH91" s="153">
        <v>2026</v>
      </c>
      <c r="AI91" s="154">
        <f t="shared" si="10"/>
        <v>1</v>
      </c>
      <c r="AJ91" s="154">
        <f t="shared" si="8"/>
        <v>1</v>
      </c>
      <c r="AK91">
        <f t="shared" si="9"/>
        <v>1</v>
      </c>
      <c r="AL91" s="154">
        <f t="shared" si="11"/>
        <v>457</v>
      </c>
    </row>
    <row r="92" spans="1:38" s="154" customFormat="1" x14ac:dyDescent="0.25">
      <c r="A92" s="156"/>
      <c r="B92" s="155" t="s">
        <v>1950</v>
      </c>
      <c r="C92" s="155" t="s">
        <v>1247</v>
      </c>
      <c r="D92" s="155">
        <v>203</v>
      </c>
      <c r="E92" s="155" t="s">
        <v>94</v>
      </c>
      <c r="F92" s="155"/>
      <c r="G92" s="155"/>
      <c r="H92" s="155">
        <v>45</v>
      </c>
      <c r="I92" s="155" t="s">
        <v>1709</v>
      </c>
      <c r="J92" s="155">
        <v>163</v>
      </c>
      <c r="K92" s="155">
        <v>4.5</v>
      </c>
      <c r="AG92" s="156">
        <v>3</v>
      </c>
      <c r="AH92" s="153">
        <v>2027</v>
      </c>
      <c r="AI92" s="154">
        <f t="shared" si="10"/>
        <v>1</v>
      </c>
      <c r="AJ92" s="154">
        <f t="shared" si="8"/>
        <v>1</v>
      </c>
      <c r="AK92">
        <f t="shared" si="9"/>
        <v>1</v>
      </c>
      <c r="AL92" s="154">
        <f t="shared" si="11"/>
        <v>913</v>
      </c>
    </row>
    <row r="93" spans="1:38" s="154" customFormat="1" x14ac:dyDescent="0.25">
      <c r="B93" s="155" t="s">
        <v>1950</v>
      </c>
      <c r="C93" s="155" t="s">
        <v>166</v>
      </c>
      <c r="D93" s="155">
        <v>49.5</v>
      </c>
      <c r="E93" s="155" t="s">
        <v>93</v>
      </c>
      <c r="F93" s="155">
        <v>10</v>
      </c>
      <c r="H93" s="155">
        <v>11</v>
      </c>
      <c r="I93" s="155" t="s">
        <v>1400</v>
      </c>
      <c r="J93" s="155">
        <v>150</v>
      </c>
      <c r="K93" s="155">
        <v>4.5</v>
      </c>
      <c r="AG93" s="156">
        <v>3</v>
      </c>
      <c r="AH93" s="154">
        <v>2025</v>
      </c>
      <c r="AI93" s="154">
        <f t="shared" si="10"/>
        <v>1</v>
      </c>
      <c r="AJ93" s="154">
        <f t="shared" si="8"/>
        <v>1</v>
      </c>
      <c r="AK93">
        <f t="shared" si="9"/>
        <v>1</v>
      </c>
      <c r="AL93" s="154">
        <f t="shared" si="11"/>
        <v>183</v>
      </c>
    </row>
    <row r="94" spans="1:38" s="154" customFormat="1" x14ac:dyDescent="0.25">
      <c r="A94" s="156"/>
      <c r="B94" s="155" t="s">
        <v>1950</v>
      </c>
      <c r="C94" s="155" t="s">
        <v>206</v>
      </c>
      <c r="D94" s="155">
        <v>58.5</v>
      </c>
      <c r="E94" s="155" t="s">
        <v>94</v>
      </c>
      <c r="F94" s="155">
        <v>25</v>
      </c>
      <c r="H94" s="155">
        <v>10</v>
      </c>
      <c r="I94" s="155" t="s">
        <v>108</v>
      </c>
      <c r="J94" s="155">
        <v>136</v>
      </c>
      <c r="K94" s="155">
        <v>3</v>
      </c>
      <c r="O94" s="154">
        <v>8</v>
      </c>
      <c r="P94" s="154" t="s">
        <v>109</v>
      </c>
      <c r="Q94" s="154">
        <v>126</v>
      </c>
      <c r="R94" s="154">
        <v>3.6</v>
      </c>
      <c r="AG94" s="156">
        <v>2</v>
      </c>
      <c r="AH94" s="154">
        <v>2026</v>
      </c>
      <c r="AI94" s="154">
        <f t="shared" si="10"/>
        <v>1</v>
      </c>
      <c r="AJ94" s="154">
        <f t="shared" si="8"/>
        <v>1</v>
      </c>
      <c r="AK94">
        <f t="shared" si="9"/>
        <v>1</v>
      </c>
      <c r="AL94" s="154">
        <f t="shared" si="11"/>
        <v>457</v>
      </c>
    </row>
    <row r="95" spans="1:38" s="11" customFormat="1" x14ac:dyDescent="0.25">
      <c r="A95" s="11">
        <f>SUM(D55:D95)</f>
        <v>6028</v>
      </c>
      <c r="B95" s="71" t="s">
        <v>1950</v>
      </c>
      <c r="C95" s="71" t="s">
        <v>146</v>
      </c>
      <c r="D95" s="71">
        <v>26</v>
      </c>
      <c r="E95" s="71" t="s">
        <v>93</v>
      </c>
      <c r="F95" s="71">
        <v>10</v>
      </c>
      <c r="G95" s="71" t="s">
        <v>1974</v>
      </c>
      <c r="H95" s="71">
        <v>3</v>
      </c>
      <c r="I95" s="71" t="s">
        <v>1664</v>
      </c>
      <c r="J95" s="71">
        <v>150</v>
      </c>
      <c r="K95" s="71">
        <v>6</v>
      </c>
      <c r="O95" s="11">
        <v>2</v>
      </c>
      <c r="P95" s="11" t="s">
        <v>1156</v>
      </c>
      <c r="Q95" s="11">
        <v>117</v>
      </c>
      <c r="R95" s="11">
        <v>4.2</v>
      </c>
      <c r="AG95" s="41">
        <v>4</v>
      </c>
      <c r="AH95" s="11">
        <v>2025</v>
      </c>
      <c r="AI95" s="11">
        <f t="shared" si="10"/>
        <v>1</v>
      </c>
      <c r="AJ95" s="11">
        <f t="shared" si="8"/>
        <v>1</v>
      </c>
      <c r="AK95">
        <f t="shared" si="9"/>
        <v>1</v>
      </c>
      <c r="AL95" s="11">
        <f t="shared" si="11"/>
        <v>275</v>
      </c>
    </row>
    <row r="96" spans="1:38" s="154" customFormat="1" x14ac:dyDescent="0.25">
      <c r="B96" s="155"/>
      <c r="C96" s="155"/>
      <c r="D96" s="155"/>
      <c r="E96" s="155"/>
      <c r="F96" s="155"/>
      <c r="H96" s="155"/>
      <c r="I96" s="155"/>
      <c r="J96" s="155"/>
      <c r="K96" s="155"/>
      <c r="O96" s="155"/>
      <c r="P96" s="155"/>
      <c r="Q96" s="155"/>
      <c r="R96" s="155"/>
      <c r="AG96" s="156"/>
    </row>
    <row r="97" spans="1:36" x14ac:dyDescent="0.25">
      <c r="A97" s="40"/>
      <c r="B97" s="44"/>
      <c r="C97" s="44"/>
      <c r="D97" s="44"/>
      <c r="E97" s="44"/>
      <c r="F97" s="44"/>
      <c r="H97" s="44"/>
      <c r="I97" s="44"/>
      <c r="J97" s="44"/>
      <c r="K97" s="44"/>
      <c r="AG97" s="40"/>
    </row>
    <row r="98" spans="1:36" x14ac:dyDescent="0.25">
      <c r="B98" s="44"/>
      <c r="C98" s="44"/>
      <c r="D98" s="44"/>
      <c r="E98" s="44"/>
      <c r="F98" s="44"/>
      <c r="H98" s="44"/>
      <c r="I98" s="44"/>
      <c r="J98" s="44"/>
      <c r="K98" s="44"/>
    </row>
    <row r="99" spans="1:36" x14ac:dyDescent="0.25">
      <c r="A99" s="40"/>
      <c r="B99" s="44"/>
      <c r="C99" s="44"/>
      <c r="D99" s="44"/>
      <c r="E99" s="44"/>
      <c r="F99" s="44"/>
      <c r="H99" s="44"/>
      <c r="I99" s="44"/>
      <c r="J99" s="44"/>
      <c r="K99" s="44"/>
    </row>
    <row r="100" spans="1:36" x14ac:dyDescent="0.25">
      <c r="A100" s="40"/>
      <c r="B100" s="44"/>
      <c r="C100" s="44"/>
      <c r="D100" s="44"/>
      <c r="E100" s="44"/>
      <c r="F100" s="44"/>
      <c r="H100" s="44"/>
      <c r="I100" s="44"/>
      <c r="J100" s="44"/>
      <c r="K100" s="44"/>
    </row>
    <row r="101" spans="1:36" x14ac:dyDescent="0.25">
      <c r="B101" s="44"/>
      <c r="C101" s="44"/>
      <c r="D101" s="44"/>
      <c r="E101" s="44"/>
      <c r="F101" s="44"/>
      <c r="H101" s="44"/>
      <c r="I101" s="44"/>
      <c r="J101" s="44"/>
      <c r="K101" s="44"/>
    </row>
    <row r="102" spans="1:36" x14ac:dyDescent="0.25">
      <c r="A102" s="40"/>
      <c r="B102" s="44"/>
      <c r="C102" s="44"/>
      <c r="D102" s="44"/>
      <c r="E102" s="44"/>
      <c r="F102" s="44"/>
      <c r="H102" s="44"/>
      <c r="I102" s="44"/>
      <c r="J102" s="44"/>
      <c r="K102" s="44"/>
    </row>
    <row r="103" spans="1:36" x14ac:dyDescent="0.25">
      <c r="B103" s="44"/>
      <c r="C103" s="44"/>
      <c r="D103" s="44"/>
      <c r="E103" s="44"/>
      <c r="F103" s="44"/>
      <c r="H103" s="44"/>
      <c r="I103" s="44"/>
      <c r="J103" s="44"/>
      <c r="K103" s="44"/>
    </row>
    <row r="104" spans="1:36" x14ac:dyDescent="0.25">
      <c r="B104" s="44"/>
      <c r="C104" s="44"/>
      <c r="D104" s="44"/>
      <c r="E104" s="44"/>
      <c r="F104" s="44"/>
      <c r="H104" s="44"/>
      <c r="I104" s="44"/>
      <c r="J104" s="44"/>
      <c r="K104" s="44"/>
      <c r="AJ104" s="40"/>
    </row>
    <row r="105" spans="1:36" x14ac:dyDescent="0.25">
      <c r="B105" s="44"/>
      <c r="C105" s="44"/>
      <c r="D105" s="44"/>
      <c r="E105" s="44"/>
      <c r="F105" s="44"/>
      <c r="H105" s="44"/>
      <c r="I105" s="44"/>
      <c r="J105" s="44"/>
      <c r="K105" s="44"/>
      <c r="AJ105" s="40"/>
    </row>
    <row r="106" spans="1:36" x14ac:dyDescent="0.25">
      <c r="B106" s="44"/>
      <c r="C106" s="44"/>
      <c r="D106" s="44"/>
      <c r="E106" s="44"/>
      <c r="F106" s="44"/>
      <c r="H106" s="44"/>
      <c r="I106" s="44"/>
      <c r="J106" s="44"/>
      <c r="K106" s="44"/>
      <c r="AJ106" s="40"/>
    </row>
    <row r="107" spans="1:36" x14ac:dyDescent="0.25">
      <c r="B107" s="44"/>
      <c r="C107" s="44"/>
      <c r="D107" s="44"/>
      <c r="E107" s="44"/>
      <c r="F107" s="44"/>
      <c r="H107" s="44"/>
      <c r="I107" s="44"/>
      <c r="J107" s="44"/>
      <c r="K107" s="44"/>
      <c r="AJ107" s="40"/>
    </row>
    <row r="108" spans="1:36" x14ac:dyDescent="0.25">
      <c r="B108" s="44"/>
      <c r="C108" s="44"/>
      <c r="D108" s="44"/>
      <c r="E108" s="44"/>
      <c r="F108" s="44"/>
      <c r="H108" s="44"/>
      <c r="I108" s="44"/>
      <c r="J108" s="44"/>
      <c r="K108" s="44"/>
      <c r="AJ108" s="40"/>
    </row>
    <row r="109" spans="1:36" x14ac:dyDescent="0.25">
      <c r="B109" s="44"/>
      <c r="C109" s="44"/>
      <c r="D109" s="44"/>
      <c r="E109" s="44"/>
      <c r="F109" s="44"/>
      <c r="H109" s="44"/>
      <c r="I109" s="44"/>
      <c r="J109" s="44"/>
      <c r="K109" s="44"/>
      <c r="AJ109" s="40"/>
    </row>
    <row r="110" spans="1:36" ht="15.75" thickBot="1" x14ac:dyDescent="0.3">
      <c r="B110" s="44"/>
      <c r="C110" s="44"/>
      <c r="D110" s="44"/>
      <c r="E110" s="44"/>
      <c r="F110" s="44"/>
      <c r="H110" s="44"/>
      <c r="I110" s="44"/>
      <c r="J110" s="44"/>
      <c r="K110" s="44"/>
      <c r="AI110" s="40"/>
      <c r="AJ110" s="40"/>
    </row>
    <row r="111" spans="1:36" x14ac:dyDescent="0.25">
      <c r="B111" s="72" t="s">
        <v>1573</v>
      </c>
      <c r="C111" s="73"/>
      <c r="D111" s="74"/>
      <c r="E111" s="74"/>
      <c r="F111" s="44"/>
      <c r="H111" s="44"/>
      <c r="I111" s="44"/>
      <c r="J111" s="44"/>
      <c r="K111" s="44"/>
      <c r="AI111" s="40"/>
      <c r="AJ111" s="40"/>
    </row>
    <row r="112" spans="1:36" x14ac:dyDescent="0.25">
      <c r="B112" s="75" t="s">
        <v>1574</v>
      </c>
      <c r="D112" s="80">
        <v>797</v>
      </c>
      <c r="E112" s="76"/>
      <c r="F112" s="44"/>
      <c r="H112" s="44"/>
      <c r="I112" s="44"/>
      <c r="J112" s="44"/>
      <c r="K112" s="44"/>
      <c r="AI112" s="40"/>
      <c r="AJ112" s="40"/>
    </row>
    <row r="113" spans="1:36" x14ac:dyDescent="0.25">
      <c r="B113" s="77" t="s">
        <v>1575</v>
      </c>
      <c r="D113" s="81">
        <v>694</v>
      </c>
      <c r="E113" s="76"/>
      <c r="F113" s="44"/>
      <c r="H113" s="44"/>
      <c r="I113" s="44"/>
      <c r="J113" s="44"/>
      <c r="K113" s="44"/>
      <c r="AI113" s="40"/>
      <c r="AJ113" s="40"/>
    </row>
    <row r="114" spans="1:36" x14ac:dyDescent="0.25">
      <c r="B114" s="77" t="s">
        <v>1576</v>
      </c>
      <c r="D114" s="81">
        <v>690</v>
      </c>
      <c r="E114" s="76"/>
      <c r="F114" s="44"/>
      <c r="H114" s="44"/>
      <c r="I114" s="44"/>
      <c r="J114" s="44"/>
      <c r="K114" s="44"/>
      <c r="AI114" s="40"/>
      <c r="AJ114" s="40"/>
    </row>
    <row r="115" spans="1:36" x14ac:dyDescent="0.25">
      <c r="B115" s="77" t="s">
        <v>1577</v>
      </c>
      <c r="D115" s="81">
        <v>490</v>
      </c>
      <c r="E115" s="76"/>
      <c r="F115" s="44"/>
      <c r="H115" s="44"/>
      <c r="I115" s="44"/>
      <c r="J115" s="44"/>
      <c r="K115" s="44"/>
      <c r="AI115" s="40"/>
      <c r="AJ115" s="40"/>
    </row>
    <row r="116" spans="1:36" ht="15.75" thickBot="1" x14ac:dyDescent="0.3">
      <c r="A116" s="40"/>
      <c r="B116" s="82" t="s">
        <v>1163</v>
      </c>
      <c r="C116" s="60"/>
      <c r="D116" s="83">
        <f>SUM(D2:D115)</f>
        <v>16846</v>
      </c>
      <c r="E116" s="76"/>
      <c r="F116" s="44"/>
      <c r="H116" s="44"/>
      <c r="I116" s="44"/>
      <c r="J116" s="44"/>
      <c r="K116" s="44"/>
      <c r="AI116" s="40"/>
      <c r="AJ116" s="40"/>
    </row>
    <row r="117" spans="1:36" ht="15.75" thickBot="1" x14ac:dyDescent="0.3">
      <c r="B117" s="84" t="s">
        <v>1625</v>
      </c>
      <c r="C117" s="85"/>
      <c r="D117" s="86">
        <f>SUM(D112:D115)</f>
        <v>2671</v>
      </c>
      <c r="E117" s="87">
        <f>D117/D116</f>
        <v>0.15855395939688946</v>
      </c>
      <c r="H117" s="1"/>
      <c r="AI117" s="40"/>
      <c r="AJ117" s="40"/>
    </row>
    <row r="118" spans="1:36" x14ac:dyDescent="0.25">
      <c r="H118" s="1"/>
      <c r="AI118" s="40"/>
      <c r="AJ118" s="40"/>
    </row>
    <row r="119" spans="1:36" hidden="1" x14ac:dyDescent="0.25">
      <c r="H119" s="1"/>
      <c r="AI119" s="40"/>
      <c r="AJ119" s="40"/>
    </row>
    <row r="120" spans="1:36" hidden="1" x14ac:dyDescent="0.25">
      <c r="A120" s="40"/>
      <c r="H120" s="1"/>
      <c r="AI120" s="40"/>
      <c r="AJ120" s="40"/>
    </row>
    <row r="121" spans="1:36" hidden="1" x14ac:dyDescent="0.25">
      <c r="A121" s="40"/>
      <c r="H121" s="1"/>
      <c r="AI121" s="40"/>
      <c r="AJ121" s="40"/>
    </row>
    <row r="122" spans="1:36" hidden="1" x14ac:dyDescent="0.25">
      <c r="A122" s="40"/>
      <c r="H122" s="1"/>
      <c r="AI122" s="40"/>
      <c r="AJ122" s="40"/>
    </row>
    <row r="123" spans="1:36" hidden="1" x14ac:dyDescent="0.25">
      <c r="A123" s="40"/>
      <c r="H123" s="1"/>
      <c r="AI123" s="40"/>
      <c r="AJ123" s="40"/>
    </row>
    <row r="124" spans="1:36" hidden="1" x14ac:dyDescent="0.25">
      <c r="A124" s="40"/>
      <c r="H124" s="1"/>
      <c r="AI124" s="40"/>
      <c r="AJ124" s="40"/>
    </row>
    <row r="125" spans="1:36" hidden="1" x14ac:dyDescent="0.25">
      <c r="A125" s="40"/>
      <c r="H125" s="1"/>
      <c r="AI125" s="40"/>
      <c r="AJ125" s="40"/>
    </row>
    <row r="126" spans="1:36" hidden="1" x14ac:dyDescent="0.25">
      <c r="A126" s="40"/>
      <c r="H126" s="1"/>
      <c r="AI126" s="40"/>
      <c r="AJ126" s="40"/>
    </row>
    <row r="127" spans="1:36" hidden="1" x14ac:dyDescent="0.25">
      <c r="A127" s="40"/>
      <c r="H127" s="1"/>
      <c r="AI127" s="40"/>
      <c r="AJ127" s="40"/>
    </row>
    <row r="128" spans="1:36" hidden="1" x14ac:dyDescent="0.25">
      <c r="A128" s="40"/>
      <c r="H128" s="1"/>
      <c r="AI128" s="40"/>
      <c r="AJ128" s="40"/>
    </row>
    <row r="129" spans="1:36" hidden="1" x14ac:dyDescent="0.25">
      <c r="A129" s="40"/>
      <c r="H129" s="1"/>
      <c r="AI129" s="40"/>
      <c r="AJ129" s="40"/>
    </row>
    <row r="130" spans="1:36" hidden="1" x14ac:dyDescent="0.25">
      <c r="A130" s="40"/>
      <c r="H130" s="1"/>
      <c r="AI130" s="40"/>
      <c r="AJ130" s="40"/>
    </row>
    <row r="131" spans="1:36" hidden="1" x14ac:dyDescent="0.25">
      <c r="A131" s="40"/>
      <c r="H131" s="1"/>
      <c r="AI131" s="40"/>
      <c r="AJ131" s="40"/>
    </row>
    <row r="132" spans="1:36" hidden="1" x14ac:dyDescent="0.25">
      <c r="A132" s="40"/>
      <c r="H132" s="1"/>
      <c r="AI132" s="40"/>
      <c r="AJ132" s="40"/>
    </row>
    <row r="133" spans="1:36" hidden="1" x14ac:dyDescent="0.25">
      <c r="A133" s="40"/>
      <c r="H133" s="1"/>
      <c r="AI133" s="40"/>
      <c r="AJ133" s="40"/>
    </row>
    <row r="134" spans="1:36" hidden="1" x14ac:dyDescent="0.25">
      <c r="A134" s="40"/>
      <c r="H134" s="1"/>
      <c r="AI134" s="40"/>
      <c r="AJ134" s="40"/>
    </row>
    <row r="135" spans="1:36" hidden="1" x14ac:dyDescent="0.25">
      <c r="A135" s="40"/>
      <c r="H135" s="1"/>
      <c r="AI135" s="40"/>
      <c r="AJ135" s="40"/>
    </row>
    <row r="136" spans="1:36" hidden="1" x14ac:dyDescent="0.25">
      <c r="A136" s="40"/>
      <c r="H136" s="1"/>
      <c r="AI136" s="40"/>
      <c r="AJ136" s="40"/>
    </row>
    <row r="137" spans="1:36" hidden="1" x14ac:dyDescent="0.25">
      <c r="A137" s="40"/>
      <c r="H137" s="1"/>
      <c r="AI137" s="40"/>
      <c r="AJ137" s="40"/>
    </row>
    <row r="138" spans="1:36" hidden="1" x14ac:dyDescent="0.25">
      <c r="A138" s="40"/>
      <c r="H138" s="1"/>
      <c r="AI138" s="40"/>
      <c r="AJ138" s="40"/>
    </row>
    <row r="139" spans="1:36" hidden="1" x14ac:dyDescent="0.25">
      <c r="A139" s="40"/>
      <c r="H139" s="1"/>
      <c r="AI139" s="40"/>
      <c r="AJ139" s="40"/>
    </row>
    <row r="140" spans="1:36" hidden="1" x14ac:dyDescent="0.25">
      <c r="A140" s="40"/>
      <c r="H140" s="1"/>
      <c r="AI140" s="40"/>
      <c r="AJ140" s="40"/>
    </row>
    <row r="141" spans="1:36" hidden="1" x14ac:dyDescent="0.25">
      <c r="A141" s="40"/>
      <c r="H141" s="1"/>
      <c r="AI141" s="40"/>
      <c r="AJ141" s="40"/>
    </row>
    <row r="142" spans="1:36" hidden="1" x14ac:dyDescent="0.25">
      <c r="A142" s="40"/>
      <c r="H142" s="1"/>
      <c r="AI142" s="40"/>
      <c r="AJ142" s="40"/>
    </row>
    <row r="143" spans="1:36" hidden="1" x14ac:dyDescent="0.25">
      <c r="A143" s="40"/>
      <c r="H143" s="1"/>
      <c r="AI143" s="40"/>
      <c r="AJ143" s="40"/>
    </row>
    <row r="144" spans="1:36" hidden="1" x14ac:dyDescent="0.25">
      <c r="A144" s="40"/>
      <c r="H144" s="1"/>
      <c r="AI144" s="40"/>
      <c r="AJ144" s="40"/>
    </row>
    <row r="145" spans="1:36" hidden="1" x14ac:dyDescent="0.25">
      <c r="A145" s="40"/>
      <c r="H145" s="1"/>
      <c r="AI145" s="40"/>
      <c r="AJ145" s="40"/>
    </row>
    <row r="146" spans="1:36" hidden="1" x14ac:dyDescent="0.25">
      <c r="A146" s="40"/>
      <c r="D146" s="17">
        <f>SUM(D112:D115)</f>
        <v>2671</v>
      </c>
      <c r="E146">
        <f>D146/D116</f>
        <v>0.15855395939688946</v>
      </c>
      <c r="H146" s="1"/>
      <c r="AI146" s="40"/>
      <c r="AJ146" s="40"/>
    </row>
    <row r="147" spans="1:36" hidden="1" x14ac:dyDescent="0.25">
      <c r="A147" s="40"/>
      <c r="H147" s="1"/>
      <c r="AI147" s="40"/>
      <c r="AJ147" s="40"/>
    </row>
    <row r="148" spans="1:36" hidden="1" x14ac:dyDescent="0.25">
      <c r="A148" s="40"/>
      <c r="H148" s="1"/>
      <c r="AI148" s="40"/>
      <c r="AJ148" s="40"/>
    </row>
    <row r="149" spans="1:36" hidden="1" x14ac:dyDescent="0.25">
      <c r="A149" s="40"/>
      <c r="H149" s="1"/>
      <c r="AI149" s="40"/>
      <c r="AJ149" s="40"/>
    </row>
    <row r="150" spans="1:36" hidden="1" x14ac:dyDescent="0.25">
      <c r="A150" s="40"/>
      <c r="H150" s="1"/>
      <c r="AI150" s="40"/>
      <c r="AJ150" s="40"/>
    </row>
    <row r="151" spans="1:36" hidden="1" x14ac:dyDescent="0.25">
      <c r="A151" s="40"/>
      <c r="H151" s="1"/>
      <c r="AI151" s="40"/>
      <c r="AJ151" s="40"/>
    </row>
    <row r="152" spans="1:36" hidden="1" x14ac:dyDescent="0.25">
      <c r="A152" s="40"/>
      <c r="H152" s="1"/>
      <c r="AI152" s="40"/>
      <c r="AJ152" s="40"/>
    </row>
    <row r="153" spans="1:36" x14ac:dyDescent="0.25">
      <c r="A153" s="40"/>
      <c r="H153" s="1"/>
      <c r="AI153" s="40"/>
      <c r="AJ153" s="40"/>
    </row>
    <row r="154" spans="1:36" x14ac:dyDescent="0.25">
      <c r="H154" s="1"/>
      <c r="AI154" s="40"/>
      <c r="AJ154" s="40"/>
    </row>
    <row r="155" spans="1:36" x14ac:dyDescent="0.25">
      <c r="A155" s="40"/>
      <c r="H155" s="1"/>
      <c r="AI155" s="40"/>
      <c r="AJ155" s="40"/>
    </row>
    <row r="156" spans="1:36" hidden="1" x14ac:dyDescent="0.25">
      <c r="A156" s="40"/>
      <c r="H156" s="1"/>
      <c r="AI156" s="40"/>
      <c r="AJ156" s="40"/>
    </row>
    <row r="157" spans="1:36" hidden="1" x14ac:dyDescent="0.25">
      <c r="A157" s="40"/>
      <c r="H157" s="1"/>
      <c r="AI157" s="40"/>
      <c r="AJ157" s="40"/>
    </row>
    <row r="158" spans="1:36" hidden="1" x14ac:dyDescent="0.25">
      <c r="B158" s="2"/>
      <c r="H158" s="1"/>
      <c r="AI158" s="40"/>
      <c r="AJ158" s="40"/>
    </row>
    <row r="159" spans="1:36" hidden="1" x14ac:dyDescent="0.25">
      <c r="B159" s="2"/>
      <c r="H159" s="1"/>
      <c r="AI159" s="40"/>
      <c r="AJ159" s="40"/>
    </row>
    <row r="160" spans="1:36" hidden="1" x14ac:dyDescent="0.25">
      <c r="B160" s="2"/>
      <c r="H160" s="1"/>
      <c r="AI160" s="40"/>
      <c r="AJ160" s="40"/>
    </row>
    <row r="161" spans="1:36" hidden="1" x14ac:dyDescent="0.25">
      <c r="B161" s="2"/>
      <c r="H161" s="1"/>
      <c r="AI161" s="40"/>
      <c r="AJ161" s="40"/>
    </row>
    <row r="162" spans="1:36" hidden="1" x14ac:dyDescent="0.25">
      <c r="B162" s="2"/>
      <c r="H162" s="1"/>
      <c r="AI162" s="40"/>
      <c r="AJ162" s="40"/>
    </row>
    <row r="163" spans="1:36" hidden="1" x14ac:dyDescent="0.25">
      <c r="B163" s="2"/>
      <c r="H163" s="1"/>
      <c r="AI163" s="40"/>
      <c r="AJ163" s="40"/>
    </row>
    <row r="164" spans="1:36" hidden="1" x14ac:dyDescent="0.25">
      <c r="B164" s="2"/>
      <c r="H164" s="1"/>
      <c r="AI164" s="40"/>
      <c r="AJ164" s="40"/>
    </row>
    <row r="165" spans="1:36" hidden="1" x14ac:dyDescent="0.25">
      <c r="B165" s="2"/>
      <c r="H165" s="1"/>
    </row>
    <row r="167" spans="1:36" x14ac:dyDescent="0.25">
      <c r="C167" s="5" t="s">
        <v>150</v>
      </c>
      <c r="D167" s="6" t="s">
        <v>91</v>
      </c>
      <c r="E167" s="6" t="s">
        <v>130</v>
      </c>
      <c r="F167" s="6"/>
      <c r="G167" s="7" t="s">
        <v>395</v>
      </c>
      <c r="I167" s="13" t="s">
        <v>124</v>
      </c>
      <c r="J167" s="14"/>
      <c r="K167" s="14"/>
      <c r="L167" s="14" t="s">
        <v>135</v>
      </c>
      <c r="M167" s="14" t="s">
        <v>378</v>
      </c>
      <c r="N167" s="15" t="s">
        <v>130</v>
      </c>
      <c r="P167" s="13"/>
      <c r="Q167" s="14"/>
      <c r="R167" s="14"/>
      <c r="S167" s="14"/>
      <c r="T167" s="15"/>
    </row>
    <row r="168" spans="1:36" x14ac:dyDescent="0.25">
      <c r="C168" s="8" t="s">
        <v>129</v>
      </c>
      <c r="D168" s="1">
        <f>SUM(M168:M170,T168:T170)</f>
        <v>1219</v>
      </c>
      <c r="E168">
        <f>SUM(D2:D115)</f>
        <v>16846</v>
      </c>
      <c r="G168" s="23">
        <f>E168/D168</f>
        <v>13.81952420016407</v>
      </c>
      <c r="I168" s="8" t="s">
        <v>133</v>
      </c>
      <c r="L168" s="17">
        <f>COUNTIF(K2:K165,"&lt;3")+COUNTIF(X2:X165,"&lt;3")+COUNTIF(R2:R165,"&lt;3")</f>
        <v>6</v>
      </c>
      <c r="M168" s="17">
        <f>SUMIF(K2:K165,"&lt;3",H2:H165)+SUMIF(R2:R165,"&lt;3",O2:O165)+SUMIF(X2:X165,"&lt;3",U2:U165)</f>
        <v>213</v>
      </c>
      <c r="N168" s="138">
        <f>SUMIF(K2:K165,"&lt;3",D2:D165)</f>
        <v>469</v>
      </c>
      <c r="P168" s="8"/>
      <c r="T168" s="9"/>
    </row>
    <row r="169" spans="1:36" x14ac:dyDescent="0.25">
      <c r="C169" s="8" t="s">
        <v>125</v>
      </c>
      <c r="D169">
        <f>COUNT(D2:D165)</f>
        <v>101</v>
      </c>
      <c r="G169" s="9"/>
      <c r="I169" s="8" t="s">
        <v>132</v>
      </c>
      <c r="L169" s="17">
        <f>COUNTIF(K2:K165,"&lt;4")+COUNTIF(X2:X165,"&lt;4")+COUNTIF(R2:R165,"&lt;4")-L168</f>
        <v>4</v>
      </c>
      <c r="M169" s="17">
        <f>SUMIF(K2:K165,"&lt;4",H2:H165)+SUMIF(R2:R165,"&lt;4",O2:O165)+SUMIF(X2:X165,"&lt;4",U2:U165)-M168</f>
        <v>53</v>
      </c>
      <c r="N169" s="138">
        <f>SUMIF(K2:K165,"&lt;4",D2:D165)-N168</f>
        <v>197.5</v>
      </c>
      <c r="P169" s="8"/>
      <c r="T169" s="9"/>
    </row>
    <row r="170" spans="1:36" x14ac:dyDescent="0.25">
      <c r="C170" s="8" t="s">
        <v>386</v>
      </c>
      <c r="D170">
        <f>COUNTIF(E2:E165,"AOM5000")</f>
        <v>73</v>
      </c>
      <c r="E170">
        <f>SUMIF(E2:E109,"AOM5000",D2:D109)</f>
        <v>8737.5</v>
      </c>
      <c r="F170" t="s">
        <v>396</v>
      </c>
      <c r="G170" s="21">
        <f>AVERAGEIF(E2:E165,"AOM5000",F2:F165)</f>
        <v>20.509090909090908</v>
      </c>
      <c r="I170" s="8" t="s">
        <v>134</v>
      </c>
      <c r="L170" s="17">
        <f>COUNTIF(K2:K165,"&lt;5")+COUNTIF(X2:X165,"&lt;5")+COUNTIF(R2:R165,"&lt;5")-L169-L168</f>
        <v>48</v>
      </c>
      <c r="M170" s="17">
        <f>SUMIF(K2:K165,"&lt;5",H2:H165)+SUMIF(R2:R165,"&lt;5",O2:O165)+SUMIF(X2:X165,"&lt;5",U2:U165)-M169-M168</f>
        <v>953</v>
      </c>
      <c r="N170" s="138">
        <f>SUMIF(K2:K165,"&lt;5",D2:D165)-N169-N168</f>
        <v>4354.5</v>
      </c>
      <c r="P170" s="8"/>
      <c r="T170" s="9"/>
    </row>
    <row r="171" spans="1:36" x14ac:dyDescent="0.25">
      <c r="C171" s="8" t="s">
        <v>387</v>
      </c>
      <c r="D171">
        <f>COUNTIF(E2:E165,"AOM4000")</f>
        <v>9</v>
      </c>
      <c r="E171">
        <f>SUMIF(E2:E108,"AOM4000",D2:D108)</f>
        <v>456.5</v>
      </c>
      <c r="F171" t="s">
        <v>397</v>
      </c>
      <c r="G171" s="21">
        <f>AVERAGEIF(E2:E165,"AOM4000",F2:F165)</f>
        <v>16</v>
      </c>
      <c r="I171" s="8" t="s">
        <v>1717</v>
      </c>
      <c r="L171" s="17">
        <f>COUNTIF(K2:K165,"&lt;7")+COUNTIF(X2:X165,"&lt;7")+COUNTIF(R2:R165,"&lt;7")-L170-L169-L168</f>
        <v>36</v>
      </c>
      <c r="M171" s="17">
        <f>SUMIF(K3:K166,"&lt;7",H3:H166)+SUMIF(R3:R166,"&lt;7",O3:O166)+SUMIF(X3:X166,"&lt;7",U3:U166)-M170-M169-M168</f>
        <v>564</v>
      </c>
      <c r="N171" s="138">
        <f>SUMIF(K3:K166,"&lt;7",D3:D166)-N170-N169-N168</f>
        <v>3632</v>
      </c>
      <c r="P171" s="8"/>
      <c r="T171" s="9"/>
    </row>
    <row r="172" spans="1:36" x14ac:dyDescent="0.25">
      <c r="C172" s="8" t="s">
        <v>390</v>
      </c>
      <c r="D172" s="18">
        <f>D170/(D171+D170)*100</f>
        <v>89.024390243902445</v>
      </c>
      <c r="E172" s="18">
        <f>E170/(E171+E170)*100</f>
        <v>95.034805307809449</v>
      </c>
      <c r="G172" s="9"/>
      <c r="I172" s="8" t="s">
        <v>1698</v>
      </c>
      <c r="L172" s="17">
        <f>COUNTIF(K2:K165,"&lt;17")+COUNTIF(X2:X165,"&lt;17")+COUNTIF(R2:R165,"&lt;17")-L170-L169-L168-L171</f>
        <v>12</v>
      </c>
      <c r="M172" s="17">
        <f>SUMIF(K3:K166,"&lt;17",H3:H166)+SUMIF(R3:R166,"&lt;17",O3:O166)+SUMIF(X3:X166,"&lt;17",U3:U166)-M170-M169-M168-M171</f>
        <v>306</v>
      </c>
      <c r="N172" s="138">
        <f>SUMIF(K3:K166,"&lt;17",D3:D166)-N170-N169-N168-N171</f>
        <v>4905</v>
      </c>
      <c r="P172" s="8"/>
      <c r="T172" s="9"/>
    </row>
    <row r="173" spans="1:36" x14ac:dyDescent="0.25">
      <c r="C173" s="16" t="s">
        <v>128</v>
      </c>
      <c r="D173" s="22">
        <f>D170/D169*100</f>
        <v>72.277227722772281</v>
      </c>
      <c r="E173" s="22">
        <f>E170/E168*100</f>
        <v>51.866912026593845</v>
      </c>
      <c r="F173" s="11"/>
      <c r="G173" s="12"/>
      <c r="I173" s="8" t="s">
        <v>136</v>
      </c>
      <c r="L173">
        <f>COUNTA(L2:L165)</f>
        <v>8</v>
      </c>
      <c r="N173" s="9"/>
      <c r="P173" s="8"/>
      <c r="T173" s="9"/>
    </row>
    <row r="174" spans="1:36" x14ac:dyDescent="0.25">
      <c r="F174" t="s">
        <v>388</v>
      </c>
      <c r="I174" s="10"/>
      <c r="J174" s="11"/>
      <c r="K174" s="11"/>
      <c r="L174" s="11"/>
      <c r="M174" s="11"/>
      <c r="N174" s="12"/>
      <c r="P174" s="10"/>
      <c r="Q174" s="11"/>
      <c r="R174" s="11"/>
      <c r="S174" s="11"/>
      <c r="T174" s="12"/>
    </row>
    <row r="175" spans="1:36" ht="15.75" thickBot="1" x14ac:dyDescent="0.3">
      <c r="B175" t="s">
        <v>544</v>
      </c>
      <c r="C175" s="5" t="s">
        <v>149</v>
      </c>
      <c r="D175" s="6" t="s">
        <v>135</v>
      </c>
      <c r="E175" s="7" t="s">
        <v>130</v>
      </c>
      <c r="F175" s="5" t="s">
        <v>93</v>
      </c>
      <c r="G175" s="7" t="s">
        <v>94</v>
      </c>
    </row>
    <row r="176" spans="1:36" x14ac:dyDescent="0.25">
      <c r="A176">
        <f t="shared" ref="A176:A202" si="12">COUNTIF($C$176:$C$205,C176)</f>
        <v>1</v>
      </c>
      <c r="B176" s="18">
        <f t="shared" ref="B176:B198" si="13">E176/$E$168*100</f>
        <v>22.717559064466343</v>
      </c>
      <c r="C176" s="8" t="s">
        <v>1247</v>
      </c>
      <c r="D176">
        <f t="shared" ref="D176:D200" si="14">COUNTIF(C$2:C$165,C176)</f>
        <v>16</v>
      </c>
      <c r="E176" s="9">
        <f>SUMIF(C$2:C$107,C176,D$2:D$107)</f>
        <v>3827</v>
      </c>
      <c r="F176" s="8">
        <f t="shared" ref="F176:F198" si="15">SUMIFS($D$2:$D$165,$C$2:$C$165,C176,$E$2:$E$165,$F$175)</f>
        <v>0</v>
      </c>
      <c r="G176" s="9">
        <f t="shared" ref="G176:G198" si="16">SUMIFS($D$2:$D$165,$C$2:$C$165,C176,$E$2:$E$165,$G$175)</f>
        <v>2881</v>
      </c>
      <c r="I176" s="116" t="s">
        <v>376</v>
      </c>
      <c r="J176" s="117" t="s">
        <v>377</v>
      </c>
      <c r="K176" t="s">
        <v>1795</v>
      </c>
      <c r="M176" s="116" t="s">
        <v>376</v>
      </c>
      <c r="N176" s="117" t="s">
        <v>377</v>
      </c>
    </row>
    <row r="177" spans="1:14" x14ac:dyDescent="0.25">
      <c r="A177">
        <f t="shared" si="12"/>
        <v>1</v>
      </c>
      <c r="B177" s="18">
        <f t="shared" si="13"/>
        <v>1.8936245993114091</v>
      </c>
      <c r="C177" t="s">
        <v>34</v>
      </c>
      <c r="D177">
        <f t="shared" si="14"/>
        <v>1</v>
      </c>
      <c r="E177" s="9">
        <f t="shared" ref="E177:E198" si="17">SUMIF(C$2:C$165,C177,D$2:D$165)</f>
        <v>319</v>
      </c>
      <c r="F177" s="8">
        <f t="shared" si="15"/>
        <v>0</v>
      </c>
      <c r="G177" s="9">
        <f t="shared" si="16"/>
        <v>319</v>
      </c>
      <c r="I177" s="77"/>
      <c r="J177" s="120"/>
      <c r="M177" s="77" t="s">
        <v>949</v>
      </c>
      <c r="N177" s="76">
        <f t="shared" ref="N177:N189" si="18">SUMIF($I$2:$I$98,M177&amp;"*",$H$2:$H$98)+SUMIF($P$2:$P$98,M177&amp;"*",$O$2:$O$98)+SUMIF($V$2:$V$91,M177&amp;"*",$U$2:$U$91)+SUMIF($AB$2:$AB$91,M177&amp;"*",$AA$2:$AA$91)</f>
        <v>0</v>
      </c>
    </row>
    <row r="178" spans="1:14" x14ac:dyDescent="0.25">
      <c r="A178">
        <f t="shared" si="12"/>
        <v>1</v>
      </c>
      <c r="B178" s="18">
        <f t="shared" si="13"/>
        <v>15.065891012703311</v>
      </c>
      <c r="C178" s="8" t="s">
        <v>138</v>
      </c>
      <c r="D178">
        <f t="shared" si="14"/>
        <v>15</v>
      </c>
      <c r="E178" s="9">
        <f t="shared" si="17"/>
        <v>2538</v>
      </c>
      <c r="F178" s="8">
        <f t="shared" si="15"/>
        <v>0</v>
      </c>
      <c r="G178" s="9">
        <f t="shared" si="16"/>
        <v>978</v>
      </c>
      <c r="I178" s="77"/>
      <c r="J178" s="120"/>
      <c r="M178" s="77" t="s">
        <v>951</v>
      </c>
      <c r="N178" s="76">
        <f t="shared" si="18"/>
        <v>89</v>
      </c>
    </row>
    <row r="179" spans="1:14" x14ac:dyDescent="0.25">
      <c r="A179">
        <f t="shared" si="12"/>
        <v>1</v>
      </c>
      <c r="B179" s="18">
        <f t="shared" si="13"/>
        <v>2.0242193992639201</v>
      </c>
      <c r="C179" s="8" t="s">
        <v>526</v>
      </c>
      <c r="D179">
        <f t="shared" si="14"/>
        <v>3</v>
      </c>
      <c r="E179" s="9">
        <f t="shared" si="17"/>
        <v>341</v>
      </c>
      <c r="F179" s="8">
        <f t="shared" si="15"/>
        <v>0</v>
      </c>
      <c r="G179" s="9">
        <f t="shared" si="16"/>
        <v>341</v>
      </c>
      <c r="I179" s="77" t="s">
        <v>110</v>
      </c>
      <c r="J179" s="120">
        <f t="shared" ref="J179:J201" si="19">SUMIF(I$2:I$165,I179,H$2:H$165)+SUMIF(P$2:P$165,I179,O$2:O$165)+SUMIF(V$2:V$165,I179,U$2:U$165)+SUMIF(AB$2:AB$165,I179,AA$2:AA$165)</f>
        <v>17</v>
      </c>
      <c r="K179">
        <f t="shared" ref="K179:K201" si="20">AVERAGEIF($I$2:$I$98,I179,$AL$2:$AL$98)</f>
        <v>461</v>
      </c>
      <c r="M179" s="77" t="s">
        <v>954</v>
      </c>
      <c r="N179" s="76">
        <f t="shared" si="18"/>
        <v>105</v>
      </c>
    </row>
    <row r="180" spans="1:14" x14ac:dyDescent="0.25">
      <c r="A180">
        <f t="shared" si="12"/>
        <v>1</v>
      </c>
      <c r="B180" s="18">
        <f t="shared" si="13"/>
        <v>1.8520717084174285</v>
      </c>
      <c r="C180" s="8" t="s">
        <v>140</v>
      </c>
      <c r="D180">
        <f t="shared" si="14"/>
        <v>2</v>
      </c>
      <c r="E180" s="9">
        <f t="shared" si="17"/>
        <v>312</v>
      </c>
      <c r="F180" s="8">
        <f t="shared" si="15"/>
        <v>0</v>
      </c>
      <c r="G180" s="9">
        <f t="shared" si="16"/>
        <v>312</v>
      </c>
      <c r="I180" t="s">
        <v>119</v>
      </c>
      <c r="J180" s="120">
        <f t="shared" si="19"/>
        <v>72</v>
      </c>
      <c r="K180">
        <f t="shared" si="20"/>
        <v>354.66666666666669</v>
      </c>
      <c r="M180" s="77" t="s">
        <v>955</v>
      </c>
      <c r="N180" s="76">
        <f t="shared" si="18"/>
        <v>124</v>
      </c>
    </row>
    <row r="181" spans="1:14" x14ac:dyDescent="0.25">
      <c r="A181">
        <f t="shared" si="12"/>
        <v>1</v>
      </c>
      <c r="B181" s="18">
        <f t="shared" si="13"/>
        <v>1.3771815267719338</v>
      </c>
      <c r="C181" t="s">
        <v>1186</v>
      </c>
      <c r="D181">
        <f t="shared" si="14"/>
        <v>2</v>
      </c>
      <c r="E181" s="9">
        <f t="shared" si="17"/>
        <v>232</v>
      </c>
      <c r="F181" s="8">
        <f t="shared" si="15"/>
        <v>0</v>
      </c>
      <c r="G181" s="9">
        <f t="shared" si="16"/>
        <v>232</v>
      </c>
      <c r="I181" s="77"/>
      <c r="J181" s="120"/>
      <c r="M181" s="77" t="s">
        <v>956</v>
      </c>
      <c r="N181" s="76">
        <f t="shared" si="18"/>
        <v>13</v>
      </c>
    </row>
    <row r="182" spans="1:14" x14ac:dyDescent="0.25">
      <c r="A182">
        <f t="shared" si="12"/>
        <v>1</v>
      </c>
      <c r="B182" s="18">
        <f t="shared" si="13"/>
        <v>1.6383711266769561</v>
      </c>
      <c r="C182" s="8" t="s">
        <v>146</v>
      </c>
      <c r="D182">
        <f t="shared" si="14"/>
        <v>6</v>
      </c>
      <c r="E182" s="9">
        <f t="shared" si="17"/>
        <v>276</v>
      </c>
      <c r="F182" s="8">
        <f t="shared" si="15"/>
        <v>26</v>
      </c>
      <c r="G182" s="9">
        <f t="shared" si="16"/>
        <v>169</v>
      </c>
      <c r="I182" s="77"/>
      <c r="J182" s="120"/>
      <c r="M182" s="77" t="s">
        <v>957</v>
      </c>
      <c r="N182" s="76">
        <f t="shared" si="18"/>
        <v>193</v>
      </c>
    </row>
    <row r="183" spans="1:14" x14ac:dyDescent="0.25">
      <c r="A183">
        <f t="shared" si="12"/>
        <v>1</v>
      </c>
      <c r="B183" s="18">
        <f t="shared" si="13"/>
        <v>0.56393209070402472</v>
      </c>
      <c r="C183" t="s">
        <v>27</v>
      </c>
      <c r="D183">
        <f t="shared" si="14"/>
        <v>1</v>
      </c>
      <c r="E183" s="9">
        <f t="shared" si="17"/>
        <v>95</v>
      </c>
      <c r="F183" s="8">
        <f t="shared" si="15"/>
        <v>0</v>
      </c>
      <c r="G183" s="9">
        <f t="shared" si="16"/>
        <v>95</v>
      </c>
      <c r="I183" s="77" t="s">
        <v>1156</v>
      </c>
      <c r="J183" s="120">
        <f t="shared" si="19"/>
        <v>105</v>
      </c>
      <c r="K183">
        <f t="shared" si="20"/>
        <v>507</v>
      </c>
      <c r="M183" s="77" t="s">
        <v>958</v>
      </c>
      <c r="N183" s="76">
        <f t="shared" si="18"/>
        <v>315</v>
      </c>
    </row>
    <row r="184" spans="1:14" x14ac:dyDescent="0.25">
      <c r="A184">
        <f t="shared" si="12"/>
        <v>1</v>
      </c>
      <c r="B184" s="18">
        <f t="shared" si="13"/>
        <v>6.3813368158613324</v>
      </c>
      <c r="C184" s="8" t="s">
        <v>144</v>
      </c>
      <c r="D184">
        <f t="shared" si="14"/>
        <v>4</v>
      </c>
      <c r="E184" s="9">
        <f t="shared" si="17"/>
        <v>1075</v>
      </c>
      <c r="F184" s="8">
        <f t="shared" si="15"/>
        <v>0</v>
      </c>
      <c r="G184" s="9">
        <f t="shared" si="16"/>
        <v>1075</v>
      </c>
      <c r="I184" s="77" t="s">
        <v>574</v>
      </c>
      <c r="J184" s="120">
        <f t="shared" si="19"/>
        <v>124</v>
      </c>
      <c r="K184">
        <f t="shared" si="20"/>
        <v>347</v>
      </c>
      <c r="M184" s="77" t="s">
        <v>1626</v>
      </c>
      <c r="N184" s="76">
        <f t="shared" si="18"/>
        <v>0</v>
      </c>
    </row>
    <row r="185" spans="1:14" x14ac:dyDescent="0.25">
      <c r="A185">
        <f t="shared" si="12"/>
        <v>1</v>
      </c>
      <c r="B185" s="18">
        <f t="shared" si="13"/>
        <v>1.1308322450433337</v>
      </c>
      <c r="C185" s="8" t="s">
        <v>206</v>
      </c>
      <c r="D185">
        <f t="shared" si="14"/>
        <v>4</v>
      </c>
      <c r="E185" s="9">
        <f t="shared" si="17"/>
        <v>190.5</v>
      </c>
      <c r="F185" s="8">
        <f t="shared" si="15"/>
        <v>0</v>
      </c>
      <c r="G185" s="9">
        <f t="shared" si="16"/>
        <v>135.5</v>
      </c>
      <c r="I185" s="77" t="s">
        <v>109</v>
      </c>
      <c r="J185" s="120">
        <f t="shared" si="19"/>
        <v>13</v>
      </c>
      <c r="K185">
        <f t="shared" si="20"/>
        <v>92</v>
      </c>
      <c r="M185" s="77" t="s">
        <v>1627</v>
      </c>
      <c r="N185" s="76">
        <f t="shared" si="18"/>
        <v>554</v>
      </c>
    </row>
    <row r="186" spans="1:14" x14ac:dyDescent="0.25">
      <c r="A186">
        <f t="shared" si="12"/>
        <v>1</v>
      </c>
      <c r="B186" s="18">
        <f t="shared" si="13"/>
        <v>2.0598361628873323</v>
      </c>
      <c r="C186" t="s">
        <v>45</v>
      </c>
      <c r="D186">
        <f t="shared" si="14"/>
        <v>1</v>
      </c>
      <c r="E186" s="9">
        <f t="shared" si="17"/>
        <v>347</v>
      </c>
      <c r="F186" s="8">
        <f t="shared" si="15"/>
        <v>0</v>
      </c>
      <c r="G186" s="9">
        <f t="shared" si="16"/>
        <v>347</v>
      </c>
      <c r="I186" s="77" t="s">
        <v>108</v>
      </c>
      <c r="J186" s="120">
        <f t="shared" si="19"/>
        <v>10</v>
      </c>
      <c r="K186">
        <f t="shared" si="20"/>
        <v>457</v>
      </c>
      <c r="M186" s="77" t="s">
        <v>1715</v>
      </c>
      <c r="N186" s="76">
        <f t="shared" si="18"/>
        <v>543</v>
      </c>
    </row>
    <row r="187" spans="1:14" x14ac:dyDescent="0.25">
      <c r="A187">
        <f t="shared" si="12"/>
        <v>1</v>
      </c>
      <c r="B187" s="18">
        <f t="shared" si="13"/>
        <v>2.2735367446278048</v>
      </c>
      <c r="C187" t="s">
        <v>528</v>
      </c>
      <c r="D187">
        <f t="shared" si="14"/>
        <v>3</v>
      </c>
      <c r="E187" s="9">
        <f t="shared" si="17"/>
        <v>383</v>
      </c>
      <c r="F187" s="8">
        <f t="shared" si="15"/>
        <v>0</v>
      </c>
      <c r="G187" s="9">
        <f t="shared" si="16"/>
        <v>383</v>
      </c>
      <c r="I187" s="77" t="s">
        <v>121</v>
      </c>
      <c r="J187" s="120">
        <f t="shared" si="19"/>
        <v>95</v>
      </c>
      <c r="K187">
        <f t="shared" si="20"/>
        <v>318.39999999999998</v>
      </c>
      <c r="M187" s="77" t="s">
        <v>1793</v>
      </c>
      <c r="N187" s="76">
        <f t="shared" si="18"/>
        <v>29</v>
      </c>
    </row>
    <row r="188" spans="1:14" x14ac:dyDescent="0.25">
      <c r="A188">
        <f t="shared" si="12"/>
        <v>1</v>
      </c>
      <c r="B188" s="18">
        <f t="shared" si="13"/>
        <v>1.3237563813368158</v>
      </c>
      <c r="C188" s="8" t="s">
        <v>1616</v>
      </c>
      <c r="D188">
        <f t="shared" si="14"/>
        <v>2</v>
      </c>
      <c r="E188" s="9">
        <f t="shared" si="17"/>
        <v>223</v>
      </c>
      <c r="F188" s="8">
        <f t="shared" si="15"/>
        <v>0</v>
      </c>
      <c r="G188" s="9">
        <f t="shared" si="16"/>
        <v>223</v>
      </c>
      <c r="I188" s="77" t="s">
        <v>1559</v>
      </c>
      <c r="J188" s="120">
        <f t="shared" si="19"/>
        <v>58</v>
      </c>
      <c r="K188">
        <f t="shared" si="20"/>
        <v>323.5</v>
      </c>
      <c r="M188" s="77" t="s">
        <v>1629</v>
      </c>
      <c r="N188" s="76">
        <f t="shared" si="18"/>
        <v>0</v>
      </c>
    </row>
    <row r="189" spans="1:14" ht="15.75" thickBot="1" x14ac:dyDescent="0.3">
      <c r="A189">
        <f t="shared" si="12"/>
        <v>1</v>
      </c>
      <c r="B189" s="18">
        <f t="shared" si="13"/>
        <v>1.2881396177134039</v>
      </c>
      <c r="C189" s="8" t="s">
        <v>147</v>
      </c>
      <c r="D189">
        <f t="shared" si="14"/>
        <v>3</v>
      </c>
      <c r="E189" s="9">
        <f t="shared" si="17"/>
        <v>217</v>
      </c>
      <c r="F189" s="8">
        <f t="shared" si="15"/>
        <v>0</v>
      </c>
      <c r="G189" s="9">
        <f t="shared" si="16"/>
        <v>140</v>
      </c>
      <c r="I189" s="77" t="s">
        <v>619</v>
      </c>
      <c r="J189" s="120">
        <f t="shared" si="19"/>
        <v>12</v>
      </c>
      <c r="K189">
        <f t="shared" si="20"/>
        <v>245</v>
      </c>
      <c r="M189" s="77" t="s">
        <v>1792</v>
      </c>
      <c r="N189" s="76">
        <f t="shared" si="18"/>
        <v>261</v>
      </c>
    </row>
    <row r="190" spans="1:14" ht="15.75" thickBot="1" x14ac:dyDescent="0.3">
      <c r="A190">
        <f t="shared" si="12"/>
        <v>1</v>
      </c>
      <c r="B190" s="18">
        <f t="shared" si="13"/>
        <v>1.9678261901935179</v>
      </c>
      <c r="C190" s="8" t="s">
        <v>166</v>
      </c>
      <c r="D190">
        <f t="shared" si="14"/>
        <v>6</v>
      </c>
      <c r="E190" s="9">
        <f t="shared" si="17"/>
        <v>331.5</v>
      </c>
      <c r="F190" s="8">
        <f t="shared" si="15"/>
        <v>239.5</v>
      </c>
      <c r="G190" s="9">
        <f t="shared" si="16"/>
        <v>92</v>
      </c>
      <c r="I190" s="77" t="s">
        <v>1400</v>
      </c>
      <c r="J190" s="120">
        <f t="shared" si="19"/>
        <v>260</v>
      </c>
      <c r="K190">
        <f t="shared" si="20"/>
        <v>363.5</v>
      </c>
      <c r="M190" s="123"/>
      <c r="N190" s="124">
        <f>SUM(N177:N189)</f>
        <v>2226</v>
      </c>
    </row>
    <row r="191" spans="1:14" x14ac:dyDescent="0.25">
      <c r="A191">
        <f t="shared" si="12"/>
        <v>1</v>
      </c>
      <c r="B191" s="18">
        <f t="shared" si="13"/>
        <v>8.1799833788436427</v>
      </c>
      <c r="C191" s="8" t="s">
        <v>165</v>
      </c>
      <c r="D191">
        <f t="shared" si="14"/>
        <v>3</v>
      </c>
      <c r="E191" s="9">
        <f t="shared" si="17"/>
        <v>1378</v>
      </c>
      <c r="F191" s="8">
        <f t="shared" si="15"/>
        <v>0</v>
      </c>
      <c r="G191" s="9">
        <f t="shared" si="16"/>
        <v>298</v>
      </c>
      <c r="I191" s="77" t="s">
        <v>118</v>
      </c>
      <c r="J191" s="120">
        <f t="shared" si="19"/>
        <v>30</v>
      </c>
      <c r="K191">
        <f t="shared" si="20"/>
        <v>464</v>
      </c>
    </row>
    <row r="192" spans="1:14" x14ac:dyDescent="0.25">
      <c r="A192">
        <f t="shared" si="12"/>
        <v>1</v>
      </c>
      <c r="B192" s="18">
        <f t="shared" si="13"/>
        <v>0.64110174522141761</v>
      </c>
      <c r="C192" s="8" t="s">
        <v>176</v>
      </c>
      <c r="D192">
        <f t="shared" si="14"/>
        <v>2</v>
      </c>
      <c r="E192" s="9">
        <f t="shared" si="17"/>
        <v>108</v>
      </c>
      <c r="F192" s="8">
        <f t="shared" si="15"/>
        <v>108</v>
      </c>
      <c r="G192" s="9">
        <f t="shared" si="16"/>
        <v>0</v>
      </c>
      <c r="I192" s="77" t="s">
        <v>1664</v>
      </c>
      <c r="J192" s="120">
        <f t="shared" si="19"/>
        <v>40</v>
      </c>
      <c r="K192">
        <f t="shared" si="20"/>
        <v>243</v>
      </c>
      <c r="N192" s="8"/>
    </row>
    <row r="193" spans="1:14" x14ac:dyDescent="0.25">
      <c r="A193">
        <f t="shared" si="12"/>
        <v>1</v>
      </c>
      <c r="B193" s="18">
        <f t="shared" si="13"/>
        <v>0.29680636352843409</v>
      </c>
      <c r="C193" s="8" t="s">
        <v>1923</v>
      </c>
      <c r="D193">
        <f t="shared" si="14"/>
        <v>1</v>
      </c>
      <c r="E193" s="9">
        <f t="shared" si="17"/>
        <v>50</v>
      </c>
      <c r="F193" s="8">
        <f t="shared" si="15"/>
        <v>0</v>
      </c>
      <c r="G193" s="9">
        <f t="shared" si="16"/>
        <v>50</v>
      </c>
      <c r="I193" s="77"/>
      <c r="J193" s="120"/>
      <c r="N193" s="8"/>
    </row>
    <row r="194" spans="1:14" x14ac:dyDescent="0.25">
      <c r="A194">
        <f t="shared" si="12"/>
        <v>1</v>
      </c>
      <c r="B194" s="18">
        <f t="shared" si="13"/>
        <v>0.39178439985753288</v>
      </c>
      <c r="C194" s="8" t="s">
        <v>161</v>
      </c>
      <c r="D194">
        <f t="shared" si="14"/>
        <v>2</v>
      </c>
      <c r="E194" s="9">
        <f t="shared" si="17"/>
        <v>66</v>
      </c>
      <c r="F194" s="8">
        <f t="shared" si="15"/>
        <v>0</v>
      </c>
      <c r="G194" s="9">
        <f t="shared" si="16"/>
        <v>66</v>
      </c>
      <c r="I194" s="121" t="s">
        <v>1960</v>
      </c>
      <c r="J194" s="120">
        <f t="shared" si="19"/>
        <v>57</v>
      </c>
      <c r="K194">
        <f t="shared" si="20"/>
        <v>435.66666666666669</v>
      </c>
      <c r="N194" s="8"/>
    </row>
    <row r="195" spans="1:14" x14ac:dyDescent="0.25">
      <c r="A195">
        <f t="shared" si="12"/>
        <v>1</v>
      </c>
      <c r="B195" s="18">
        <f t="shared" si="13"/>
        <v>0.54612370889231865</v>
      </c>
      <c r="C195" s="8" t="s">
        <v>163</v>
      </c>
      <c r="D195">
        <f t="shared" si="14"/>
        <v>3</v>
      </c>
      <c r="E195" s="9">
        <f t="shared" si="17"/>
        <v>92</v>
      </c>
      <c r="F195" s="8">
        <f t="shared" si="15"/>
        <v>15</v>
      </c>
      <c r="G195" s="9">
        <f t="shared" si="16"/>
        <v>77</v>
      </c>
      <c r="I195" s="77" t="s">
        <v>1486</v>
      </c>
      <c r="J195" s="120">
        <f t="shared" si="19"/>
        <v>447</v>
      </c>
      <c r="K195">
        <f t="shared" si="20"/>
        <v>336.13636363636363</v>
      </c>
      <c r="N195" s="8"/>
    </row>
    <row r="196" spans="1:14" x14ac:dyDescent="0.25">
      <c r="A196">
        <f t="shared" si="12"/>
        <v>1</v>
      </c>
      <c r="B196" s="18">
        <f t="shared" si="13"/>
        <v>3.4192093078475603</v>
      </c>
      <c r="C196" s="157" t="s">
        <v>605</v>
      </c>
      <c r="D196">
        <f t="shared" si="14"/>
        <v>6</v>
      </c>
      <c r="E196" s="158">
        <f t="shared" si="17"/>
        <v>576</v>
      </c>
      <c r="F196" s="157">
        <f t="shared" si="15"/>
        <v>0</v>
      </c>
      <c r="G196" s="158">
        <f t="shared" si="16"/>
        <v>189</v>
      </c>
      <c r="I196" s="77" t="s">
        <v>1780</v>
      </c>
      <c r="J196" s="120">
        <f t="shared" si="19"/>
        <v>16</v>
      </c>
      <c r="K196">
        <f t="shared" si="20"/>
        <v>499</v>
      </c>
    </row>
    <row r="197" spans="1:14" x14ac:dyDescent="0.25">
      <c r="A197">
        <f t="shared" si="12"/>
        <v>1</v>
      </c>
      <c r="B197" s="18">
        <f t="shared" si="13"/>
        <v>0.37991214531639561</v>
      </c>
      <c r="C197" s="157" t="s">
        <v>1465</v>
      </c>
      <c r="D197">
        <f t="shared" si="14"/>
        <v>1</v>
      </c>
      <c r="E197" s="158">
        <f t="shared" si="17"/>
        <v>64</v>
      </c>
      <c r="F197" s="157">
        <f t="shared" si="15"/>
        <v>0</v>
      </c>
      <c r="G197" s="158">
        <f t="shared" si="16"/>
        <v>64</v>
      </c>
      <c r="I197" s="77" t="s">
        <v>1709</v>
      </c>
      <c r="J197" s="120">
        <f t="shared" si="19"/>
        <v>543</v>
      </c>
      <c r="K197">
        <f t="shared" si="20"/>
        <v>419.57142857142856</v>
      </c>
    </row>
    <row r="198" spans="1:14" x14ac:dyDescent="0.25">
      <c r="A198">
        <f t="shared" si="12"/>
        <v>1</v>
      </c>
      <c r="B198" s="18">
        <f t="shared" si="13"/>
        <v>0.37397601804582692</v>
      </c>
      <c r="C198" s="157" t="s">
        <v>447</v>
      </c>
      <c r="D198">
        <f t="shared" si="14"/>
        <v>1</v>
      </c>
      <c r="E198" s="158">
        <f t="shared" si="17"/>
        <v>63</v>
      </c>
      <c r="F198" s="157">
        <f t="shared" si="15"/>
        <v>0</v>
      </c>
      <c r="G198" s="158">
        <f t="shared" si="16"/>
        <v>63</v>
      </c>
      <c r="I198" s="77" t="s">
        <v>1404</v>
      </c>
      <c r="J198" s="120">
        <f t="shared" si="19"/>
        <v>34</v>
      </c>
      <c r="K198">
        <f t="shared" si="20"/>
        <v>283</v>
      </c>
    </row>
    <row r="199" spans="1:14" x14ac:dyDescent="0.25">
      <c r="A199">
        <f t="shared" si="12"/>
        <v>1</v>
      </c>
      <c r="B199" s="18">
        <f t="shared" ref="B199:B200" si="21">E199/$E$168*100</f>
        <v>0.37397601804582692</v>
      </c>
      <c r="C199" t="s">
        <v>852</v>
      </c>
      <c r="D199">
        <f t="shared" si="14"/>
        <v>1</v>
      </c>
      <c r="E199" s="158">
        <f t="shared" ref="E199" si="22">SUMIF(C$2:C$165,C199,D$2:D$165)</f>
        <v>63</v>
      </c>
      <c r="F199" s="157">
        <f t="shared" ref="F199" si="23">SUMIFS($D$2:$D$165,$C$2:$C$165,C199,$E$2:$E$165,$F$175)</f>
        <v>0</v>
      </c>
      <c r="G199" s="158">
        <f t="shared" ref="G199" si="24">SUMIFS($D$2:$D$165,$C$2:$C$165,C199,$E$2:$E$165,$G$175)</f>
        <v>63</v>
      </c>
      <c r="I199" s="77" t="s">
        <v>1785</v>
      </c>
      <c r="J199" s="120">
        <f t="shared" si="19"/>
        <v>29</v>
      </c>
      <c r="K199">
        <f t="shared" si="20"/>
        <v>515</v>
      </c>
    </row>
    <row r="200" spans="1:14" x14ac:dyDescent="0.25">
      <c r="A200">
        <f t="shared" si="12"/>
        <v>1</v>
      </c>
      <c r="B200" s="18">
        <f t="shared" si="21"/>
        <v>0.20182832719933516</v>
      </c>
      <c r="C200" t="s">
        <v>319</v>
      </c>
      <c r="D200">
        <f t="shared" si="14"/>
        <v>1</v>
      </c>
      <c r="E200" s="158">
        <f t="shared" ref="E200" si="25">SUMIF(C$2:C$165,C200,D$2:D$165)</f>
        <v>34</v>
      </c>
      <c r="F200" s="157">
        <f t="shared" ref="F200" si="26">SUMIFS($D$2:$D$165,$C$2:$C$165,C200,$E$2:$E$165,$F$175)</f>
        <v>0</v>
      </c>
      <c r="G200" s="158">
        <f t="shared" ref="G200" si="27">SUMIFS($D$2:$D$165,$C$2:$C$165,C200,$E$2:$E$165,$G$175)</f>
        <v>34</v>
      </c>
      <c r="I200" s="77"/>
      <c r="J200" s="120"/>
    </row>
    <row r="201" spans="1:14" ht="15.75" thickBot="1" x14ac:dyDescent="0.3">
      <c r="A201">
        <f t="shared" si="12"/>
        <v>1</v>
      </c>
      <c r="B201" s="18">
        <f>E201/$E$168*100</f>
        <v>0.1602754363053544</v>
      </c>
      <c r="C201" s="8" t="s">
        <v>148</v>
      </c>
      <c r="D201">
        <f>COUNTIF(C$2:C$165,C201)</f>
        <v>1</v>
      </c>
      <c r="E201" s="9">
        <f>SUMIF(C$2:C$165,C201,D$2:D$165)</f>
        <v>27</v>
      </c>
      <c r="F201" s="8">
        <f>SUMIFS($D$2:$D$165,$C$2:$C$165,C201,$E$2:$E$165,$F$175)</f>
        <v>0</v>
      </c>
      <c r="G201" s="9">
        <f>SUMIFS($D$2:$D$165,$C$2:$C$165,C201,$E$2:$E$165,$G$175)</f>
        <v>27</v>
      </c>
      <c r="I201" s="118" t="s">
        <v>1776</v>
      </c>
      <c r="J201" s="120">
        <f t="shared" si="19"/>
        <v>261</v>
      </c>
      <c r="K201" t="e">
        <f t="shared" si="20"/>
        <v>#NUM!</v>
      </c>
    </row>
    <row r="202" spans="1:14" x14ac:dyDescent="0.25">
      <c r="A202">
        <f t="shared" si="12"/>
        <v>1</v>
      </c>
      <c r="B202" s="18">
        <f>E202/$E$168*100</f>
        <v>4.7192211801021013</v>
      </c>
      <c r="C202" s="8" t="s">
        <v>527</v>
      </c>
      <c r="D202">
        <f>COUNTIF(C$2:C$165,C202)</f>
        <v>1</v>
      </c>
      <c r="E202" s="9">
        <f>SUMIF(C$2:C$165,C202,D$2:D$165)</f>
        <v>795</v>
      </c>
      <c r="F202" s="8">
        <f>SUMIFS($D$2:$D$165,$C$2:$C$165,C202,$E$2:$E$165,$F$175)</f>
        <v>0</v>
      </c>
      <c r="G202" s="9">
        <f>SUMIFS($D$2:$D$165,$C$2:$C$165,C202,$E$2:$E$165,$G$175)</f>
        <v>0</v>
      </c>
      <c r="J202" s="1">
        <f>SUM(J177:J201)</f>
        <v>2223</v>
      </c>
      <c r="M202" s="17">
        <f>J202-SUM(H2:H98)-SUM(O2:O98)-SUM(U2:U98)</f>
        <v>-3</v>
      </c>
    </row>
    <row r="203" spans="1:14" x14ac:dyDescent="0.25">
      <c r="B203" s="18"/>
      <c r="C203" s="8" t="s">
        <v>145</v>
      </c>
      <c r="D203">
        <f>COUNTIF(C$2:C$165,C203)</f>
        <v>2</v>
      </c>
      <c r="E203" s="9">
        <f>SUMIF(C$2:C$165,C203,D$2:D$165)</f>
        <v>152</v>
      </c>
      <c r="F203" s="8">
        <f>SUMIFS($D$2:$D$165,$C$2:$C$165,C203,$E$2:$E$165,$F$175)</f>
        <v>68</v>
      </c>
      <c r="G203" s="9">
        <f>SUMIFS($D$2:$D$165,$C$2:$C$165,C203,$E$2:$E$165,$G$175)</f>
        <v>84</v>
      </c>
    </row>
    <row r="204" spans="1:14" x14ac:dyDescent="0.25">
      <c r="B204" s="18">
        <f>E204/$E$168*100</f>
        <v>84.144604060311053</v>
      </c>
      <c r="E204" s="9">
        <f>SUM(E176:E203)</f>
        <v>14175</v>
      </c>
      <c r="F204" s="13">
        <f>SUM(F176:F203)</f>
        <v>456.5</v>
      </c>
      <c r="G204" s="15">
        <f>SUM(G176:G203)</f>
        <v>8737.5</v>
      </c>
    </row>
    <row r="205" spans="1:14" x14ac:dyDescent="0.25">
      <c r="B205" s="18">
        <f>E205/$E$168*100</f>
        <v>15.855395939688947</v>
      </c>
      <c r="E205" s="9">
        <f>E168-E204</f>
        <v>2671</v>
      </c>
      <c r="F205" s="10" t="s">
        <v>389</v>
      </c>
      <c r="G205" s="12">
        <f>E168-F204-G204</f>
        <v>7652</v>
      </c>
    </row>
    <row r="206" spans="1:14" x14ac:dyDescent="0.25">
      <c r="G206" s="18"/>
    </row>
    <row r="208" spans="1:14" x14ac:dyDescent="0.25">
      <c r="G208" s="18"/>
    </row>
    <row r="209" spans="2:7" x14ac:dyDescent="0.25">
      <c r="G209" s="18"/>
    </row>
    <row r="210" spans="2:7" x14ac:dyDescent="0.25">
      <c r="C210" s="13"/>
      <c r="D210" s="14" t="s">
        <v>93</v>
      </c>
      <c r="E210" s="15" t="s">
        <v>94</v>
      </c>
    </row>
    <row r="211" spans="2:7" x14ac:dyDescent="0.25">
      <c r="C211" s="8" t="s">
        <v>402</v>
      </c>
      <c r="D211">
        <f>SUMIFS($D$2:$D$108,$E$2:$E$108,D$210,$F$2:$F$108,"&lt;5.1")</f>
        <v>0</v>
      </c>
      <c r="E211" s="9">
        <f>SUMIFS($D$2:$D$154,$E$2:$E$154,E$210,$F$2:$F$154,"&lt;5.1")</f>
        <v>0</v>
      </c>
      <c r="F211" s="3">
        <f>SUMIFS(D2:D154,E2:E154,E210,F2:F154,"&lt;5,1")</f>
        <v>97</v>
      </c>
    </row>
    <row r="212" spans="2:7" x14ac:dyDescent="0.25">
      <c r="C212" s="29" t="s">
        <v>403</v>
      </c>
      <c r="D212">
        <f>SUMIFS($D$2:$D$165,$E$2:$E$165,D$210,$F$2:$F$165,"&lt;10.1")-D211</f>
        <v>0</v>
      </c>
      <c r="E212" s="9">
        <f>SUMIFS($D$2:$D$165,$E$2:$E$165,E$210,$F$2:$F$165,"&lt;10.1")-E211</f>
        <v>0</v>
      </c>
    </row>
    <row r="213" spans="2:7" x14ac:dyDescent="0.25">
      <c r="C213" s="29" t="s">
        <v>404</v>
      </c>
      <c r="D213">
        <f>SUMIFS($D$2:$D$165,$E$2:$E$165,D$210,$F$2:$F$165,"&lt;15.1")-D212-D211</f>
        <v>0</v>
      </c>
      <c r="E213" s="9">
        <f>SUMIFS($D$2:$D$165,$E$2:$E$165,E$210,$F$2:$F$165,"&lt;15.1")-E212-E211</f>
        <v>0</v>
      </c>
    </row>
    <row r="214" spans="2:7" x14ac:dyDescent="0.25">
      <c r="C214" s="29" t="s">
        <v>102</v>
      </c>
      <c r="D214">
        <f>SUMIFS($D$2:$D$165,$E$2:$E$165,D$210,$F$2:$F$165,"&lt;20.1")-D213-D212-D211</f>
        <v>0</v>
      </c>
      <c r="E214" s="9">
        <f>SUMIFS($D$2:$D$165,$E$2:$E$165,E$210,$F$2:$F$165,"&lt;20.1")-E213-E212-E211</f>
        <v>0</v>
      </c>
    </row>
    <row r="215" spans="2:7" x14ac:dyDescent="0.25">
      <c r="C215" s="8" t="s">
        <v>405</v>
      </c>
      <c r="D215">
        <f>SUMIFS($D$2:$D$165,$E$2:$E$165,D$210,$F$2:$F$165,"&lt;40.1")-D214-D213-D212-D211</f>
        <v>0</v>
      </c>
      <c r="E215" s="9">
        <f>SUMIFS($D$2:$D$165,$E$2:$E$165,E$210,$F$2:$F$165,"&lt;40.1")-E214-E213-E212-E211</f>
        <v>0</v>
      </c>
    </row>
    <row r="216" spans="2:7" x14ac:dyDescent="0.25">
      <c r="C216" s="10" t="s">
        <v>406</v>
      </c>
      <c r="D216" s="11">
        <f>E171-SUM(D211:D215)</f>
        <v>456.5</v>
      </c>
      <c r="E216" s="12">
        <f>E170-SUM(E211:E215)</f>
        <v>8737.5</v>
      </c>
    </row>
    <row r="217" spans="2:7" x14ac:dyDescent="0.25">
      <c r="C217" s="25"/>
      <c r="D217" s="18"/>
      <c r="E217" s="18"/>
    </row>
    <row r="218" spans="2:7" x14ac:dyDescent="0.25">
      <c r="B218" s="3" t="s">
        <v>1495</v>
      </c>
      <c r="C218" t="s">
        <v>1492</v>
      </c>
      <c r="E218" s="24">
        <f>AVERAGE(F2:F154)</f>
        <v>19.073529411764707</v>
      </c>
    </row>
    <row r="219" spans="2:7" x14ac:dyDescent="0.25">
      <c r="C219" t="s">
        <v>1499</v>
      </c>
      <c r="E219" s="24">
        <f>SUMPRODUCT(F2:F154,D2:D154)/SUM(D2:D132)</f>
        <v>3.6578252619420839</v>
      </c>
    </row>
    <row r="221" spans="2:7" x14ac:dyDescent="0.25">
      <c r="B221" s="3" t="s">
        <v>1496</v>
      </c>
      <c r="C221" t="s">
        <v>1491</v>
      </c>
      <c r="E221" s="24">
        <f>AVERAGE(J2:J154)</f>
        <v>156.46236559139786</v>
      </c>
    </row>
    <row r="222" spans="2:7" x14ac:dyDescent="0.25">
      <c r="C222" t="s">
        <v>1493</v>
      </c>
      <c r="E222" s="24">
        <f>SUMPRODUCT(J2:J154,D2:D154)/SUM(D2:D132)</f>
        <v>67.878365371393997</v>
      </c>
    </row>
    <row r="223" spans="2:7" x14ac:dyDescent="0.25">
      <c r="C223" t="s">
        <v>1494</v>
      </c>
      <c r="E223" s="24">
        <f>SUMPRODUCT(J2:J154,H2:H154)/SUM(H2:H132)</f>
        <v>151.4108705665592</v>
      </c>
    </row>
    <row r="225" spans="2:8" x14ac:dyDescent="0.25">
      <c r="B225" s="3" t="s">
        <v>1497</v>
      </c>
      <c r="C225" t="s">
        <v>1498</v>
      </c>
      <c r="E225" s="24">
        <f>AVERAGE(K2:K154)</f>
        <v>5.7741935483870934</v>
      </c>
    </row>
    <row r="226" spans="2:8" x14ac:dyDescent="0.25">
      <c r="C226" t="s">
        <v>1493</v>
      </c>
      <c r="E226" s="24">
        <f>SUMPRODUCT(K2:K154,D2:D154)/SUM(D2:D132)</f>
        <v>3.1614732007810145</v>
      </c>
    </row>
    <row r="227" spans="2:8" x14ac:dyDescent="0.25">
      <c r="C227" t="s">
        <v>1500</v>
      </c>
      <c r="E227" s="24">
        <f>SUMPRODUCT(K2:K154,H2:H154)/SUM(H2:H132)</f>
        <v>5.7207738369415013</v>
      </c>
    </row>
    <row r="232" spans="2:8" x14ac:dyDescent="0.25">
      <c r="B232" s="36" t="s">
        <v>1643</v>
      </c>
      <c r="C232" s="97" t="s">
        <v>149</v>
      </c>
      <c r="D232" s="37" t="s">
        <v>1644</v>
      </c>
      <c r="E232" s="37" t="s">
        <v>130</v>
      </c>
      <c r="F232" s="38" t="s">
        <v>1645</v>
      </c>
    </row>
    <row r="233" spans="2:8" x14ac:dyDescent="0.25">
      <c r="B233" s="162" t="s">
        <v>1642</v>
      </c>
      <c r="C233" s="163" t="s">
        <v>528</v>
      </c>
      <c r="D233" s="14">
        <f t="shared" ref="D233:D263" si="28">COUNTIF(C$2:C$151,C233)</f>
        <v>3</v>
      </c>
      <c r="E233" s="14">
        <f t="shared" ref="E233:E263" si="29">SUMIF(C$2:C$151,C233,D$2:D$151)</f>
        <v>383</v>
      </c>
      <c r="F233" s="15">
        <f t="shared" ref="F233:F263" si="30">SUMIF(C$2:C$151,C233,O$2:O$151)+SUMIF(C$2:C$151,C233,U$2:U$151)+SUMIF(C$2:C$151,C233,H$2:H$151)</f>
        <v>85</v>
      </c>
      <c r="G233">
        <f>SUM(E233)</f>
        <v>383</v>
      </c>
      <c r="H233" s="34">
        <f>G233/E$264</f>
        <v>2.7769721577726218E-2</v>
      </c>
    </row>
    <row r="234" spans="2:8" x14ac:dyDescent="0.25">
      <c r="B234" s="13" t="s">
        <v>1638</v>
      </c>
      <c r="C234" s="14" t="s">
        <v>137</v>
      </c>
      <c r="D234" s="14">
        <f t="shared" si="28"/>
        <v>0</v>
      </c>
      <c r="E234" s="14">
        <f t="shared" si="29"/>
        <v>0</v>
      </c>
      <c r="F234" s="15">
        <f t="shared" si="30"/>
        <v>0</v>
      </c>
    </row>
    <row r="235" spans="2:8" x14ac:dyDescent="0.25">
      <c r="B235" s="8" t="s">
        <v>1638</v>
      </c>
      <c r="C235" t="s">
        <v>605</v>
      </c>
      <c r="D235">
        <f t="shared" si="28"/>
        <v>6</v>
      </c>
      <c r="E235">
        <f t="shared" si="29"/>
        <v>576</v>
      </c>
      <c r="F235" s="9">
        <f t="shared" si="30"/>
        <v>83</v>
      </c>
    </row>
    <row r="236" spans="2:8" x14ac:dyDescent="0.25">
      <c r="B236" s="8" t="s">
        <v>1638</v>
      </c>
      <c r="C236" t="s">
        <v>147</v>
      </c>
      <c r="D236">
        <f t="shared" si="28"/>
        <v>3</v>
      </c>
      <c r="E236">
        <f t="shared" si="29"/>
        <v>217</v>
      </c>
      <c r="F236" s="9">
        <f t="shared" si="30"/>
        <v>47</v>
      </c>
    </row>
    <row r="237" spans="2:8" x14ac:dyDescent="0.25">
      <c r="B237" s="10" t="s">
        <v>1638</v>
      </c>
      <c r="C237" s="11" t="s">
        <v>175</v>
      </c>
      <c r="D237" s="11">
        <f t="shared" si="28"/>
        <v>0</v>
      </c>
      <c r="E237" s="11">
        <f t="shared" si="29"/>
        <v>0</v>
      </c>
      <c r="F237" s="12">
        <f t="shared" si="30"/>
        <v>0</v>
      </c>
      <c r="G237">
        <f>SUM(E234:E237)</f>
        <v>793</v>
      </c>
      <c r="H237" s="34">
        <f>G237/E$264</f>
        <v>5.7497099767981438E-2</v>
      </c>
    </row>
    <row r="238" spans="2:8" x14ac:dyDescent="0.25">
      <c r="B238" s="13" t="s">
        <v>1641</v>
      </c>
      <c r="C238" s="14" t="s">
        <v>144</v>
      </c>
      <c r="D238" s="14">
        <f t="shared" si="28"/>
        <v>4</v>
      </c>
      <c r="E238" s="14">
        <f t="shared" si="29"/>
        <v>1075</v>
      </c>
      <c r="F238" s="15">
        <f t="shared" si="30"/>
        <v>156</v>
      </c>
    </row>
    <row r="239" spans="2:8" x14ac:dyDescent="0.25">
      <c r="B239" s="10" t="s">
        <v>1641</v>
      </c>
      <c r="C239" s="11" t="s">
        <v>1186</v>
      </c>
      <c r="D239" s="11">
        <f t="shared" si="28"/>
        <v>2</v>
      </c>
      <c r="E239" s="11">
        <f t="shared" si="29"/>
        <v>232</v>
      </c>
      <c r="F239" s="12">
        <f t="shared" si="30"/>
        <v>48</v>
      </c>
      <c r="G239">
        <f>SUM(E238:E239)</f>
        <v>1307</v>
      </c>
      <c r="H239" s="34">
        <f>G239/E$264</f>
        <v>9.4765081206496515E-2</v>
      </c>
    </row>
    <row r="240" spans="2:8" x14ac:dyDescent="0.25">
      <c r="B240" s="13" t="s">
        <v>1639</v>
      </c>
      <c r="C240" s="14" t="s">
        <v>163</v>
      </c>
      <c r="D240" s="14">
        <f t="shared" si="28"/>
        <v>3</v>
      </c>
      <c r="E240" s="14">
        <f t="shared" si="29"/>
        <v>92</v>
      </c>
      <c r="F240" s="15">
        <f t="shared" si="30"/>
        <v>18</v>
      </c>
    </row>
    <row r="241" spans="2:8" x14ac:dyDescent="0.25">
      <c r="B241" s="8" t="s">
        <v>1639</v>
      </c>
      <c r="C241" t="s">
        <v>1465</v>
      </c>
      <c r="D241">
        <f t="shared" si="28"/>
        <v>1</v>
      </c>
      <c r="E241">
        <f t="shared" si="29"/>
        <v>64</v>
      </c>
      <c r="F241" s="9">
        <f t="shared" si="30"/>
        <v>10</v>
      </c>
    </row>
    <row r="242" spans="2:8" x14ac:dyDescent="0.25">
      <c r="B242" s="8" t="s">
        <v>1639</v>
      </c>
      <c r="C242" t="s">
        <v>145</v>
      </c>
      <c r="D242">
        <f t="shared" si="28"/>
        <v>2</v>
      </c>
      <c r="E242">
        <f t="shared" si="29"/>
        <v>152</v>
      </c>
      <c r="F242" s="9">
        <f t="shared" si="30"/>
        <v>25</v>
      </c>
    </row>
    <row r="243" spans="2:8" x14ac:dyDescent="0.25">
      <c r="B243" s="8" t="s">
        <v>1639</v>
      </c>
      <c r="C243" t="s">
        <v>206</v>
      </c>
      <c r="D243">
        <f t="shared" si="28"/>
        <v>4</v>
      </c>
      <c r="E243">
        <f t="shared" si="29"/>
        <v>190.5</v>
      </c>
      <c r="F243" s="9">
        <f t="shared" si="30"/>
        <v>60</v>
      </c>
    </row>
    <row r="244" spans="2:8" x14ac:dyDescent="0.25">
      <c r="B244" s="8" t="s">
        <v>1639</v>
      </c>
      <c r="C244" t="s">
        <v>138</v>
      </c>
      <c r="D244">
        <f t="shared" si="28"/>
        <v>15</v>
      </c>
      <c r="E244">
        <f t="shared" si="29"/>
        <v>2538</v>
      </c>
      <c r="F244" s="9">
        <f t="shared" si="30"/>
        <v>214</v>
      </c>
    </row>
    <row r="245" spans="2:8" x14ac:dyDescent="0.25">
      <c r="B245" s="8" t="s">
        <v>1639</v>
      </c>
      <c r="C245" t="s">
        <v>526</v>
      </c>
      <c r="D245">
        <f t="shared" si="28"/>
        <v>3</v>
      </c>
      <c r="E245">
        <f t="shared" si="29"/>
        <v>341</v>
      </c>
      <c r="F245" s="9">
        <f t="shared" si="30"/>
        <v>58</v>
      </c>
    </row>
    <row r="246" spans="2:8" x14ac:dyDescent="0.25">
      <c r="B246" s="8" t="s">
        <v>1639</v>
      </c>
      <c r="C246" t="s">
        <v>176</v>
      </c>
      <c r="D246">
        <f t="shared" si="28"/>
        <v>2</v>
      </c>
      <c r="E246">
        <f t="shared" si="29"/>
        <v>108</v>
      </c>
      <c r="F246" s="9">
        <f t="shared" si="30"/>
        <v>24</v>
      </c>
    </row>
    <row r="247" spans="2:8" x14ac:dyDescent="0.25">
      <c r="B247" s="8" t="s">
        <v>1639</v>
      </c>
      <c r="C247" t="s">
        <v>527</v>
      </c>
      <c r="D247">
        <f t="shared" si="28"/>
        <v>1</v>
      </c>
      <c r="E247">
        <f t="shared" si="29"/>
        <v>795</v>
      </c>
      <c r="F247" s="9">
        <f t="shared" si="30"/>
        <v>53</v>
      </c>
    </row>
    <row r="248" spans="2:8" x14ac:dyDescent="0.25">
      <c r="B248" s="8" t="s">
        <v>1639</v>
      </c>
      <c r="C248" t="s">
        <v>148</v>
      </c>
      <c r="D248">
        <f t="shared" si="28"/>
        <v>1</v>
      </c>
      <c r="E248">
        <f t="shared" si="29"/>
        <v>27</v>
      </c>
      <c r="F248" s="9">
        <f t="shared" si="30"/>
        <v>6</v>
      </c>
    </row>
    <row r="249" spans="2:8" x14ac:dyDescent="0.25">
      <c r="B249" s="8" t="s">
        <v>1639</v>
      </c>
      <c r="C249" t="s">
        <v>146</v>
      </c>
      <c r="D249">
        <f t="shared" si="28"/>
        <v>6</v>
      </c>
      <c r="E249">
        <f t="shared" si="29"/>
        <v>276</v>
      </c>
      <c r="F249" s="9">
        <f t="shared" si="30"/>
        <v>52</v>
      </c>
    </row>
    <row r="250" spans="2:8" x14ac:dyDescent="0.25">
      <c r="B250" s="8" t="s">
        <v>1639</v>
      </c>
      <c r="C250" t="s">
        <v>1616</v>
      </c>
      <c r="D250">
        <f t="shared" si="28"/>
        <v>2</v>
      </c>
      <c r="E250">
        <f t="shared" si="29"/>
        <v>223</v>
      </c>
      <c r="F250" s="9">
        <f t="shared" si="30"/>
        <v>36</v>
      </c>
    </row>
    <row r="251" spans="2:8" x14ac:dyDescent="0.25">
      <c r="B251" s="8" t="s">
        <v>1639</v>
      </c>
      <c r="C251" t="s">
        <v>161</v>
      </c>
      <c r="D251">
        <f t="shared" si="28"/>
        <v>2</v>
      </c>
      <c r="E251">
        <f t="shared" si="29"/>
        <v>66</v>
      </c>
      <c r="F251" s="9">
        <f t="shared" si="30"/>
        <v>30</v>
      </c>
    </row>
    <row r="252" spans="2:8" x14ac:dyDescent="0.25">
      <c r="B252" s="8" t="s">
        <v>1639</v>
      </c>
      <c r="C252" t="s">
        <v>852</v>
      </c>
      <c r="D252">
        <f t="shared" si="28"/>
        <v>1</v>
      </c>
      <c r="E252">
        <f t="shared" si="29"/>
        <v>63</v>
      </c>
      <c r="F252" s="9">
        <f t="shared" si="30"/>
        <v>14</v>
      </c>
    </row>
    <row r="253" spans="2:8" x14ac:dyDescent="0.25">
      <c r="B253" s="8" t="s">
        <v>1639</v>
      </c>
      <c r="C253" t="s">
        <v>166</v>
      </c>
      <c r="D253">
        <f t="shared" si="28"/>
        <v>6</v>
      </c>
      <c r="E253">
        <f t="shared" si="29"/>
        <v>331.5</v>
      </c>
      <c r="F253" s="9">
        <f t="shared" si="30"/>
        <v>56</v>
      </c>
    </row>
    <row r="254" spans="2:8" x14ac:dyDescent="0.25">
      <c r="B254" s="8" t="s">
        <v>1639</v>
      </c>
      <c r="C254" t="s">
        <v>140</v>
      </c>
      <c r="D254">
        <f t="shared" si="28"/>
        <v>2</v>
      </c>
      <c r="E254">
        <f t="shared" si="29"/>
        <v>312</v>
      </c>
      <c r="F254" s="9">
        <f t="shared" si="30"/>
        <v>50</v>
      </c>
    </row>
    <row r="255" spans="2:8" x14ac:dyDescent="0.25">
      <c r="B255" s="8" t="s">
        <v>1639</v>
      </c>
      <c r="C255" s="154" t="s">
        <v>165</v>
      </c>
      <c r="D255" s="154">
        <f t="shared" si="28"/>
        <v>3</v>
      </c>
      <c r="E255" s="154">
        <f t="shared" si="29"/>
        <v>1378</v>
      </c>
      <c r="F255" s="9">
        <f t="shared" si="30"/>
        <v>125</v>
      </c>
      <c r="G255">
        <f>SUM(E240:E255)</f>
        <v>6957</v>
      </c>
      <c r="H255" s="34">
        <f>G255/E$264</f>
        <v>0.50442285382830632</v>
      </c>
    </row>
    <row r="256" spans="2:8" x14ac:dyDescent="0.25">
      <c r="B256" s="13" t="s">
        <v>1419</v>
      </c>
      <c r="C256" s="14" t="s">
        <v>34</v>
      </c>
      <c r="D256" s="14">
        <f t="shared" si="28"/>
        <v>1</v>
      </c>
      <c r="E256" s="14">
        <f t="shared" si="29"/>
        <v>319</v>
      </c>
      <c r="F256" s="15">
        <f t="shared" si="30"/>
        <v>64</v>
      </c>
      <c r="H256" s="34"/>
    </row>
    <row r="257" spans="2:8" x14ac:dyDescent="0.25">
      <c r="B257" s="8" t="s">
        <v>1419</v>
      </c>
      <c r="C257" s="153" t="s">
        <v>319</v>
      </c>
      <c r="D257" s="153">
        <f t="shared" si="28"/>
        <v>1</v>
      </c>
      <c r="E257" s="153">
        <f t="shared" si="29"/>
        <v>34</v>
      </c>
      <c r="F257" s="9">
        <f t="shared" si="30"/>
        <v>8</v>
      </c>
      <c r="H257" s="34"/>
    </row>
    <row r="258" spans="2:8" x14ac:dyDescent="0.25">
      <c r="B258" s="8" t="s">
        <v>1419</v>
      </c>
      <c r="C258" s="8" t="s">
        <v>1923</v>
      </c>
      <c r="D258" s="153">
        <f t="shared" ref="D258" si="31">COUNTIF(C$2:C$151,C258)</f>
        <v>1</v>
      </c>
      <c r="E258" s="153">
        <f t="shared" ref="E258" si="32">SUMIF(C$2:C$151,C258,D$2:D$151)</f>
        <v>50</v>
      </c>
      <c r="F258" s="9">
        <f t="shared" ref="F258" si="33">SUMIF(C$2:C$151,C258,O$2:O$151)+SUMIF(C$2:C$151,C258,U$2:U$151)+SUMIF(C$2:C$151,C258,H$2:H$151)</f>
        <v>11</v>
      </c>
      <c r="H258" s="34"/>
    </row>
    <row r="259" spans="2:8" x14ac:dyDescent="0.25">
      <c r="B259" s="8" t="s">
        <v>1419</v>
      </c>
      <c r="C259" s="153" t="s">
        <v>447</v>
      </c>
      <c r="D259" s="153">
        <f t="shared" si="28"/>
        <v>1</v>
      </c>
      <c r="E259" s="153">
        <f t="shared" si="29"/>
        <v>63</v>
      </c>
      <c r="F259" s="9">
        <f t="shared" si="30"/>
        <v>14</v>
      </c>
      <c r="H259" s="34"/>
    </row>
    <row r="260" spans="2:8" x14ac:dyDescent="0.25">
      <c r="B260" s="8" t="s">
        <v>1419</v>
      </c>
      <c r="C260" s="154" t="s">
        <v>45</v>
      </c>
      <c r="D260" s="154">
        <f t="shared" si="28"/>
        <v>1</v>
      </c>
      <c r="E260" s="154">
        <f t="shared" si="29"/>
        <v>347</v>
      </c>
      <c r="F260" s="9">
        <f t="shared" si="30"/>
        <v>56</v>
      </c>
      <c r="H260" s="34"/>
    </row>
    <row r="261" spans="2:8" x14ac:dyDescent="0.25">
      <c r="B261" s="10" t="s">
        <v>1419</v>
      </c>
      <c r="C261" s="11" t="s">
        <v>1247</v>
      </c>
      <c r="D261" s="11">
        <f t="shared" si="28"/>
        <v>16</v>
      </c>
      <c r="E261" s="11">
        <f t="shared" si="29"/>
        <v>3827</v>
      </c>
      <c r="F261" s="12">
        <f t="shared" si="30"/>
        <v>802</v>
      </c>
      <c r="G261">
        <f>SUM(E256:E261)</f>
        <v>4640</v>
      </c>
      <c r="H261" s="34">
        <f>G261/E$264</f>
        <v>0.33642691415313225</v>
      </c>
    </row>
    <row r="262" spans="2:8" x14ac:dyDescent="0.25">
      <c r="B262" s="8" t="s">
        <v>1640</v>
      </c>
      <c r="C262" s="154" t="s">
        <v>27</v>
      </c>
      <c r="D262" s="154">
        <f t="shared" si="28"/>
        <v>1</v>
      </c>
      <c r="E262" s="154">
        <f t="shared" si="29"/>
        <v>95</v>
      </c>
      <c r="F262" s="9">
        <f t="shared" si="30"/>
        <v>21</v>
      </c>
    </row>
    <row r="263" spans="2:8" x14ac:dyDescent="0.25">
      <c r="B263" s="10" t="s">
        <v>1640</v>
      </c>
      <c r="C263" s="11" t="s">
        <v>141</v>
      </c>
      <c r="D263" s="11">
        <f t="shared" si="28"/>
        <v>0</v>
      </c>
      <c r="E263" s="11">
        <f t="shared" si="29"/>
        <v>0</v>
      </c>
      <c r="F263" s="12">
        <f t="shared" si="30"/>
        <v>0</v>
      </c>
      <c r="G263">
        <f>E263+E262</f>
        <v>95</v>
      </c>
      <c r="H263" s="34">
        <f>G263/E$264</f>
        <v>6.8880510440835268E-3</v>
      </c>
    </row>
    <row r="264" spans="2:8" x14ac:dyDescent="0.25">
      <c r="E264">
        <f>SUM(E234:E263)</f>
        <v>13792</v>
      </c>
    </row>
    <row r="291" spans="5:5" x14ac:dyDescent="0.25">
      <c r="E291" s="17"/>
    </row>
    <row r="292" spans="5:5" ht="20.25" customHeight="1" x14ac:dyDescent="0.25"/>
  </sheetData>
  <phoneticPr fontId="6" type="noConversion"/>
  <conditionalFormatting sqref="AI2:AJ2 AJ3:AJ101 AI3:AI109">
    <cfRule type="cellIs" dxfId="5" priority="2" operator="equal">
      <formula>1</formula>
    </cfRule>
  </conditionalFormatting>
  <conditionalFormatting sqref="AK2:AK95">
    <cfRule type="cellIs" dxfId="4" priority="1" operator="equal">
      <formula>1</formula>
    </cfRule>
  </conditionalFormatting>
  <pageMargins left="0.7" right="0.7" top="0.75" bottom="0.75" header="0.3" footer="0.3"/>
  <pageSetup paperSize="9" orientation="portrait" r:id="rId1"/>
  <headerFooter>
    <oddFooter>&amp;L&amp;1#&amp;"Arial"&amp;8&amp;KD5DAD9</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CA79F-D755-4567-9F27-BDFCC7ACFEA2}">
  <dimension ref="A1:AQ266"/>
  <sheetViews>
    <sheetView zoomScale="94" zoomScaleNormal="94" workbookViewId="0">
      <pane xSplit="3" ySplit="1" topLeftCell="D64" activePane="bottomRight" state="frozen"/>
      <selection pane="topRight" activeCell="D1" sqref="D1"/>
      <selection pane="bottomLeft" activeCell="A2" sqref="A2"/>
      <selection pane="bottomRight" activeCell="F30" sqref="F30"/>
    </sheetView>
  </sheetViews>
  <sheetFormatPr defaultRowHeight="15" x14ac:dyDescent="0.25"/>
  <cols>
    <col min="2" max="3" width="13.7109375" customWidth="1"/>
    <col min="4" max="4" width="10.7109375" customWidth="1"/>
    <col min="5" max="5" width="13.7109375" customWidth="1"/>
    <col min="6" max="6" width="8.28515625" customWidth="1"/>
    <col min="7" max="7" width="13.7109375" customWidth="1"/>
    <col min="8" max="8" width="8" customWidth="1"/>
    <col min="9" max="9" width="13.7109375" customWidth="1"/>
    <col min="10" max="10" width="6" bestFit="1" customWidth="1"/>
    <col min="11" max="11" width="7.85546875" customWidth="1"/>
    <col min="12" max="12" width="12" bestFit="1" customWidth="1"/>
    <col min="13" max="13" width="13.42578125" customWidth="1"/>
    <col min="14" max="14" width="8.7109375" customWidth="1"/>
    <col min="15" max="15" width="4.140625" customWidth="1"/>
    <col min="16" max="16" width="15.140625" customWidth="1"/>
    <col min="17" max="17" width="6" bestFit="1" customWidth="1"/>
    <col min="18" max="18" width="4.7109375" bestFit="1" customWidth="1"/>
    <col min="19" max="19" width="10.7109375" customWidth="1"/>
    <col min="20" max="20" width="9" customWidth="1"/>
    <col min="21" max="21" width="4.42578125" customWidth="1"/>
    <col min="22" max="22" width="13.28515625" bestFit="1" customWidth="1"/>
    <col min="23" max="23" width="5" customWidth="1"/>
    <col min="24" max="24" width="6.5703125" customWidth="1"/>
    <col min="27" max="27" width="4.42578125" customWidth="1"/>
    <col min="28" max="28" width="13.28515625" bestFit="1" customWidth="1"/>
    <col min="29" max="29" width="5" customWidth="1"/>
    <col min="30" max="30" width="6.5703125" customWidth="1"/>
    <col min="35" max="35" width="4" customWidth="1"/>
    <col min="36" max="36" width="3.28515625" customWidth="1"/>
    <col min="38" max="39" width="10.7109375" bestFit="1" customWidth="1"/>
  </cols>
  <sheetData>
    <row r="1" spans="1:43" x14ac:dyDescent="0.25">
      <c r="B1" s="3" t="s">
        <v>86</v>
      </c>
      <c r="C1" s="3" t="s">
        <v>87</v>
      </c>
      <c r="D1" s="3" t="s">
        <v>88</v>
      </c>
      <c r="E1" s="3" t="s">
        <v>98</v>
      </c>
      <c r="F1" s="3" t="s">
        <v>100</v>
      </c>
      <c r="G1" s="3" t="s">
        <v>89</v>
      </c>
      <c r="H1" s="3" t="s">
        <v>1802</v>
      </c>
      <c r="I1" s="3" t="s">
        <v>90</v>
      </c>
      <c r="J1" s="3" t="s">
        <v>1797</v>
      </c>
      <c r="K1" s="3" t="s">
        <v>1798</v>
      </c>
      <c r="L1" s="3" t="s">
        <v>1799</v>
      </c>
      <c r="M1" s="3" t="s">
        <v>1800</v>
      </c>
      <c r="N1" s="3" t="s">
        <v>107</v>
      </c>
      <c r="O1" s="3" t="s">
        <v>1801</v>
      </c>
      <c r="P1" s="3" t="s">
        <v>105</v>
      </c>
      <c r="Q1" s="3" t="s">
        <v>1803</v>
      </c>
      <c r="R1" s="3" t="s">
        <v>1804</v>
      </c>
      <c r="S1" s="3" t="s">
        <v>1805</v>
      </c>
      <c r="T1" s="3" t="s">
        <v>1806</v>
      </c>
      <c r="U1" s="3" t="s">
        <v>1807</v>
      </c>
      <c r="V1" s="3" t="s">
        <v>105</v>
      </c>
      <c r="W1" s="3" t="s">
        <v>131</v>
      </c>
      <c r="X1" s="3" t="s">
        <v>130</v>
      </c>
      <c r="Y1" s="3" t="s">
        <v>101</v>
      </c>
      <c r="Z1" s="3" t="s">
        <v>601</v>
      </c>
      <c r="AA1" s="3" t="s">
        <v>1808</v>
      </c>
      <c r="AB1" s="3" t="s">
        <v>105</v>
      </c>
      <c r="AC1" s="3" t="s">
        <v>131</v>
      </c>
      <c r="AD1" s="3" t="s">
        <v>130</v>
      </c>
      <c r="AE1" s="3" t="s">
        <v>101</v>
      </c>
      <c r="AF1" s="3" t="s">
        <v>601</v>
      </c>
      <c r="AG1" s="3" t="s">
        <v>1630</v>
      </c>
      <c r="AH1" s="3" t="s">
        <v>1631</v>
      </c>
      <c r="AI1" s="3" t="s">
        <v>1632</v>
      </c>
      <c r="AJ1" t="s">
        <v>1633</v>
      </c>
      <c r="AL1" s="3" t="s">
        <v>1794</v>
      </c>
    </row>
    <row r="2" spans="1:43" x14ac:dyDescent="0.25">
      <c r="B2" s="149" t="s">
        <v>1814</v>
      </c>
      <c r="C2" s="44" t="s">
        <v>1541</v>
      </c>
      <c r="D2" s="46">
        <v>68</v>
      </c>
      <c r="E2" s="44" t="s">
        <v>94</v>
      </c>
      <c r="F2">
        <v>20</v>
      </c>
      <c r="G2" s="44" t="s">
        <v>1678</v>
      </c>
      <c r="H2" s="46">
        <v>15</v>
      </c>
      <c r="I2" s="44" t="s">
        <v>1809</v>
      </c>
      <c r="J2" s="46">
        <v>150</v>
      </c>
      <c r="K2" s="69">
        <v>4.5</v>
      </c>
      <c r="AG2">
        <v>3</v>
      </c>
      <c r="AH2">
        <v>2023</v>
      </c>
      <c r="AI2">
        <f t="shared" ref="AI2:AI65" si="0">COUNTIF($I$158:$I$188,I2)</f>
        <v>0</v>
      </c>
      <c r="AJ2">
        <f t="shared" ref="AJ2:AJ33" si="1">COUNTIF($C$157:$C$180,C2)</f>
        <v>1</v>
      </c>
      <c r="AK2">
        <f>COUNTIF($C$214:$C$239,C2)</f>
        <v>1</v>
      </c>
      <c r="AL2">
        <f>_xlfn.DAYS(DATE(AH2,AG2*3-2,1),DATE(RIGHT(B2,4),MID(B2,4,2),LEFT(B2,2)))</f>
        <v>113</v>
      </c>
      <c r="AM2" s="99"/>
    </row>
    <row r="3" spans="1:43" x14ac:dyDescent="0.25">
      <c r="B3" s="44" t="s">
        <v>1704</v>
      </c>
      <c r="C3" t="s">
        <v>27</v>
      </c>
      <c r="D3" s="46">
        <v>95</v>
      </c>
      <c r="E3" s="44" t="s">
        <v>94</v>
      </c>
      <c r="F3" s="46">
        <v>20</v>
      </c>
      <c r="G3" s="44" t="s">
        <v>1708</v>
      </c>
      <c r="H3" s="46">
        <v>21</v>
      </c>
      <c r="I3" s="44" t="s">
        <v>1400</v>
      </c>
      <c r="J3" s="46">
        <v>150</v>
      </c>
      <c r="K3" s="69">
        <v>4.5</v>
      </c>
      <c r="AG3">
        <v>4</v>
      </c>
      <c r="AH3">
        <v>2023</v>
      </c>
      <c r="AI3">
        <f t="shared" si="0"/>
        <v>1</v>
      </c>
      <c r="AJ3">
        <f t="shared" si="1"/>
        <v>1</v>
      </c>
      <c r="AK3">
        <f t="shared" ref="AK3:AK66" si="2">COUNTIF($C$213:$C$238,C3)</f>
        <v>1</v>
      </c>
      <c r="AL3">
        <f t="shared" ref="AL3:AL66" si="3">_xlfn.DAYS(DATE(AH3,AG3*3-2,1),DATE(RIGHT(B3,4),MID(B3,4,2),LEFT(B3,2)))</f>
        <v>207</v>
      </c>
      <c r="AM3" s="99"/>
    </row>
    <row r="4" spans="1:43" x14ac:dyDescent="0.25">
      <c r="B4" s="44" t="s">
        <v>1704</v>
      </c>
      <c r="C4" s="44" t="s">
        <v>1247</v>
      </c>
      <c r="D4" s="46">
        <v>56</v>
      </c>
      <c r="E4" s="44" t="s">
        <v>94</v>
      </c>
      <c r="F4" s="46">
        <v>10</v>
      </c>
      <c r="G4" s="44" t="s">
        <v>341</v>
      </c>
      <c r="H4" s="46">
        <v>13</v>
      </c>
      <c r="I4" s="44" t="s">
        <v>619</v>
      </c>
      <c r="J4" s="46">
        <v>150</v>
      </c>
      <c r="K4" s="69">
        <v>4.3</v>
      </c>
      <c r="L4" t="s">
        <v>1405</v>
      </c>
      <c r="V4" s="46"/>
      <c r="W4" s="46"/>
      <c r="X4" s="46"/>
      <c r="AB4" s="46"/>
      <c r="AC4" s="46"/>
      <c r="AD4" s="46"/>
      <c r="AG4">
        <v>4</v>
      </c>
      <c r="AH4">
        <v>2023</v>
      </c>
      <c r="AI4">
        <f t="shared" si="0"/>
        <v>1</v>
      </c>
      <c r="AJ4">
        <f t="shared" si="1"/>
        <v>1</v>
      </c>
      <c r="AK4">
        <f t="shared" si="2"/>
        <v>1</v>
      </c>
      <c r="AL4">
        <f t="shared" si="3"/>
        <v>207</v>
      </c>
      <c r="AM4" s="99"/>
    </row>
    <row r="5" spans="1:43" x14ac:dyDescent="0.25">
      <c r="B5" s="44" t="s">
        <v>1705</v>
      </c>
      <c r="C5" s="44" t="s">
        <v>528</v>
      </c>
      <c r="D5" s="46">
        <v>373</v>
      </c>
      <c r="E5" s="44" t="s">
        <v>94</v>
      </c>
      <c r="F5" s="46">
        <v>15</v>
      </c>
      <c r="G5" s="44" t="s">
        <v>1710</v>
      </c>
      <c r="H5" s="46">
        <v>64</v>
      </c>
      <c r="I5" s="44" t="s">
        <v>1400</v>
      </c>
      <c r="J5" s="46">
        <v>150</v>
      </c>
      <c r="K5" s="69">
        <v>4.5</v>
      </c>
      <c r="O5">
        <v>12</v>
      </c>
      <c r="P5" t="s">
        <v>1709</v>
      </c>
      <c r="Q5">
        <v>163</v>
      </c>
      <c r="R5">
        <v>4.5</v>
      </c>
      <c r="U5">
        <v>5</v>
      </c>
      <c r="V5" s="44" t="s">
        <v>1486</v>
      </c>
      <c r="W5" s="46">
        <v>162</v>
      </c>
      <c r="X5" s="46">
        <v>6.2</v>
      </c>
      <c r="AB5" s="46"/>
      <c r="AC5" s="46"/>
      <c r="AD5" s="46"/>
      <c r="AG5">
        <v>3</v>
      </c>
      <c r="AH5">
        <v>2024</v>
      </c>
      <c r="AI5">
        <f t="shared" si="0"/>
        <v>1</v>
      </c>
      <c r="AJ5">
        <f t="shared" si="1"/>
        <v>1</v>
      </c>
      <c r="AK5">
        <f t="shared" si="2"/>
        <v>1</v>
      </c>
      <c r="AL5">
        <f t="shared" si="3"/>
        <v>475</v>
      </c>
      <c r="AM5" s="99"/>
    </row>
    <row r="6" spans="1:43" x14ac:dyDescent="0.25">
      <c r="B6" s="44" t="s">
        <v>1706</v>
      </c>
      <c r="C6" s="44" t="s">
        <v>318</v>
      </c>
      <c r="D6" s="46">
        <v>50</v>
      </c>
      <c r="E6" s="44" t="s">
        <v>94</v>
      </c>
      <c r="F6" s="46">
        <v>20</v>
      </c>
      <c r="G6" s="44" t="s">
        <v>1711</v>
      </c>
      <c r="H6" s="46">
        <v>8</v>
      </c>
      <c r="I6" s="44" t="s">
        <v>1486</v>
      </c>
      <c r="J6" s="46">
        <v>162</v>
      </c>
      <c r="K6" s="69">
        <v>6.2</v>
      </c>
      <c r="AG6">
        <v>3</v>
      </c>
      <c r="AH6">
        <v>2023</v>
      </c>
      <c r="AI6">
        <f t="shared" si="0"/>
        <v>1</v>
      </c>
      <c r="AJ6">
        <f t="shared" si="1"/>
        <v>1</v>
      </c>
      <c r="AK6">
        <f t="shared" si="2"/>
        <v>1</v>
      </c>
      <c r="AL6">
        <f t="shared" si="3"/>
        <v>106</v>
      </c>
      <c r="AM6" s="99"/>
    </row>
    <row r="7" spans="1:43" x14ac:dyDescent="0.25">
      <c r="B7" s="44" t="s">
        <v>1706</v>
      </c>
      <c r="C7" s="44" t="s">
        <v>138</v>
      </c>
      <c r="D7" s="46">
        <v>50</v>
      </c>
      <c r="E7" s="44" t="s">
        <v>94</v>
      </c>
      <c r="F7" s="46">
        <v>25</v>
      </c>
      <c r="G7" s="44" t="s">
        <v>1712</v>
      </c>
      <c r="H7" s="46">
        <v>8</v>
      </c>
      <c r="I7" s="44" t="s">
        <v>1486</v>
      </c>
      <c r="J7" s="46">
        <v>162</v>
      </c>
      <c r="K7" s="69">
        <v>6.2</v>
      </c>
      <c r="M7" s="44">
        <v>169</v>
      </c>
      <c r="AG7">
        <v>1</v>
      </c>
      <c r="AH7">
        <v>2024</v>
      </c>
      <c r="AI7">
        <f t="shared" si="0"/>
        <v>1</v>
      </c>
      <c r="AJ7">
        <f t="shared" si="1"/>
        <v>1</v>
      </c>
      <c r="AK7">
        <f t="shared" si="2"/>
        <v>1</v>
      </c>
      <c r="AL7">
        <f t="shared" si="3"/>
        <v>290</v>
      </c>
    </row>
    <row r="8" spans="1:43" x14ac:dyDescent="0.25">
      <c r="B8" s="44" t="s">
        <v>1707</v>
      </c>
      <c r="C8" s="44" t="s">
        <v>141</v>
      </c>
      <c r="D8" s="46">
        <v>1310</v>
      </c>
      <c r="E8" s="44" t="s">
        <v>94</v>
      </c>
      <c r="F8" s="46">
        <v>25</v>
      </c>
      <c r="G8" s="44" t="s">
        <v>1713</v>
      </c>
      <c r="H8" s="46">
        <f>168+123</f>
        <v>291</v>
      </c>
      <c r="I8" s="44" t="s">
        <v>1400</v>
      </c>
      <c r="J8" s="46">
        <v>150</v>
      </c>
      <c r="K8" s="69">
        <v>4.5</v>
      </c>
      <c r="AG8">
        <v>3</v>
      </c>
      <c r="AH8">
        <v>2024</v>
      </c>
      <c r="AI8">
        <f t="shared" si="0"/>
        <v>1</v>
      </c>
      <c r="AJ8">
        <f t="shared" si="1"/>
        <v>1</v>
      </c>
      <c r="AK8">
        <f t="shared" si="2"/>
        <v>1</v>
      </c>
      <c r="AL8">
        <f t="shared" si="3"/>
        <v>459</v>
      </c>
    </row>
    <row r="9" spans="1:43" x14ac:dyDescent="0.25">
      <c r="B9" s="44" t="s">
        <v>1707</v>
      </c>
      <c r="C9" s="44" t="s">
        <v>27</v>
      </c>
      <c r="D9" s="46">
        <v>162</v>
      </c>
      <c r="E9" s="44" t="s">
        <v>94</v>
      </c>
      <c r="F9" s="44">
        <v>25</v>
      </c>
      <c r="G9" s="44" t="s">
        <v>1714</v>
      </c>
      <c r="H9" s="46">
        <v>36</v>
      </c>
      <c r="I9" s="44" t="s">
        <v>1400</v>
      </c>
      <c r="J9" s="46">
        <v>150</v>
      </c>
      <c r="K9" s="69">
        <v>4.5</v>
      </c>
      <c r="AG9">
        <v>3</v>
      </c>
      <c r="AH9">
        <v>2023</v>
      </c>
      <c r="AI9">
        <f t="shared" si="0"/>
        <v>1</v>
      </c>
      <c r="AJ9">
        <f t="shared" si="1"/>
        <v>1</v>
      </c>
      <c r="AK9">
        <f t="shared" si="2"/>
        <v>1</v>
      </c>
      <c r="AL9">
        <f t="shared" si="3"/>
        <v>93</v>
      </c>
    </row>
    <row r="10" spans="1:43" x14ac:dyDescent="0.25">
      <c r="B10" s="44" t="s">
        <v>1719</v>
      </c>
      <c r="C10" s="44" t="s">
        <v>27</v>
      </c>
      <c r="D10" s="46">
        <v>155</v>
      </c>
      <c r="E10" s="44" t="s">
        <v>94</v>
      </c>
      <c r="F10" s="44">
        <v>25</v>
      </c>
      <c r="G10" s="46"/>
      <c r="H10" s="46">
        <v>25</v>
      </c>
      <c r="I10" s="44" t="s">
        <v>1486</v>
      </c>
      <c r="J10" s="46">
        <v>162</v>
      </c>
      <c r="K10" s="69">
        <v>6.2</v>
      </c>
      <c r="AG10">
        <v>4</v>
      </c>
      <c r="AH10">
        <v>2023</v>
      </c>
      <c r="AI10">
        <f t="shared" si="0"/>
        <v>1</v>
      </c>
      <c r="AJ10">
        <f t="shared" si="1"/>
        <v>1</v>
      </c>
      <c r="AK10">
        <f t="shared" si="2"/>
        <v>1</v>
      </c>
      <c r="AL10">
        <f t="shared" si="3"/>
        <v>184</v>
      </c>
      <c r="AM10" s="46"/>
      <c r="AN10" s="46"/>
      <c r="AP10" s="46"/>
      <c r="AQ10" s="46"/>
    </row>
    <row r="11" spans="1:43" x14ac:dyDescent="0.25">
      <c r="B11" s="44" t="s">
        <v>1719</v>
      </c>
      <c r="C11" s="44" t="s">
        <v>138</v>
      </c>
      <c r="D11" s="46">
        <v>63</v>
      </c>
      <c r="E11" s="44" t="s">
        <v>93</v>
      </c>
      <c r="F11" s="44">
        <v>20</v>
      </c>
      <c r="G11" s="44" t="s">
        <v>1720</v>
      </c>
      <c r="H11" s="46">
        <v>5</v>
      </c>
      <c r="I11" s="44" t="s">
        <v>1220</v>
      </c>
      <c r="J11" s="46">
        <v>162</v>
      </c>
      <c r="K11" s="69">
        <v>5.6</v>
      </c>
      <c r="O11">
        <v>7</v>
      </c>
      <c r="P11" t="s">
        <v>109</v>
      </c>
      <c r="Q11">
        <v>126</v>
      </c>
      <c r="R11">
        <v>3.45</v>
      </c>
      <c r="U11">
        <v>1</v>
      </c>
      <c r="V11" t="s">
        <v>1234</v>
      </c>
      <c r="W11">
        <v>150</v>
      </c>
      <c r="X11">
        <v>5.6</v>
      </c>
      <c r="AG11">
        <v>1</v>
      </c>
      <c r="AH11">
        <v>2024</v>
      </c>
      <c r="AI11">
        <f t="shared" si="0"/>
        <v>1</v>
      </c>
      <c r="AJ11">
        <f t="shared" si="1"/>
        <v>1</v>
      </c>
      <c r="AK11">
        <f t="shared" si="2"/>
        <v>1</v>
      </c>
      <c r="AL11">
        <f t="shared" si="3"/>
        <v>276</v>
      </c>
      <c r="AM11" s="46"/>
      <c r="AN11" s="46"/>
      <c r="AP11" s="46"/>
      <c r="AQ11" s="46"/>
    </row>
    <row r="12" spans="1:43" x14ac:dyDescent="0.25">
      <c r="B12" s="44" t="s">
        <v>1719</v>
      </c>
      <c r="C12" s="44" t="s">
        <v>166</v>
      </c>
      <c r="D12" s="46">
        <v>140</v>
      </c>
      <c r="E12" s="44" t="s">
        <v>93</v>
      </c>
      <c r="F12" s="44">
        <v>10</v>
      </c>
      <c r="G12" s="44" t="s">
        <v>1721</v>
      </c>
      <c r="H12" s="46">
        <v>20</v>
      </c>
      <c r="I12" s="44" t="s">
        <v>1709</v>
      </c>
      <c r="J12" s="46">
        <v>163</v>
      </c>
      <c r="K12" s="69">
        <v>4.5</v>
      </c>
      <c r="O12">
        <v>11</v>
      </c>
      <c r="P12" t="s">
        <v>1400</v>
      </c>
      <c r="Q12">
        <v>150</v>
      </c>
      <c r="R12">
        <v>4.5</v>
      </c>
      <c r="AG12">
        <v>2</v>
      </c>
      <c r="AH12">
        <v>2024</v>
      </c>
      <c r="AI12">
        <f t="shared" si="0"/>
        <v>1</v>
      </c>
      <c r="AJ12">
        <f t="shared" si="1"/>
        <v>1</v>
      </c>
      <c r="AK12">
        <f t="shared" si="2"/>
        <v>1</v>
      </c>
      <c r="AL12">
        <f t="shared" si="3"/>
        <v>367</v>
      </c>
      <c r="AM12" s="46"/>
      <c r="AN12" s="46"/>
      <c r="AP12" s="1"/>
      <c r="AQ12" s="46"/>
    </row>
    <row r="13" spans="1:43" x14ac:dyDescent="0.25">
      <c r="B13" s="44" t="s">
        <v>1719</v>
      </c>
      <c r="C13" s="44" t="s">
        <v>137</v>
      </c>
      <c r="D13" s="46">
        <v>130</v>
      </c>
      <c r="E13" s="46"/>
      <c r="F13" s="46"/>
      <c r="G13" s="44" t="s">
        <v>1722</v>
      </c>
      <c r="H13" s="46">
        <v>36</v>
      </c>
      <c r="I13" s="44" t="s">
        <v>1565</v>
      </c>
      <c r="J13" s="46">
        <v>155</v>
      </c>
      <c r="K13" s="69">
        <v>3.6</v>
      </c>
      <c r="AG13">
        <v>4</v>
      </c>
      <c r="AH13">
        <v>2023</v>
      </c>
      <c r="AI13">
        <f t="shared" si="0"/>
        <v>1</v>
      </c>
      <c r="AJ13">
        <f t="shared" si="1"/>
        <v>1</v>
      </c>
      <c r="AK13">
        <f t="shared" si="2"/>
        <v>1</v>
      </c>
      <c r="AL13">
        <f t="shared" si="3"/>
        <v>184</v>
      </c>
      <c r="AM13" s="46"/>
      <c r="AN13" s="46"/>
      <c r="AP13" s="1"/>
      <c r="AQ13" s="46"/>
    </row>
    <row r="14" spans="1:43" s="11" customFormat="1" x14ac:dyDescent="0.25">
      <c r="A14" s="11">
        <f>SUM(D2:D14)</f>
        <v>3022</v>
      </c>
      <c r="B14" s="71" t="s">
        <v>1719</v>
      </c>
      <c r="C14" s="71" t="s">
        <v>1247</v>
      </c>
      <c r="D14" s="48">
        <v>370</v>
      </c>
      <c r="E14" s="48"/>
      <c r="G14" s="71" t="s">
        <v>362</v>
      </c>
      <c r="H14" s="48">
        <f>97+71</f>
        <v>168</v>
      </c>
      <c r="I14" s="71" t="s">
        <v>110</v>
      </c>
      <c r="J14" s="48">
        <v>110</v>
      </c>
      <c r="K14" s="70">
        <v>2.2000000000000002</v>
      </c>
      <c r="L14" s="11" t="s">
        <v>637</v>
      </c>
      <c r="AG14" s="11">
        <v>2</v>
      </c>
      <c r="AH14" s="11">
        <v>2025</v>
      </c>
      <c r="AI14" s="11">
        <f t="shared" si="0"/>
        <v>1</v>
      </c>
      <c r="AJ14" s="11">
        <f t="shared" si="1"/>
        <v>1</v>
      </c>
      <c r="AK14">
        <f t="shared" si="2"/>
        <v>1</v>
      </c>
      <c r="AL14">
        <f t="shared" si="3"/>
        <v>732</v>
      </c>
      <c r="AM14" s="48"/>
      <c r="AN14" s="48"/>
      <c r="AP14" s="28"/>
      <c r="AQ14" s="48"/>
    </row>
    <row r="15" spans="1:43" x14ac:dyDescent="0.25">
      <c r="B15" s="44" t="s">
        <v>1723</v>
      </c>
      <c r="C15" s="47" t="s">
        <v>605</v>
      </c>
      <c r="D15" s="46">
        <v>238</v>
      </c>
      <c r="E15" s="44" t="s">
        <v>94</v>
      </c>
      <c r="G15" s="44" t="s">
        <v>1730</v>
      </c>
      <c r="H15" s="46">
        <v>25</v>
      </c>
      <c r="I15" s="44" t="s">
        <v>1481</v>
      </c>
      <c r="J15" s="46">
        <v>174</v>
      </c>
      <c r="K15" s="69">
        <v>9.5</v>
      </c>
      <c r="AG15">
        <v>1</v>
      </c>
      <c r="AH15">
        <v>2025</v>
      </c>
      <c r="AI15">
        <f t="shared" si="0"/>
        <v>1</v>
      </c>
      <c r="AJ15">
        <f t="shared" si="1"/>
        <v>1</v>
      </c>
      <c r="AK15">
        <f t="shared" si="2"/>
        <v>1</v>
      </c>
      <c r="AL15">
        <f t="shared" si="3"/>
        <v>617</v>
      </c>
      <c r="AM15" s="46"/>
      <c r="AN15" s="46"/>
      <c r="AP15" s="1"/>
      <c r="AQ15" s="46"/>
    </row>
    <row r="16" spans="1:43" x14ac:dyDescent="0.25">
      <c r="B16" s="44" t="s">
        <v>1724</v>
      </c>
      <c r="C16" s="44" t="s">
        <v>27</v>
      </c>
      <c r="D16" s="46">
        <v>72</v>
      </c>
      <c r="E16" s="44" t="s">
        <v>94</v>
      </c>
      <c r="F16">
        <v>30</v>
      </c>
      <c r="G16" s="46"/>
      <c r="H16" s="46">
        <v>16</v>
      </c>
      <c r="I16" s="44" t="s">
        <v>1400</v>
      </c>
      <c r="J16" s="46">
        <v>150</v>
      </c>
      <c r="K16" s="69">
        <v>4.5</v>
      </c>
      <c r="AG16">
        <v>1</v>
      </c>
      <c r="AH16">
        <v>2024</v>
      </c>
      <c r="AI16">
        <f t="shared" si="0"/>
        <v>1</v>
      </c>
      <c r="AJ16">
        <f t="shared" si="1"/>
        <v>1</v>
      </c>
      <c r="AK16">
        <f t="shared" si="2"/>
        <v>1</v>
      </c>
      <c r="AL16">
        <f t="shared" si="3"/>
        <v>222</v>
      </c>
      <c r="AM16" s="46"/>
      <c r="AN16" s="46"/>
      <c r="AP16" s="1"/>
      <c r="AQ16" s="46"/>
    </row>
    <row r="17" spans="1:43" x14ac:dyDescent="0.25">
      <c r="B17" s="44" t="s">
        <v>1724</v>
      </c>
      <c r="C17" s="44" t="s">
        <v>176</v>
      </c>
      <c r="D17" s="46">
        <v>37</v>
      </c>
      <c r="E17" s="44" t="s">
        <v>93</v>
      </c>
      <c r="F17" s="46">
        <v>10</v>
      </c>
      <c r="G17" s="46"/>
      <c r="H17" s="46">
        <v>6</v>
      </c>
      <c r="I17" s="44" t="s">
        <v>1486</v>
      </c>
      <c r="J17" s="46">
        <v>162</v>
      </c>
      <c r="K17" s="69">
        <v>6.2</v>
      </c>
      <c r="AG17">
        <v>4</v>
      </c>
      <c r="AH17">
        <v>2023</v>
      </c>
      <c r="AI17">
        <f t="shared" si="0"/>
        <v>1</v>
      </c>
      <c r="AJ17">
        <f t="shared" si="1"/>
        <v>1</v>
      </c>
      <c r="AK17">
        <f t="shared" si="2"/>
        <v>1</v>
      </c>
      <c r="AL17">
        <f t="shared" si="3"/>
        <v>130</v>
      </c>
      <c r="AM17" s="46"/>
      <c r="AN17" s="46"/>
      <c r="AP17" s="1"/>
      <c r="AQ17" s="46"/>
    </row>
    <row r="18" spans="1:43" x14ac:dyDescent="0.25">
      <c r="B18" s="44" t="s">
        <v>1725</v>
      </c>
      <c r="C18" s="44" t="s">
        <v>318</v>
      </c>
      <c r="D18" s="46">
        <v>161</v>
      </c>
      <c r="E18" s="44" t="s">
        <v>94</v>
      </c>
      <c r="F18" s="46">
        <v>20</v>
      </c>
      <c r="G18" s="44" t="s">
        <v>1469</v>
      </c>
      <c r="H18" s="46">
        <f>17+9</f>
        <v>26</v>
      </c>
      <c r="I18" s="44" t="s">
        <v>1486</v>
      </c>
      <c r="J18" s="46">
        <v>162</v>
      </c>
      <c r="K18" s="69">
        <v>6.2</v>
      </c>
      <c r="AB18" s="46"/>
      <c r="AC18" s="46"/>
      <c r="AD18" s="46"/>
      <c r="AG18">
        <v>3</v>
      </c>
      <c r="AH18">
        <v>2024</v>
      </c>
      <c r="AI18">
        <f t="shared" si="0"/>
        <v>1</v>
      </c>
      <c r="AJ18">
        <f t="shared" si="1"/>
        <v>1</v>
      </c>
      <c r="AK18">
        <f t="shared" si="2"/>
        <v>1</v>
      </c>
      <c r="AL18">
        <f t="shared" si="3"/>
        <v>389</v>
      </c>
      <c r="AM18" s="46"/>
      <c r="AN18" s="46"/>
    </row>
    <row r="19" spans="1:43" x14ac:dyDescent="0.25">
      <c r="B19" s="44" t="s">
        <v>1726</v>
      </c>
      <c r="C19" s="44" t="s">
        <v>165</v>
      </c>
      <c r="D19" s="46">
        <v>221</v>
      </c>
      <c r="E19" s="44" t="s">
        <v>94</v>
      </c>
      <c r="F19" s="46">
        <v>30</v>
      </c>
      <c r="G19" s="44" t="s">
        <v>1731</v>
      </c>
      <c r="H19" s="46">
        <v>49</v>
      </c>
      <c r="I19" s="44" t="s">
        <v>1559</v>
      </c>
      <c r="J19" s="46">
        <v>136</v>
      </c>
      <c r="K19" s="69">
        <v>4.5</v>
      </c>
      <c r="AG19">
        <v>2</v>
      </c>
      <c r="AH19">
        <v>2024</v>
      </c>
      <c r="AI19">
        <f t="shared" si="0"/>
        <v>1</v>
      </c>
      <c r="AJ19">
        <f t="shared" si="1"/>
        <v>1</v>
      </c>
      <c r="AK19">
        <f t="shared" si="2"/>
        <v>1</v>
      </c>
      <c r="AL19">
        <f t="shared" si="3"/>
        <v>297</v>
      </c>
      <c r="AM19" s="46"/>
      <c r="AN19" s="46"/>
    </row>
    <row r="20" spans="1:43" x14ac:dyDescent="0.25">
      <c r="B20" s="44" t="s">
        <v>1727</v>
      </c>
      <c r="C20" s="44" t="s">
        <v>1247</v>
      </c>
      <c r="D20" s="46">
        <v>139</v>
      </c>
      <c r="E20" s="44" t="s">
        <v>94</v>
      </c>
      <c r="F20" s="46">
        <v>20</v>
      </c>
      <c r="G20" s="44" t="s">
        <v>1732</v>
      </c>
      <c r="H20" s="46">
        <v>68</v>
      </c>
      <c r="I20" s="44" t="s">
        <v>110</v>
      </c>
      <c r="J20" s="46">
        <v>110</v>
      </c>
      <c r="K20" s="69">
        <v>2.0499999999999998</v>
      </c>
      <c r="AG20">
        <v>2</v>
      </c>
      <c r="AH20">
        <v>2024</v>
      </c>
      <c r="AI20">
        <f t="shared" si="0"/>
        <v>1</v>
      </c>
      <c r="AJ20">
        <f t="shared" si="1"/>
        <v>1</v>
      </c>
      <c r="AK20">
        <f t="shared" si="2"/>
        <v>1</v>
      </c>
      <c r="AL20">
        <f t="shared" si="3"/>
        <v>290</v>
      </c>
      <c r="AM20" s="1"/>
      <c r="AN20" s="46"/>
    </row>
    <row r="21" spans="1:43" x14ac:dyDescent="0.25">
      <c r="B21" s="44" t="s">
        <v>1728</v>
      </c>
      <c r="C21" s="145" t="s">
        <v>146</v>
      </c>
      <c r="D21" s="46">
        <v>27</v>
      </c>
      <c r="E21" s="44" t="s">
        <v>94</v>
      </c>
      <c r="F21" s="46">
        <v>35</v>
      </c>
      <c r="G21" s="44" t="s">
        <v>1733</v>
      </c>
      <c r="H21" s="46">
        <v>6</v>
      </c>
      <c r="I21" s="44" t="s">
        <v>1400</v>
      </c>
      <c r="J21" s="46">
        <v>150</v>
      </c>
      <c r="K21" s="69">
        <v>4.5</v>
      </c>
      <c r="AG21">
        <v>2</v>
      </c>
      <c r="AH21">
        <v>2024</v>
      </c>
      <c r="AI21">
        <f t="shared" si="0"/>
        <v>1</v>
      </c>
      <c r="AJ21">
        <f t="shared" si="1"/>
        <v>1</v>
      </c>
      <c r="AK21">
        <f t="shared" si="2"/>
        <v>1</v>
      </c>
      <c r="AL21">
        <f t="shared" si="3"/>
        <v>278</v>
      </c>
      <c r="AM21" s="1"/>
      <c r="AN21" s="46"/>
    </row>
    <row r="22" spans="1:43" x14ac:dyDescent="0.25">
      <c r="B22" s="44" t="s">
        <v>1729</v>
      </c>
      <c r="C22" s="44" t="s">
        <v>148</v>
      </c>
      <c r="D22" s="46">
        <v>45</v>
      </c>
      <c r="E22" s="44" t="s">
        <v>93</v>
      </c>
      <c r="F22" s="46"/>
      <c r="G22" s="44" t="s">
        <v>220</v>
      </c>
      <c r="H22" s="46">
        <v>10</v>
      </c>
      <c r="I22" s="44" t="s">
        <v>1559</v>
      </c>
      <c r="J22" s="46">
        <v>136</v>
      </c>
      <c r="K22" s="69">
        <v>4.5</v>
      </c>
      <c r="AG22">
        <v>3</v>
      </c>
      <c r="AH22">
        <v>2024</v>
      </c>
      <c r="AI22">
        <f t="shared" si="0"/>
        <v>1</v>
      </c>
      <c r="AJ22">
        <f t="shared" si="1"/>
        <v>1</v>
      </c>
      <c r="AK22">
        <f t="shared" si="2"/>
        <v>1</v>
      </c>
      <c r="AL22">
        <f t="shared" si="3"/>
        <v>367</v>
      </c>
      <c r="AM22" s="1"/>
      <c r="AN22" s="46"/>
    </row>
    <row r="23" spans="1:43" x14ac:dyDescent="0.25">
      <c r="B23" s="44" t="s">
        <v>1729</v>
      </c>
      <c r="C23" s="44" t="s">
        <v>146</v>
      </c>
      <c r="D23" s="46">
        <v>74</v>
      </c>
      <c r="E23" s="44" t="s">
        <v>94</v>
      </c>
      <c r="F23" s="46">
        <v>20</v>
      </c>
      <c r="G23" s="44" t="s">
        <v>1467</v>
      </c>
      <c r="H23" s="46">
        <v>12</v>
      </c>
      <c r="I23" s="44" t="s">
        <v>1486</v>
      </c>
      <c r="J23" s="46">
        <v>162</v>
      </c>
      <c r="K23" s="69">
        <v>6.2</v>
      </c>
      <c r="AG23">
        <v>2</v>
      </c>
      <c r="AH23">
        <v>2024</v>
      </c>
      <c r="AI23">
        <f t="shared" si="0"/>
        <v>1</v>
      </c>
      <c r="AJ23">
        <f t="shared" si="1"/>
        <v>1</v>
      </c>
      <c r="AK23">
        <f t="shared" si="2"/>
        <v>1</v>
      </c>
      <c r="AL23">
        <f t="shared" si="3"/>
        <v>276</v>
      </c>
      <c r="AM23" s="1"/>
      <c r="AN23" s="46"/>
    </row>
    <row r="24" spans="1:43" x14ac:dyDescent="0.25">
      <c r="B24" s="44" t="s">
        <v>1729</v>
      </c>
      <c r="C24" s="44" t="s">
        <v>166</v>
      </c>
      <c r="D24" s="46">
        <v>151</v>
      </c>
      <c r="E24" s="44" t="s">
        <v>94</v>
      </c>
      <c r="F24" s="46">
        <v>15</v>
      </c>
      <c r="G24" s="46"/>
      <c r="H24" s="46">
        <v>26</v>
      </c>
      <c r="I24" s="44" t="s">
        <v>1559</v>
      </c>
      <c r="J24" s="46">
        <v>136</v>
      </c>
      <c r="K24" s="69">
        <v>4.5</v>
      </c>
      <c r="AG24">
        <v>3</v>
      </c>
      <c r="AH24">
        <v>2024</v>
      </c>
      <c r="AI24">
        <f t="shared" si="0"/>
        <v>1</v>
      </c>
      <c r="AJ24">
        <f t="shared" si="1"/>
        <v>1</v>
      </c>
      <c r="AK24">
        <f t="shared" si="2"/>
        <v>1</v>
      </c>
      <c r="AL24">
        <f t="shared" si="3"/>
        <v>367</v>
      </c>
      <c r="AM24" s="1"/>
      <c r="AN24" s="46"/>
    </row>
    <row r="25" spans="1:43" x14ac:dyDescent="0.25">
      <c r="B25" s="44" t="s">
        <v>1729</v>
      </c>
      <c r="C25" s="145" t="s">
        <v>605</v>
      </c>
      <c r="D25" s="46">
        <v>55</v>
      </c>
      <c r="E25" s="44" t="s">
        <v>94</v>
      </c>
      <c r="F25" s="46">
        <v>20</v>
      </c>
      <c r="G25" s="44" t="s">
        <v>1765</v>
      </c>
      <c r="H25" s="46">
        <v>13</v>
      </c>
      <c r="I25" s="44" t="s">
        <v>1156</v>
      </c>
      <c r="J25" s="46">
        <v>117</v>
      </c>
      <c r="K25" s="69">
        <v>4.2</v>
      </c>
      <c r="M25" s="44">
        <v>112</v>
      </c>
      <c r="AG25">
        <v>4</v>
      </c>
      <c r="AH25">
        <v>2024</v>
      </c>
      <c r="AI25">
        <f t="shared" si="0"/>
        <v>1</v>
      </c>
      <c r="AJ25">
        <f t="shared" si="1"/>
        <v>1</v>
      </c>
      <c r="AK25">
        <f t="shared" si="2"/>
        <v>1</v>
      </c>
      <c r="AL25">
        <f t="shared" si="3"/>
        <v>459</v>
      </c>
      <c r="AM25" s="1"/>
      <c r="AN25" s="46"/>
    </row>
    <row r="26" spans="1:43" x14ac:dyDescent="0.25">
      <c r="B26" s="44" t="s">
        <v>1729</v>
      </c>
      <c r="C26" s="44" t="s">
        <v>166</v>
      </c>
      <c r="D26" s="46">
        <v>100</v>
      </c>
      <c r="E26" s="44" t="s">
        <v>94</v>
      </c>
      <c r="F26" s="46">
        <v>25</v>
      </c>
      <c r="H26" s="1">
        <v>20</v>
      </c>
      <c r="I26" s="44" t="s">
        <v>619</v>
      </c>
      <c r="J26" s="46">
        <v>150</v>
      </c>
      <c r="K26" s="69">
        <v>4.2</v>
      </c>
      <c r="O26">
        <v>4</v>
      </c>
      <c r="P26" t="s">
        <v>619</v>
      </c>
      <c r="Q26">
        <v>150</v>
      </c>
      <c r="R26">
        <v>4.2</v>
      </c>
      <c r="S26" t="s">
        <v>1766</v>
      </c>
      <c r="AG26">
        <v>2</v>
      </c>
      <c r="AH26">
        <v>2024</v>
      </c>
      <c r="AI26">
        <f t="shared" si="0"/>
        <v>1</v>
      </c>
      <c r="AJ26">
        <f t="shared" si="1"/>
        <v>1</v>
      </c>
      <c r="AK26">
        <f t="shared" si="2"/>
        <v>1</v>
      </c>
      <c r="AL26">
        <f t="shared" si="3"/>
        <v>276</v>
      </c>
      <c r="AM26" s="1"/>
      <c r="AN26" s="46"/>
    </row>
    <row r="27" spans="1:43" x14ac:dyDescent="0.25">
      <c r="B27" s="44" t="s">
        <v>1729</v>
      </c>
      <c r="C27" s="44" t="s">
        <v>1247</v>
      </c>
      <c r="D27" s="46">
        <v>423</v>
      </c>
      <c r="E27" s="44" t="s">
        <v>94</v>
      </c>
      <c r="F27" s="46">
        <v>20</v>
      </c>
      <c r="H27" s="1">
        <f>D27/4</f>
        <v>105.75</v>
      </c>
      <c r="I27" s="44" t="s">
        <v>379</v>
      </c>
      <c r="J27" s="46"/>
      <c r="K27" s="69"/>
      <c r="AG27">
        <v>1</v>
      </c>
      <c r="AH27">
        <v>2024</v>
      </c>
      <c r="AI27">
        <f t="shared" si="0"/>
        <v>0</v>
      </c>
      <c r="AJ27">
        <f t="shared" si="1"/>
        <v>1</v>
      </c>
      <c r="AK27">
        <f t="shared" si="2"/>
        <v>1</v>
      </c>
      <c r="AL27">
        <f t="shared" si="3"/>
        <v>185</v>
      </c>
      <c r="AM27" s="1"/>
      <c r="AN27" s="46"/>
    </row>
    <row r="28" spans="1:43" s="11" customFormat="1" x14ac:dyDescent="0.25">
      <c r="A28" s="11">
        <f>SUM(D15:D28)</f>
        <v>1802</v>
      </c>
      <c r="B28" s="71" t="s">
        <v>1729</v>
      </c>
      <c r="C28" s="71" t="s">
        <v>1247</v>
      </c>
      <c r="D28" s="48">
        <v>59</v>
      </c>
      <c r="E28" s="71" t="s">
        <v>94</v>
      </c>
      <c r="G28" s="71" t="s">
        <v>1767</v>
      </c>
      <c r="H28" s="28">
        <v>14</v>
      </c>
      <c r="I28" s="71" t="s">
        <v>619</v>
      </c>
      <c r="J28" s="48">
        <v>150</v>
      </c>
      <c r="K28" s="70">
        <v>4.2</v>
      </c>
      <c r="AG28" s="11">
        <v>2</v>
      </c>
      <c r="AH28" s="11">
        <v>2024</v>
      </c>
      <c r="AI28" s="11">
        <f t="shared" si="0"/>
        <v>1</v>
      </c>
      <c r="AJ28" s="11">
        <f t="shared" si="1"/>
        <v>1</v>
      </c>
      <c r="AK28">
        <f t="shared" si="2"/>
        <v>1</v>
      </c>
      <c r="AL28">
        <f t="shared" si="3"/>
        <v>276</v>
      </c>
      <c r="AM28" s="28"/>
    </row>
    <row r="29" spans="1:43" x14ac:dyDescent="0.25">
      <c r="B29" s="44" t="s">
        <v>1734</v>
      </c>
      <c r="C29" s="44" t="s">
        <v>1247</v>
      </c>
      <c r="D29" s="46">
        <v>189</v>
      </c>
      <c r="E29" s="44" t="s">
        <v>94</v>
      </c>
      <c r="F29" s="46"/>
      <c r="G29" s="46"/>
      <c r="H29" s="1">
        <v>45</v>
      </c>
      <c r="I29" s="44" t="s">
        <v>619</v>
      </c>
      <c r="J29" s="46">
        <v>150</v>
      </c>
      <c r="K29" s="69">
        <v>4.2</v>
      </c>
      <c r="AG29">
        <v>1</v>
      </c>
      <c r="AH29">
        <v>2024</v>
      </c>
      <c r="AI29">
        <f t="shared" si="0"/>
        <v>1</v>
      </c>
      <c r="AJ29">
        <f t="shared" si="1"/>
        <v>1</v>
      </c>
      <c r="AK29">
        <f t="shared" si="2"/>
        <v>1</v>
      </c>
      <c r="AL29">
        <f t="shared" si="3"/>
        <v>151</v>
      </c>
      <c r="AM29" s="1"/>
      <c r="AN29" s="46"/>
    </row>
    <row r="30" spans="1:43" x14ac:dyDescent="0.25">
      <c r="B30" s="44" t="s">
        <v>1735</v>
      </c>
      <c r="C30" s="44" t="s">
        <v>166</v>
      </c>
      <c r="D30" s="46">
        <v>50</v>
      </c>
      <c r="E30" s="44" t="s">
        <v>93</v>
      </c>
      <c r="F30" s="46">
        <v>45</v>
      </c>
      <c r="G30" s="44" t="s">
        <v>1768</v>
      </c>
      <c r="H30" s="1">
        <v>11</v>
      </c>
      <c r="I30" s="44" t="s">
        <v>1559</v>
      </c>
      <c r="J30" s="46">
        <v>136</v>
      </c>
      <c r="K30" s="69">
        <v>4.5</v>
      </c>
      <c r="M30" s="46"/>
      <c r="AG30">
        <v>2</v>
      </c>
      <c r="AH30">
        <v>2024</v>
      </c>
      <c r="AI30">
        <f t="shared" si="0"/>
        <v>1</v>
      </c>
      <c r="AJ30">
        <f t="shared" si="1"/>
        <v>1</v>
      </c>
      <c r="AK30">
        <f t="shared" si="2"/>
        <v>1</v>
      </c>
      <c r="AL30">
        <f t="shared" si="3"/>
        <v>237</v>
      </c>
      <c r="AM30" s="1"/>
      <c r="AN30" s="46"/>
    </row>
    <row r="31" spans="1:43" x14ac:dyDescent="0.25">
      <c r="B31" s="44" t="s">
        <v>1736</v>
      </c>
      <c r="C31" s="44" t="s">
        <v>45</v>
      </c>
      <c r="D31" s="46">
        <v>140</v>
      </c>
      <c r="E31" s="44" t="s">
        <v>94</v>
      </c>
      <c r="F31" s="46">
        <v>10</v>
      </c>
      <c r="G31" s="44" t="s">
        <v>1376</v>
      </c>
      <c r="H31" s="1">
        <v>31</v>
      </c>
      <c r="I31" s="44" t="s">
        <v>1400</v>
      </c>
      <c r="J31" s="46">
        <v>150</v>
      </c>
      <c r="K31" s="69">
        <v>4.5</v>
      </c>
      <c r="AG31">
        <v>2</v>
      </c>
      <c r="AH31">
        <v>2024</v>
      </c>
      <c r="AI31">
        <f t="shared" si="0"/>
        <v>1</v>
      </c>
      <c r="AJ31">
        <f t="shared" si="1"/>
        <v>1</v>
      </c>
      <c r="AK31">
        <f t="shared" si="2"/>
        <v>1</v>
      </c>
      <c r="AL31">
        <f t="shared" si="3"/>
        <v>230</v>
      </c>
      <c r="AM31" s="1"/>
      <c r="AN31" s="46"/>
    </row>
    <row r="32" spans="1:43" x14ac:dyDescent="0.25">
      <c r="B32" s="44" t="s">
        <v>1737</v>
      </c>
      <c r="C32" s="44" t="s">
        <v>1247</v>
      </c>
      <c r="D32" s="46">
        <v>288</v>
      </c>
      <c r="E32" s="44" t="s">
        <v>94</v>
      </c>
      <c r="F32" s="46"/>
      <c r="G32" s="46"/>
      <c r="H32" s="1">
        <v>64</v>
      </c>
      <c r="I32" s="44" t="s">
        <v>1400</v>
      </c>
      <c r="J32" s="46">
        <v>150</v>
      </c>
      <c r="K32" s="69">
        <v>4.5</v>
      </c>
      <c r="AG32">
        <v>2</v>
      </c>
      <c r="AH32">
        <v>2024</v>
      </c>
      <c r="AI32">
        <f t="shared" si="0"/>
        <v>1</v>
      </c>
      <c r="AJ32">
        <f t="shared" si="1"/>
        <v>1</v>
      </c>
      <c r="AK32">
        <f t="shared" si="2"/>
        <v>1</v>
      </c>
      <c r="AL32">
        <f t="shared" si="3"/>
        <v>223</v>
      </c>
      <c r="AM32" s="1"/>
      <c r="AN32" s="46"/>
    </row>
    <row r="33" spans="1:40" x14ac:dyDescent="0.25">
      <c r="A33" s="40"/>
      <c r="B33" s="44" t="s">
        <v>1738</v>
      </c>
      <c r="C33" s="44" t="s">
        <v>1247</v>
      </c>
      <c r="D33" s="46">
        <v>158</v>
      </c>
      <c r="E33" s="44" t="s">
        <v>94</v>
      </c>
      <c r="F33" s="46">
        <v>10</v>
      </c>
      <c r="G33" s="46"/>
      <c r="H33" s="1">
        <v>72</v>
      </c>
      <c r="I33" s="44" t="s">
        <v>574</v>
      </c>
      <c r="J33" s="46">
        <v>120</v>
      </c>
      <c r="K33" s="69">
        <v>2.2000000000000002</v>
      </c>
      <c r="AG33">
        <v>4</v>
      </c>
      <c r="AH33">
        <v>2023</v>
      </c>
      <c r="AI33">
        <f t="shared" si="0"/>
        <v>1</v>
      </c>
      <c r="AJ33">
        <f t="shared" si="1"/>
        <v>1</v>
      </c>
      <c r="AK33">
        <f t="shared" si="2"/>
        <v>1</v>
      </c>
      <c r="AL33">
        <f t="shared" si="3"/>
        <v>39</v>
      </c>
      <c r="AM33" s="1"/>
      <c r="AN33" s="46"/>
    </row>
    <row r="34" spans="1:40" x14ac:dyDescent="0.25">
      <c r="B34" s="44" t="s">
        <v>1739</v>
      </c>
      <c r="C34" s="44" t="s">
        <v>138</v>
      </c>
      <c r="D34" s="46">
        <v>42</v>
      </c>
      <c r="E34" s="44" t="s">
        <v>93</v>
      </c>
      <c r="F34" s="46">
        <v>20</v>
      </c>
      <c r="G34" s="46"/>
      <c r="H34" s="1">
        <v>6</v>
      </c>
      <c r="I34" s="44" t="s">
        <v>1664</v>
      </c>
      <c r="J34" s="46">
        <v>150</v>
      </c>
      <c r="K34" s="69">
        <v>6</v>
      </c>
      <c r="O34">
        <v>1</v>
      </c>
      <c r="P34" t="s">
        <v>1486</v>
      </c>
      <c r="Q34">
        <v>162</v>
      </c>
      <c r="R34">
        <v>6</v>
      </c>
      <c r="S34" t="s">
        <v>1769</v>
      </c>
      <c r="AG34">
        <v>1</v>
      </c>
      <c r="AH34">
        <v>2024</v>
      </c>
      <c r="AI34">
        <f t="shared" si="0"/>
        <v>1</v>
      </c>
      <c r="AJ34">
        <f t="shared" ref="AJ34:AJ65" si="4">COUNTIF($C$157:$C$180,C34)</f>
        <v>1</v>
      </c>
      <c r="AK34">
        <f t="shared" si="2"/>
        <v>1</v>
      </c>
      <c r="AL34">
        <f t="shared" si="3"/>
        <v>122</v>
      </c>
      <c r="AM34" s="28"/>
      <c r="AN34" s="48"/>
    </row>
    <row r="35" spans="1:40" x14ac:dyDescent="0.25">
      <c r="A35" s="40"/>
      <c r="B35" s="44" t="s">
        <v>1739</v>
      </c>
      <c r="C35" s="44" t="s">
        <v>138</v>
      </c>
      <c r="D35" s="46">
        <v>54</v>
      </c>
      <c r="E35" s="44" t="s">
        <v>94</v>
      </c>
      <c r="F35" s="46">
        <v>25</v>
      </c>
      <c r="G35" s="44" t="s">
        <v>1770</v>
      </c>
      <c r="H35" s="1">
        <v>9</v>
      </c>
      <c r="I35" s="44" t="s">
        <v>1486</v>
      </c>
      <c r="J35" s="46">
        <v>162</v>
      </c>
      <c r="K35" s="69">
        <v>6</v>
      </c>
      <c r="L35" t="s">
        <v>1769</v>
      </c>
      <c r="O35" s="40"/>
      <c r="P35" s="40"/>
      <c r="Q35" s="40"/>
      <c r="R35" s="40"/>
      <c r="S35" s="40"/>
      <c r="T35" s="40"/>
      <c r="U35" s="40"/>
      <c r="V35" s="40"/>
      <c r="W35" s="40"/>
      <c r="X35" s="40"/>
      <c r="Y35" s="40"/>
      <c r="Z35" s="40"/>
      <c r="AA35" s="40"/>
      <c r="AB35" s="40"/>
      <c r="AC35" s="40"/>
      <c r="AD35" s="40"/>
      <c r="AE35" s="40"/>
      <c r="AF35" s="40"/>
      <c r="AG35" s="40">
        <v>3</v>
      </c>
      <c r="AH35">
        <v>2024</v>
      </c>
      <c r="AI35">
        <f t="shared" si="0"/>
        <v>1</v>
      </c>
      <c r="AJ35">
        <f t="shared" si="4"/>
        <v>1</v>
      </c>
      <c r="AK35">
        <f t="shared" si="2"/>
        <v>1</v>
      </c>
      <c r="AL35">
        <f t="shared" si="3"/>
        <v>304</v>
      </c>
    </row>
    <row r="36" spans="1:40" x14ac:dyDescent="0.25">
      <c r="A36" s="40"/>
      <c r="B36" s="44" t="s">
        <v>1740</v>
      </c>
      <c r="C36" s="44" t="s">
        <v>1247</v>
      </c>
      <c r="D36" s="46">
        <v>243</v>
      </c>
      <c r="E36" s="44" t="s">
        <v>94</v>
      </c>
      <c r="G36" s="44" t="s">
        <v>1771</v>
      </c>
      <c r="H36" s="1">
        <v>54</v>
      </c>
      <c r="I36" s="44" t="s">
        <v>1709</v>
      </c>
      <c r="J36" s="46">
        <v>163</v>
      </c>
      <c r="K36" s="69">
        <v>4.5</v>
      </c>
      <c r="O36" s="40"/>
      <c r="P36" s="40"/>
      <c r="Q36" s="40"/>
      <c r="R36" s="40"/>
      <c r="S36" s="40"/>
      <c r="T36" s="40"/>
      <c r="U36" s="40"/>
      <c r="V36" s="40"/>
      <c r="W36" s="40"/>
      <c r="X36" s="40"/>
      <c r="Y36" s="40"/>
      <c r="Z36" s="40"/>
      <c r="AA36" s="40"/>
      <c r="AB36" s="40"/>
      <c r="AC36" s="40"/>
      <c r="AD36" s="40"/>
      <c r="AE36" s="40"/>
      <c r="AF36" s="40"/>
      <c r="AG36" s="40">
        <v>2</v>
      </c>
      <c r="AH36">
        <v>2024</v>
      </c>
      <c r="AI36">
        <f t="shared" si="0"/>
        <v>1</v>
      </c>
      <c r="AJ36">
        <f t="shared" si="4"/>
        <v>1</v>
      </c>
      <c r="AK36">
        <f t="shared" si="2"/>
        <v>1</v>
      </c>
      <c r="AL36">
        <f t="shared" si="3"/>
        <v>201</v>
      </c>
    </row>
    <row r="37" spans="1:40" x14ac:dyDescent="0.25">
      <c r="A37" s="40"/>
      <c r="B37" s="44" t="s">
        <v>1741</v>
      </c>
      <c r="C37" s="44" t="s">
        <v>163</v>
      </c>
      <c r="D37" s="46">
        <v>27</v>
      </c>
      <c r="E37" s="44" t="s">
        <v>94</v>
      </c>
      <c r="F37" s="46"/>
      <c r="G37" s="44" t="s">
        <v>1772</v>
      </c>
      <c r="H37" s="1">
        <v>6</v>
      </c>
      <c r="I37" s="44" t="s">
        <v>1559</v>
      </c>
      <c r="J37" s="46">
        <v>136</v>
      </c>
      <c r="K37" s="69">
        <v>4.5</v>
      </c>
      <c r="O37" s="40"/>
      <c r="P37" s="40"/>
      <c r="Q37" s="40"/>
      <c r="R37" s="40"/>
      <c r="S37" s="40"/>
      <c r="T37" s="40"/>
      <c r="U37" s="40"/>
      <c r="V37" s="40"/>
      <c r="W37" s="40"/>
      <c r="X37" s="40"/>
      <c r="Y37" s="40"/>
      <c r="Z37" s="40"/>
      <c r="AA37" s="40"/>
      <c r="AB37" s="40"/>
      <c r="AC37" s="40"/>
      <c r="AD37" s="40"/>
      <c r="AE37" s="40"/>
      <c r="AF37" s="40"/>
      <c r="AG37" s="40">
        <v>4</v>
      </c>
      <c r="AH37">
        <v>2024</v>
      </c>
      <c r="AI37">
        <f t="shared" si="0"/>
        <v>1</v>
      </c>
      <c r="AJ37">
        <f t="shared" si="4"/>
        <v>1</v>
      </c>
      <c r="AK37">
        <f t="shared" si="2"/>
        <v>1</v>
      </c>
      <c r="AL37">
        <f t="shared" si="3"/>
        <v>378</v>
      </c>
    </row>
    <row r="38" spans="1:40" x14ac:dyDescent="0.25">
      <c r="B38" s="44" t="s">
        <v>1742</v>
      </c>
      <c r="C38" t="s">
        <v>145</v>
      </c>
      <c r="D38" s="46">
        <v>46</v>
      </c>
      <c r="E38" s="44" t="s">
        <v>93</v>
      </c>
      <c r="F38" s="46">
        <v>25</v>
      </c>
      <c r="G38" s="46"/>
      <c r="H38" s="1">
        <v>11</v>
      </c>
      <c r="I38" s="44" t="s">
        <v>121</v>
      </c>
      <c r="J38" s="46">
        <v>136</v>
      </c>
      <c r="K38" s="69">
        <v>4.2</v>
      </c>
      <c r="O38" s="40"/>
      <c r="P38" s="40"/>
      <c r="Q38" s="40"/>
      <c r="R38" s="40"/>
      <c r="S38" s="40"/>
      <c r="T38" s="40"/>
      <c r="U38" s="40"/>
      <c r="V38" s="40"/>
      <c r="W38" s="40"/>
      <c r="X38" s="40"/>
      <c r="Y38" s="40"/>
      <c r="Z38" s="40"/>
      <c r="AA38" s="40"/>
      <c r="AB38" s="40"/>
      <c r="AC38" s="40"/>
      <c r="AD38" s="40"/>
      <c r="AE38" s="40"/>
      <c r="AF38" s="40"/>
      <c r="AG38" s="40">
        <v>3</v>
      </c>
      <c r="AH38">
        <v>2024</v>
      </c>
      <c r="AI38">
        <f t="shared" si="0"/>
        <v>1</v>
      </c>
      <c r="AJ38">
        <f t="shared" si="4"/>
        <v>1</v>
      </c>
      <c r="AK38">
        <f t="shared" si="2"/>
        <v>1</v>
      </c>
      <c r="AL38">
        <f t="shared" si="3"/>
        <v>285</v>
      </c>
    </row>
    <row r="39" spans="1:40" x14ac:dyDescent="0.25">
      <c r="A39" s="40"/>
      <c r="B39" s="44" t="s">
        <v>1742</v>
      </c>
      <c r="C39" t="s">
        <v>1247</v>
      </c>
      <c r="D39" s="46">
        <v>126</v>
      </c>
      <c r="E39" s="44" t="s">
        <v>94</v>
      </c>
      <c r="F39" s="46"/>
      <c r="G39" s="44" t="s">
        <v>1773</v>
      </c>
      <c r="H39" s="1">
        <v>30</v>
      </c>
      <c r="I39" s="44" t="s">
        <v>619</v>
      </c>
      <c r="J39" s="46">
        <v>150</v>
      </c>
      <c r="K39" s="69">
        <v>4.2</v>
      </c>
      <c r="O39" s="40"/>
      <c r="P39" s="40"/>
      <c r="Q39" s="40"/>
      <c r="R39" s="40"/>
      <c r="S39" s="40"/>
      <c r="T39" s="40"/>
      <c r="U39" s="40"/>
      <c r="V39" s="40"/>
      <c r="W39" s="40"/>
      <c r="X39" s="40"/>
      <c r="Y39" s="40"/>
      <c r="Z39" s="40"/>
      <c r="AA39" s="40"/>
      <c r="AB39" s="40"/>
      <c r="AC39" s="40"/>
      <c r="AD39" s="40"/>
      <c r="AE39" s="40"/>
      <c r="AF39" s="40"/>
      <c r="AG39" s="40">
        <v>2</v>
      </c>
      <c r="AH39">
        <v>2024</v>
      </c>
      <c r="AI39">
        <f t="shared" si="0"/>
        <v>1</v>
      </c>
      <c r="AJ39">
        <f t="shared" si="4"/>
        <v>1</v>
      </c>
      <c r="AK39">
        <f t="shared" si="2"/>
        <v>1</v>
      </c>
      <c r="AL39">
        <f t="shared" si="3"/>
        <v>194</v>
      </c>
    </row>
    <row r="40" spans="1:40" x14ac:dyDescent="0.25">
      <c r="A40" s="40"/>
      <c r="B40" s="44" t="s">
        <v>1743</v>
      </c>
      <c r="C40" t="s">
        <v>45</v>
      </c>
      <c r="D40" s="46">
        <v>136</v>
      </c>
      <c r="E40" s="44" t="s">
        <v>94</v>
      </c>
      <c r="F40" s="46"/>
      <c r="G40" s="46"/>
      <c r="H40" s="1">
        <v>22</v>
      </c>
      <c r="I40" s="44" t="s">
        <v>1486</v>
      </c>
      <c r="J40" s="46">
        <v>162</v>
      </c>
      <c r="K40" s="69">
        <v>6.2</v>
      </c>
      <c r="O40" s="40"/>
      <c r="P40" s="40"/>
      <c r="Q40" s="40"/>
      <c r="R40" s="40"/>
      <c r="S40" s="40"/>
      <c r="T40" s="40"/>
      <c r="U40" s="40"/>
      <c r="V40" s="40"/>
      <c r="W40" s="40"/>
      <c r="X40" s="40"/>
      <c r="Y40" s="40"/>
      <c r="Z40" s="40"/>
      <c r="AA40" s="40"/>
      <c r="AB40" s="40"/>
      <c r="AC40" s="40"/>
      <c r="AD40" s="40"/>
      <c r="AE40" s="40"/>
      <c r="AF40" s="40"/>
      <c r="AG40" s="40">
        <v>3</v>
      </c>
      <c r="AH40">
        <v>2024</v>
      </c>
      <c r="AI40">
        <f t="shared" si="0"/>
        <v>1</v>
      </c>
      <c r="AJ40">
        <f t="shared" si="4"/>
        <v>1</v>
      </c>
      <c r="AK40">
        <f t="shared" si="2"/>
        <v>1</v>
      </c>
      <c r="AL40">
        <f t="shared" si="3"/>
        <v>279</v>
      </c>
    </row>
    <row r="41" spans="1:40" x14ac:dyDescent="0.25">
      <c r="B41" s="44" t="s">
        <v>1744</v>
      </c>
      <c r="C41" t="s">
        <v>140</v>
      </c>
      <c r="D41" s="46">
        <v>147</v>
      </c>
      <c r="E41" s="44" t="s">
        <v>94</v>
      </c>
      <c r="F41">
        <v>35</v>
      </c>
      <c r="G41" s="44" t="s">
        <v>1774</v>
      </c>
      <c r="H41" s="1">
        <v>20</v>
      </c>
      <c r="I41" s="44" t="s">
        <v>1486</v>
      </c>
      <c r="J41" s="44">
        <v>162</v>
      </c>
      <c r="K41" s="24">
        <v>6.2</v>
      </c>
      <c r="O41" s="40">
        <v>5</v>
      </c>
      <c r="P41" s="40" t="s">
        <v>1400</v>
      </c>
      <c r="Q41" s="40">
        <v>150</v>
      </c>
      <c r="R41" s="40">
        <v>4.5</v>
      </c>
      <c r="S41" s="40"/>
      <c r="T41" s="40"/>
      <c r="U41" s="40"/>
      <c r="V41" s="40"/>
      <c r="W41" s="40"/>
      <c r="X41" s="40"/>
      <c r="Y41" s="40"/>
      <c r="Z41" s="40"/>
      <c r="AA41" s="40"/>
      <c r="AB41" s="40"/>
      <c r="AC41" s="40"/>
      <c r="AD41" s="40"/>
      <c r="AE41" s="40"/>
      <c r="AF41" s="40"/>
      <c r="AG41" s="40">
        <v>1</v>
      </c>
      <c r="AH41">
        <v>2025</v>
      </c>
      <c r="AI41">
        <f t="shared" si="0"/>
        <v>1</v>
      </c>
      <c r="AJ41">
        <f t="shared" si="4"/>
        <v>1</v>
      </c>
      <c r="AK41">
        <f t="shared" si="2"/>
        <v>1</v>
      </c>
      <c r="AL41">
        <f t="shared" si="3"/>
        <v>461</v>
      </c>
    </row>
    <row r="42" spans="1:40" x14ac:dyDescent="0.25">
      <c r="A42" s="40"/>
      <c r="B42" s="44" t="s">
        <v>1744</v>
      </c>
      <c r="C42" s="146" t="s">
        <v>161</v>
      </c>
      <c r="D42" s="47">
        <v>1140</v>
      </c>
      <c r="E42" s="44" t="s">
        <v>94</v>
      </c>
      <c r="F42" s="46">
        <v>15</v>
      </c>
      <c r="G42" s="44" t="s">
        <v>1775</v>
      </c>
      <c r="H42" s="1">
        <v>76</v>
      </c>
      <c r="I42" s="44" t="s">
        <v>1776</v>
      </c>
      <c r="J42" s="46">
        <v>236</v>
      </c>
      <c r="K42" s="69">
        <v>15</v>
      </c>
      <c r="O42" s="40"/>
      <c r="P42" s="40"/>
      <c r="Q42" s="40"/>
      <c r="R42" s="40"/>
      <c r="S42" s="40"/>
      <c r="T42" s="40"/>
      <c r="U42" s="40"/>
      <c r="V42" s="40"/>
      <c r="W42" s="40"/>
      <c r="X42" s="40"/>
      <c r="Y42" s="40"/>
      <c r="Z42" s="40"/>
      <c r="AA42" s="40"/>
      <c r="AB42" s="40"/>
      <c r="AC42" s="40"/>
      <c r="AD42" s="40"/>
      <c r="AE42" s="40"/>
      <c r="AF42" s="40"/>
      <c r="AG42" s="40">
        <v>1</v>
      </c>
      <c r="AH42">
        <v>2025</v>
      </c>
      <c r="AI42">
        <f t="shared" si="0"/>
        <v>1</v>
      </c>
      <c r="AJ42">
        <f t="shared" si="4"/>
        <v>1</v>
      </c>
      <c r="AK42">
        <f t="shared" si="2"/>
        <v>1</v>
      </c>
      <c r="AL42">
        <f t="shared" si="3"/>
        <v>461</v>
      </c>
    </row>
    <row r="43" spans="1:40" ht="15.75" customHeight="1" x14ac:dyDescent="0.25">
      <c r="A43" s="40"/>
      <c r="B43" s="44" t="s">
        <v>1745</v>
      </c>
      <c r="C43" t="s">
        <v>605</v>
      </c>
      <c r="D43" s="46">
        <v>38</v>
      </c>
      <c r="E43" s="44" t="s">
        <v>94</v>
      </c>
      <c r="F43" s="46">
        <v>20</v>
      </c>
      <c r="G43" s="44" t="s">
        <v>1471</v>
      </c>
      <c r="H43" s="1">
        <v>9</v>
      </c>
      <c r="I43" s="44" t="s">
        <v>1156</v>
      </c>
      <c r="J43" s="46">
        <v>117</v>
      </c>
      <c r="K43" s="69">
        <v>4.2</v>
      </c>
      <c r="O43" s="40"/>
      <c r="P43" s="40"/>
      <c r="Q43" s="40"/>
      <c r="R43" s="40"/>
      <c r="S43" s="40"/>
      <c r="T43" s="40"/>
      <c r="U43" s="40"/>
      <c r="V43" s="40"/>
      <c r="W43" s="40"/>
      <c r="X43" s="40"/>
      <c r="Y43" s="40"/>
      <c r="Z43" s="40"/>
      <c r="AA43" s="40"/>
      <c r="AB43" s="40"/>
      <c r="AC43" s="40"/>
      <c r="AD43" s="40"/>
      <c r="AE43" s="40"/>
      <c r="AF43" s="40"/>
      <c r="AG43" s="40">
        <v>1</v>
      </c>
      <c r="AH43">
        <v>2026</v>
      </c>
      <c r="AI43">
        <f t="shared" si="0"/>
        <v>1</v>
      </c>
      <c r="AJ43">
        <f t="shared" si="4"/>
        <v>1</v>
      </c>
      <c r="AK43">
        <f t="shared" si="2"/>
        <v>1</v>
      </c>
      <c r="AL43">
        <f t="shared" si="3"/>
        <v>825</v>
      </c>
    </row>
    <row r="44" spans="1:40" x14ac:dyDescent="0.25">
      <c r="A44" s="40"/>
      <c r="B44" s="44" t="s">
        <v>1745</v>
      </c>
      <c r="C44" t="s">
        <v>138</v>
      </c>
      <c r="D44" s="46">
        <v>62</v>
      </c>
      <c r="E44" s="44" t="s">
        <v>94</v>
      </c>
      <c r="F44" s="46">
        <v>25</v>
      </c>
      <c r="G44" s="44" t="s">
        <v>1777</v>
      </c>
      <c r="H44" s="1">
        <v>10</v>
      </c>
      <c r="I44" s="44" t="s">
        <v>1486</v>
      </c>
      <c r="J44" s="46">
        <v>162</v>
      </c>
      <c r="K44" s="69">
        <v>6.2</v>
      </c>
      <c r="O44" s="40"/>
      <c r="P44" s="40"/>
      <c r="Q44" s="40"/>
      <c r="R44" s="40"/>
      <c r="S44" s="40"/>
      <c r="T44" s="40"/>
      <c r="U44" s="40"/>
      <c r="V44" s="40"/>
      <c r="W44" s="40"/>
      <c r="X44" s="40"/>
      <c r="Y44" s="40"/>
      <c r="Z44" s="40"/>
      <c r="AA44" s="40"/>
      <c r="AB44" s="40"/>
      <c r="AC44" s="40"/>
      <c r="AD44" s="40"/>
      <c r="AE44" s="40"/>
      <c r="AF44" s="40"/>
      <c r="AG44" s="40">
        <v>2</v>
      </c>
      <c r="AH44">
        <v>2024</v>
      </c>
      <c r="AI44">
        <f t="shared" si="0"/>
        <v>1</v>
      </c>
      <c r="AJ44">
        <f t="shared" si="4"/>
        <v>1</v>
      </c>
      <c r="AK44">
        <f t="shared" si="2"/>
        <v>1</v>
      </c>
      <c r="AL44">
        <f t="shared" si="3"/>
        <v>185</v>
      </c>
    </row>
    <row r="45" spans="1:40" x14ac:dyDescent="0.25">
      <c r="A45" s="40"/>
      <c r="B45" s="44" t="s">
        <v>1745</v>
      </c>
      <c r="C45" t="s">
        <v>176</v>
      </c>
      <c r="D45" s="46">
        <v>25</v>
      </c>
      <c r="E45" s="44" t="s">
        <v>93</v>
      </c>
      <c r="F45" s="46">
        <v>10</v>
      </c>
      <c r="G45" s="44" t="s">
        <v>1778</v>
      </c>
      <c r="H45" s="1">
        <v>4</v>
      </c>
      <c r="I45" s="44" t="s">
        <v>1486</v>
      </c>
      <c r="J45" s="46">
        <v>162</v>
      </c>
      <c r="K45" s="69">
        <v>6.2</v>
      </c>
      <c r="O45" s="40"/>
      <c r="P45" s="40"/>
      <c r="Q45" s="40"/>
      <c r="R45" s="40"/>
      <c r="S45" s="40"/>
      <c r="T45" s="40"/>
      <c r="U45" s="40"/>
      <c r="V45" s="40"/>
      <c r="W45" s="40"/>
      <c r="X45" s="40"/>
      <c r="Y45" s="40"/>
      <c r="Z45" s="40"/>
      <c r="AA45" s="40"/>
      <c r="AB45" s="40"/>
      <c r="AC45" s="40"/>
      <c r="AD45" s="40"/>
      <c r="AE45" s="40"/>
      <c r="AF45" s="40"/>
      <c r="AG45" s="40">
        <v>2</v>
      </c>
      <c r="AH45">
        <v>2024</v>
      </c>
      <c r="AI45">
        <f t="shared" si="0"/>
        <v>1</v>
      </c>
      <c r="AJ45">
        <f t="shared" si="4"/>
        <v>1</v>
      </c>
      <c r="AK45">
        <f t="shared" si="2"/>
        <v>1</v>
      </c>
      <c r="AL45">
        <f t="shared" si="3"/>
        <v>185</v>
      </c>
    </row>
    <row r="46" spans="1:40" x14ac:dyDescent="0.25">
      <c r="A46" s="40"/>
      <c r="B46" s="44" t="s">
        <v>1745</v>
      </c>
      <c r="C46" t="s">
        <v>138</v>
      </c>
      <c r="D46" s="47">
        <v>960</v>
      </c>
      <c r="E46" s="44" t="s">
        <v>94</v>
      </c>
      <c r="F46" s="44">
        <v>5</v>
      </c>
      <c r="G46" s="44" t="s">
        <v>1779</v>
      </c>
      <c r="H46" s="1">
        <v>64</v>
      </c>
      <c r="I46" s="44" t="s">
        <v>1776</v>
      </c>
      <c r="J46" s="46">
        <v>236</v>
      </c>
      <c r="K46" s="69">
        <v>15</v>
      </c>
      <c r="O46" s="40"/>
      <c r="P46" s="40"/>
      <c r="Q46" s="40"/>
      <c r="R46" s="40"/>
      <c r="S46" s="40"/>
      <c r="T46" s="40"/>
      <c r="U46" s="40"/>
      <c r="V46" s="40"/>
      <c r="W46" s="40"/>
      <c r="X46" s="40"/>
      <c r="Y46" s="40"/>
      <c r="Z46" s="40"/>
      <c r="AA46" s="40"/>
      <c r="AB46" s="40"/>
      <c r="AC46" s="40"/>
      <c r="AD46" s="40"/>
      <c r="AE46" s="40"/>
      <c r="AF46" s="40"/>
      <c r="AG46" s="40">
        <v>2</v>
      </c>
      <c r="AH46">
        <v>2025</v>
      </c>
      <c r="AI46">
        <f t="shared" si="0"/>
        <v>1</v>
      </c>
      <c r="AJ46">
        <f t="shared" si="4"/>
        <v>1</v>
      </c>
      <c r="AK46">
        <f t="shared" si="2"/>
        <v>1</v>
      </c>
      <c r="AL46">
        <f t="shared" si="3"/>
        <v>550</v>
      </c>
    </row>
    <row r="47" spans="1:40" x14ac:dyDescent="0.25">
      <c r="A47" s="40"/>
      <c r="B47" s="44" t="s">
        <v>1745</v>
      </c>
      <c r="C47" t="s">
        <v>146</v>
      </c>
      <c r="D47" s="46">
        <v>76</v>
      </c>
      <c r="E47" s="44" t="s">
        <v>94</v>
      </c>
      <c r="F47" s="46">
        <v>10</v>
      </c>
      <c r="G47" s="46"/>
      <c r="H47" s="1">
        <v>18</v>
      </c>
      <c r="I47" s="44" t="s">
        <v>619</v>
      </c>
      <c r="J47" s="46">
        <v>150</v>
      </c>
      <c r="K47" s="69">
        <v>4.2</v>
      </c>
      <c r="O47" s="40"/>
      <c r="P47" s="40"/>
      <c r="Q47" s="40"/>
      <c r="R47" s="40"/>
      <c r="S47" s="40"/>
      <c r="T47" s="40"/>
      <c r="U47" s="40"/>
      <c r="V47" s="40"/>
      <c r="W47" s="40"/>
      <c r="X47" s="40"/>
      <c r="Y47" s="40"/>
      <c r="Z47" s="40"/>
      <c r="AA47" s="40"/>
      <c r="AB47" s="40"/>
      <c r="AC47" s="40"/>
      <c r="AD47" s="40"/>
      <c r="AE47" s="40"/>
      <c r="AF47" s="40"/>
      <c r="AG47" s="40">
        <v>1</v>
      </c>
      <c r="AH47">
        <v>2024</v>
      </c>
      <c r="AI47">
        <f t="shared" si="0"/>
        <v>1</v>
      </c>
      <c r="AJ47">
        <f t="shared" si="4"/>
        <v>1</v>
      </c>
      <c r="AK47">
        <f t="shared" si="2"/>
        <v>1</v>
      </c>
      <c r="AL47">
        <f t="shared" si="3"/>
        <v>94</v>
      </c>
    </row>
    <row r="48" spans="1:40" x14ac:dyDescent="0.25">
      <c r="B48" s="44" t="s">
        <v>1745</v>
      </c>
      <c r="C48" t="s">
        <v>1247</v>
      </c>
      <c r="D48" s="46">
        <v>90</v>
      </c>
      <c r="E48" s="44" t="s">
        <v>94</v>
      </c>
      <c r="F48" s="46"/>
      <c r="G48" s="46"/>
      <c r="H48" s="1">
        <v>20</v>
      </c>
      <c r="I48" s="44" t="s">
        <v>1400</v>
      </c>
      <c r="J48" s="46">
        <v>150</v>
      </c>
      <c r="K48" s="69">
        <v>4.5</v>
      </c>
      <c r="AG48" s="40">
        <v>2</v>
      </c>
      <c r="AH48">
        <v>2024</v>
      </c>
      <c r="AI48">
        <f t="shared" si="0"/>
        <v>1</v>
      </c>
      <c r="AJ48">
        <f t="shared" si="4"/>
        <v>1</v>
      </c>
      <c r="AK48">
        <f t="shared" si="2"/>
        <v>1</v>
      </c>
      <c r="AL48">
        <f t="shared" si="3"/>
        <v>185</v>
      </c>
    </row>
    <row r="49" spans="1:38" s="11" customFormat="1" x14ac:dyDescent="0.25">
      <c r="A49" s="11">
        <f>SUM(D29:D49)</f>
        <v>4044</v>
      </c>
      <c r="B49" s="71" t="s">
        <v>1746</v>
      </c>
      <c r="C49" s="11" t="s">
        <v>138</v>
      </c>
      <c r="D49" s="48">
        <v>7</v>
      </c>
      <c r="E49" s="71" t="s">
        <v>93</v>
      </c>
      <c r="F49" s="48">
        <v>20</v>
      </c>
      <c r="H49" s="28">
        <v>1</v>
      </c>
      <c r="I49" s="71" t="s">
        <v>1780</v>
      </c>
      <c r="J49" s="48">
        <v>162</v>
      </c>
      <c r="K49" s="70">
        <v>7.2</v>
      </c>
      <c r="AG49" s="41">
        <v>1</v>
      </c>
      <c r="AH49" s="11">
        <v>2024</v>
      </c>
      <c r="AI49" s="11">
        <f t="shared" si="0"/>
        <v>1</v>
      </c>
      <c r="AJ49" s="11">
        <f t="shared" si="4"/>
        <v>1</v>
      </c>
      <c r="AK49">
        <f t="shared" si="2"/>
        <v>1</v>
      </c>
      <c r="AL49">
        <f t="shared" si="3"/>
        <v>93</v>
      </c>
    </row>
    <row r="50" spans="1:38" x14ac:dyDescent="0.25">
      <c r="B50" s="44" t="s">
        <v>1747</v>
      </c>
      <c r="C50" t="s">
        <v>161</v>
      </c>
      <c r="D50" s="46">
        <v>139</v>
      </c>
      <c r="E50" s="44" t="s">
        <v>94</v>
      </c>
      <c r="F50" s="46"/>
      <c r="G50" s="44" t="s">
        <v>1781</v>
      </c>
      <c r="H50" s="1">
        <v>23</v>
      </c>
      <c r="I50" s="44" t="s">
        <v>110</v>
      </c>
      <c r="J50" s="46">
        <v>110</v>
      </c>
      <c r="K50" s="69">
        <v>2</v>
      </c>
      <c r="O50">
        <v>40</v>
      </c>
      <c r="P50" t="s">
        <v>113</v>
      </c>
      <c r="Q50">
        <v>100</v>
      </c>
      <c r="R50">
        <v>2.2000000000000002</v>
      </c>
      <c r="S50" t="s">
        <v>1782</v>
      </c>
      <c r="AG50" s="40">
        <v>4</v>
      </c>
      <c r="AH50">
        <v>2024</v>
      </c>
      <c r="AI50">
        <f t="shared" si="0"/>
        <v>1</v>
      </c>
      <c r="AJ50">
        <f t="shared" si="4"/>
        <v>1</v>
      </c>
      <c r="AK50">
        <f t="shared" si="2"/>
        <v>1</v>
      </c>
      <c r="AL50">
        <f t="shared" si="3"/>
        <v>362</v>
      </c>
    </row>
    <row r="51" spans="1:38" x14ac:dyDescent="0.25">
      <c r="A51" s="40"/>
      <c r="B51" s="44" t="s">
        <v>1748</v>
      </c>
      <c r="C51" s="100" t="s">
        <v>140</v>
      </c>
      <c r="D51" s="44">
        <v>115</v>
      </c>
      <c r="E51" s="44" t="s">
        <v>94</v>
      </c>
      <c r="F51" s="44">
        <v>35</v>
      </c>
      <c r="G51" s="44" t="s">
        <v>68</v>
      </c>
      <c r="H51" s="1">
        <v>18</v>
      </c>
      <c r="I51" s="44" t="s">
        <v>1486</v>
      </c>
      <c r="J51" s="44">
        <v>162</v>
      </c>
      <c r="K51" s="101">
        <v>6.2</v>
      </c>
      <c r="L51" t="s">
        <v>1783</v>
      </c>
      <c r="AG51" s="40">
        <v>3</v>
      </c>
      <c r="AH51">
        <v>2026</v>
      </c>
      <c r="AI51">
        <f t="shared" si="0"/>
        <v>1</v>
      </c>
      <c r="AJ51">
        <f t="shared" si="4"/>
        <v>1</v>
      </c>
      <c r="AK51">
        <f t="shared" si="2"/>
        <v>1</v>
      </c>
      <c r="AL51">
        <f t="shared" si="3"/>
        <v>992</v>
      </c>
    </row>
    <row r="52" spans="1:38" x14ac:dyDescent="0.25">
      <c r="A52" s="40"/>
      <c r="B52" s="44" t="s">
        <v>1749</v>
      </c>
      <c r="C52" t="s">
        <v>138</v>
      </c>
      <c r="D52" s="44">
        <v>43</v>
      </c>
      <c r="E52" s="44" t="s">
        <v>94</v>
      </c>
      <c r="F52" s="44">
        <v>25</v>
      </c>
      <c r="G52" s="44" t="s">
        <v>71</v>
      </c>
      <c r="H52" s="1">
        <v>6</v>
      </c>
      <c r="I52" s="44" t="s">
        <v>1784</v>
      </c>
      <c r="J52" s="44">
        <v>172</v>
      </c>
      <c r="K52" s="101">
        <v>7.2</v>
      </c>
      <c r="AG52" s="40">
        <v>2</v>
      </c>
      <c r="AH52">
        <v>2025</v>
      </c>
      <c r="AI52">
        <f t="shared" si="0"/>
        <v>1</v>
      </c>
      <c r="AJ52">
        <f t="shared" si="4"/>
        <v>1</v>
      </c>
      <c r="AK52">
        <f t="shared" si="2"/>
        <v>1</v>
      </c>
      <c r="AL52">
        <f t="shared" si="3"/>
        <v>518</v>
      </c>
    </row>
    <row r="53" spans="1:38" x14ac:dyDescent="0.25">
      <c r="A53" s="40"/>
      <c r="B53" s="44" t="s">
        <v>1750</v>
      </c>
      <c r="C53" t="s">
        <v>138</v>
      </c>
      <c r="D53" s="44">
        <v>42</v>
      </c>
      <c r="E53" s="44" t="s">
        <v>94</v>
      </c>
      <c r="F53" s="44">
        <v>20</v>
      </c>
      <c r="G53" s="44" t="s">
        <v>1786</v>
      </c>
      <c r="H53" s="1">
        <v>7</v>
      </c>
      <c r="I53" s="44" t="s">
        <v>1664</v>
      </c>
      <c r="J53" s="44">
        <v>150</v>
      </c>
      <c r="K53" s="101">
        <v>6</v>
      </c>
      <c r="AG53" s="40">
        <v>1</v>
      </c>
      <c r="AH53">
        <v>2025</v>
      </c>
      <c r="AI53">
        <f t="shared" si="0"/>
        <v>1</v>
      </c>
      <c r="AJ53">
        <f t="shared" si="4"/>
        <v>1</v>
      </c>
      <c r="AK53">
        <f t="shared" si="2"/>
        <v>1</v>
      </c>
      <c r="AL53">
        <f t="shared" si="3"/>
        <v>425</v>
      </c>
    </row>
    <row r="54" spans="1:38" x14ac:dyDescent="0.25">
      <c r="A54" s="40"/>
      <c r="B54" s="44" t="s">
        <v>1751</v>
      </c>
      <c r="C54" t="s">
        <v>140</v>
      </c>
      <c r="D54" s="44">
        <v>67</v>
      </c>
      <c r="E54" s="44" t="s">
        <v>94</v>
      </c>
      <c r="F54" s="44"/>
      <c r="G54" s="44" t="s">
        <v>529</v>
      </c>
      <c r="H54" s="1">
        <v>12</v>
      </c>
      <c r="I54" s="44" t="s">
        <v>1664</v>
      </c>
      <c r="J54" s="44">
        <v>150</v>
      </c>
      <c r="K54" s="101">
        <v>6</v>
      </c>
      <c r="AG54" s="40">
        <v>2</v>
      </c>
      <c r="AH54">
        <v>2025</v>
      </c>
      <c r="AI54">
        <f t="shared" si="0"/>
        <v>1</v>
      </c>
      <c r="AJ54">
        <f t="shared" si="4"/>
        <v>1</v>
      </c>
      <c r="AK54">
        <f t="shared" si="2"/>
        <v>1</v>
      </c>
      <c r="AL54">
        <f t="shared" si="3"/>
        <v>504</v>
      </c>
    </row>
    <row r="55" spans="1:38" x14ac:dyDescent="0.25">
      <c r="B55" s="44" t="s">
        <v>1752</v>
      </c>
      <c r="C55" t="s">
        <v>1247</v>
      </c>
      <c r="D55" s="44">
        <v>239</v>
      </c>
      <c r="E55" s="44" t="s">
        <v>94</v>
      </c>
      <c r="H55" s="1">
        <v>53</v>
      </c>
      <c r="I55" s="44" t="s">
        <v>1709</v>
      </c>
      <c r="J55" s="44">
        <v>163</v>
      </c>
      <c r="K55" s="101">
        <v>4.5</v>
      </c>
      <c r="AG55" s="40">
        <v>4</v>
      </c>
      <c r="AH55">
        <v>2024</v>
      </c>
      <c r="AI55">
        <f t="shared" si="0"/>
        <v>1</v>
      </c>
      <c r="AJ55">
        <f t="shared" si="4"/>
        <v>1</v>
      </c>
      <c r="AK55">
        <f t="shared" si="2"/>
        <v>1</v>
      </c>
      <c r="AL55">
        <f t="shared" si="3"/>
        <v>315</v>
      </c>
    </row>
    <row r="56" spans="1:38" x14ac:dyDescent="0.25">
      <c r="B56" s="44" t="s">
        <v>1753</v>
      </c>
      <c r="C56" t="s">
        <v>1247</v>
      </c>
      <c r="D56" s="44">
        <v>270</v>
      </c>
      <c r="E56" s="44" t="s">
        <v>94</v>
      </c>
      <c r="F56" s="44">
        <v>20</v>
      </c>
      <c r="H56" s="1">
        <v>60</v>
      </c>
      <c r="I56" s="44" t="s">
        <v>1709</v>
      </c>
      <c r="J56" s="44">
        <v>163</v>
      </c>
      <c r="K56" s="101">
        <v>4.5</v>
      </c>
      <c r="AG56" s="40">
        <v>3</v>
      </c>
      <c r="AH56">
        <v>2024</v>
      </c>
      <c r="AI56">
        <f t="shared" si="0"/>
        <v>1</v>
      </c>
      <c r="AJ56">
        <f t="shared" si="4"/>
        <v>1</v>
      </c>
      <c r="AK56">
        <f t="shared" si="2"/>
        <v>1</v>
      </c>
      <c r="AL56">
        <f t="shared" si="3"/>
        <v>221</v>
      </c>
    </row>
    <row r="57" spans="1:38" x14ac:dyDescent="0.25">
      <c r="B57" s="44" t="s">
        <v>1754</v>
      </c>
      <c r="C57" t="s">
        <v>138</v>
      </c>
      <c r="D57" s="44">
        <v>43</v>
      </c>
      <c r="E57" s="44" t="s">
        <v>94</v>
      </c>
      <c r="F57" s="44">
        <v>25</v>
      </c>
      <c r="G57" s="44" t="s">
        <v>1787</v>
      </c>
      <c r="H57" s="1">
        <v>7</v>
      </c>
      <c r="I57" s="44" t="s">
        <v>1486</v>
      </c>
      <c r="J57" s="44">
        <v>162</v>
      </c>
      <c r="K57" s="101">
        <v>6.2</v>
      </c>
      <c r="AG57" s="40">
        <v>3</v>
      </c>
      <c r="AH57">
        <v>2024</v>
      </c>
      <c r="AI57">
        <f t="shared" si="0"/>
        <v>1</v>
      </c>
      <c r="AJ57">
        <f t="shared" si="4"/>
        <v>1</v>
      </c>
      <c r="AK57">
        <f t="shared" si="2"/>
        <v>1</v>
      </c>
      <c r="AL57">
        <f t="shared" si="3"/>
        <v>217</v>
      </c>
    </row>
    <row r="58" spans="1:38" x14ac:dyDescent="0.25">
      <c r="A58" s="40"/>
      <c r="B58" s="44" t="s">
        <v>1755</v>
      </c>
      <c r="C58" t="s">
        <v>1247</v>
      </c>
      <c r="D58" s="44">
        <v>203</v>
      </c>
      <c r="E58" s="44" t="s">
        <v>94</v>
      </c>
      <c r="H58" s="1">
        <v>45</v>
      </c>
      <c r="I58" s="44" t="s">
        <v>1709</v>
      </c>
      <c r="J58" s="44">
        <v>163</v>
      </c>
      <c r="K58" s="101">
        <v>4.5</v>
      </c>
      <c r="AG58" s="40">
        <v>4</v>
      </c>
      <c r="AH58">
        <v>2024</v>
      </c>
      <c r="AI58">
        <f t="shared" si="0"/>
        <v>1</v>
      </c>
      <c r="AJ58">
        <f t="shared" si="4"/>
        <v>1</v>
      </c>
      <c r="AK58">
        <f t="shared" si="2"/>
        <v>1</v>
      </c>
      <c r="AL58">
        <f t="shared" si="3"/>
        <v>306</v>
      </c>
    </row>
    <row r="59" spans="1:38" x14ac:dyDescent="0.25">
      <c r="A59" s="40"/>
      <c r="B59" s="44" t="s">
        <v>1756</v>
      </c>
      <c r="C59" t="s">
        <v>605</v>
      </c>
      <c r="D59" s="44">
        <v>46</v>
      </c>
      <c r="E59" s="44" t="s">
        <v>93</v>
      </c>
      <c r="G59" s="44" t="s">
        <v>1534</v>
      </c>
      <c r="H59" s="1">
        <v>11</v>
      </c>
      <c r="I59" s="44" t="s">
        <v>1156</v>
      </c>
      <c r="J59" s="44">
        <v>117</v>
      </c>
      <c r="K59" s="101">
        <v>4.2</v>
      </c>
      <c r="AG59" s="40">
        <v>1</v>
      </c>
      <c r="AH59">
        <v>2025</v>
      </c>
      <c r="AI59">
        <f t="shared" si="0"/>
        <v>1</v>
      </c>
      <c r="AJ59">
        <f t="shared" si="4"/>
        <v>1</v>
      </c>
      <c r="AK59">
        <f t="shared" si="2"/>
        <v>1</v>
      </c>
      <c r="AL59">
        <f t="shared" si="3"/>
        <v>397</v>
      </c>
    </row>
    <row r="60" spans="1:38" x14ac:dyDescent="0.25">
      <c r="A60" s="40"/>
      <c r="B60" s="44" t="s">
        <v>1757</v>
      </c>
      <c r="C60" t="s">
        <v>166</v>
      </c>
      <c r="D60" s="44">
        <v>31</v>
      </c>
      <c r="E60" s="44"/>
      <c r="H60" s="1">
        <v>5</v>
      </c>
      <c r="I60" s="44" t="s">
        <v>1486</v>
      </c>
      <c r="J60" s="44">
        <v>162</v>
      </c>
      <c r="K60" s="101">
        <v>6.2</v>
      </c>
      <c r="AG60" s="40">
        <v>2</v>
      </c>
      <c r="AH60">
        <v>2024</v>
      </c>
      <c r="AI60">
        <f t="shared" si="0"/>
        <v>1</v>
      </c>
      <c r="AJ60">
        <f t="shared" si="4"/>
        <v>1</v>
      </c>
      <c r="AK60">
        <f t="shared" si="2"/>
        <v>1</v>
      </c>
      <c r="AL60">
        <f t="shared" si="3"/>
        <v>109</v>
      </c>
    </row>
    <row r="61" spans="1:38" x14ac:dyDescent="0.25">
      <c r="A61" s="40"/>
      <c r="B61" s="44" t="s">
        <v>1757</v>
      </c>
      <c r="C61" t="s">
        <v>318</v>
      </c>
      <c r="D61" s="44">
        <v>186</v>
      </c>
      <c r="E61" s="44" t="s">
        <v>94</v>
      </c>
      <c r="F61">
        <v>30</v>
      </c>
      <c r="G61" s="44" t="s">
        <v>1788</v>
      </c>
      <c r="H61" s="1">
        <v>30</v>
      </c>
      <c r="I61" s="44" t="s">
        <v>1486</v>
      </c>
      <c r="J61" s="44">
        <v>162</v>
      </c>
      <c r="K61" s="101">
        <v>6.2</v>
      </c>
      <c r="AG61" s="40">
        <v>3</v>
      </c>
      <c r="AH61">
        <v>2024</v>
      </c>
      <c r="AI61">
        <f t="shared" si="0"/>
        <v>1</v>
      </c>
      <c r="AJ61">
        <f t="shared" si="4"/>
        <v>1</v>
      </c>
      <c r="AK61">
        <f t="shared" si="2"/>
        <v>1</v>
      </c>
      <c r="AL61">
        <f t="shared" si="3"/>
        <v>200</v>
      </c>
    </row>
    <row r="62" spans="1:38" x14ac:dyDescent="0.25">
      <c r="B62" s="44" t="s">
        <v>1758</v>
      </c>
      <c r="C62" t="s">
        <v>528</v>
      </c>
      <c r="D62" s="44">
        <v>108</v>
      </c>
      <c r="E62" s="44" t="s">
        <v>94</v>
      </c>
      <c r="F62">
        <v>15</v>
      </c>
      <c r="G62" s="44" t="s">
        <v>1710</v>
      </c>
      <c r="H62" s="1">
        <v>24</v>
      </c>
      <c r="I62" s="44" t="s">
        <v>1559</v>
      </c>
      <c r="J62" s="44">
        <v>136</v>
      </c>
      <c r="K62" s="101">
        <v>4.5</v>
      </c>
      <c r="AG62" s="40">
        <v>3</v>
      </c>
      <c r="AH62">
        <v>2024</v>
      </c>
      <c r="AI62">
        <f t="shared" si="0"/>
        <v>1</v>
      </c>
      <c r="AJ62">
        <f t="shared" si="4"/>
        <v>1</v>
      </c>
      <c r="AK62">
        <f t="shared" si="2"/>
        <v>1</v>
      </c>
      <c r="AL62">
        <f t="shared" si="3"/>
        <v>194</v>
      </c>
    </row>
    <row r="63" spans="1:38" x14ac:dyDescent="0.25">
      <c r="A63" s="40"/>
      <c r="B63" s="44" t="s">
        <v>1759</v>
      </c>
      <c r="C63" t="s">
        <v>1616</v>
      </c>
      <c r="D63" s="44">
        <v>87</v>
      </c>
      <c r="E63" s="44" t="s">
        <v>94</v>
      </c>
      <c r="F63">
        <v>35</v>
      </c>
      <c r="G63" s="44" t="s">
        <v>1789</v>
      </c>
      <c r="H63" s="1">
        <v>14</v>
      </c>
      <c r="I63" s="44" t="s">
        <v>1486</v>
      </c>
      <c r="J63" s="44">
        <v>162</v>
      </c>
      <c r="K63" s="101">
        <v>6.2</v>
      </c>
      <c r="AG63" s="40">
        <v>1</v>
      </c>
      <c r="AH63">
        <v>2025</v>
      </c>
      <c r="AI63">
        <f t="shared" si="0"/>
        <v>1</v>
      </c>
      <c r="AJ63">
        <f t="shared" si="4"/>
        <v>1</v>
      </c>
      <c r="AK63">
        <f t="shared" si="2"/>
        <v>1</v>
      </c>
      <c r="AL63">
        <f t="shared" si="3"/>
        <v>377</v>
      </c>
    </row>
    <row r="64" spans="1:38" x14ac:dyDescent="0.25">
      <c r="A64" s="40"/>
      <c r="B64" s="44" t="s">
        <v>1759</v>
      </c>
      <c r="C64" s="44" t="s">
        <v>138</v>
      </c>
      <c r="D64" s="44">
        <v>45</v>
      </c>
      <c r="E64" s="44" t="s">
        <v>93</v>
      </c>
      <c r="F64" s="44">
        <v>20</v>
      </c>
      <c r="G64" s="44" t="s">
        <v>327</v>
      </c>
      <c r="H64" s="44">
        <v>8</v>
      </c>
      <c r="I64" s="44" t="s">
        <v>1220</v>
      </c>
      <c r="J64" s="44">
        <v>162</v>
      </c>
      <c r="K64" s="44">
        <v>5.6</v>
      </c>
      <c r="AG64" s="40">
        <v>2</v>
      </c>
      <c r="AH64">
        <v>2025</v>
      </c>
      <c r="AI64">
        <f t="shared" si="0"/>
        <v>1</v>
      </c>
      <c r="AJ64">
        <f t="shared" si="4"/>
        <v>1</v>
      </c>
      <c r="AK64">
        <f t="shared" si="2"/>
        <v>1</v>
      </c>
      <c r="AL64">
        <f t="shared" si="3"/>
        <v>467</v>
      </c>
    </row>
    <row r="65" spans="1:38" x14ac:dyDescent="0.25">
      <c r="A65" s="40"/>
      <c r="B65" s="44" t="s">
        <v>1760</v>
      </c>
      <c r="C65" s="44" t="s">
        <v>1247</v>
      </c>
      <c r="D65" s="44">
        <v>143</v>
      </c>
      <c r="E65" s="44" t="s">
        <v>94</v>
      </c>
      <c r="F65" s="44"/>
      <c r="G65" s="44"/>
      <c r="H65" s="44">
        <v>34</v>
      </c>
      <c r="I65" s="44" t="s">
        <v>619</v>
      </c>
      <c r="J65" s="44">
        <v>150</v>
      </c>
      <c r="K65" s="44">
        <v>4.2</v>
      </c>
      <c r="AG65" s="40">
        <v>3</v>
      </c>
      <c r="AH65">
        <v>2025</v>
      </c>
      <c r="AI65">
        <f t="shared" si="0"/>
        <v>1</v>
      </c>
      <c r="AJ65">
        <f t="shared" si="4"/>
        <v>1</v>
      </c>
      <c r="AK65">
        <f t="shared" si="2"/>
        <v>1</v>
      </c>
      <c r="AL65">
        <f t="shared" si="3"/>
        <v>557</v>
      </c>
    </row>
    <row r="66" spans="1:38" x14ac:dyDescent="0.25">
      <c r="A66" s="40"/>
      <c r="B66" s="44" t="s">
        <v>1760</v>
      </c>
      <c r="C66" s="44" t="s">
        <v>1247</v>
      </c>
      <c r="D66" s="44">
        <v>401</v>
      </c>
      <c r="E66" s="44" t="s">
        <v>94</v>
      </c>
      <c r="F66" s="44"/>
      <c r="H66" s="44">
        <v>89</v>
      </c>
      <c r="I66" s="44" t="s">
        <v>1400</v>
      </c>
      <c r="J66" s="44">
        <v>150</v>
      </c>
      <c r="K66" s="44">
        <v>4.5</v>
      </c>
      <c r="AG66" s="40">
        <v>4</v>
      </c>
      <c r="AH66">
        <v>2024</v>
      </c>
      <c r="AI66">
        <f t="shared" ref="AI66:AI81" si="5">COUNTIF($I$158:$I$188,I66)</f>
        <v>1</v>
      </c>
      <c r="AJ66">
        <f t="shared" ref="AJ66:AJ81" si="6">COUNTIF($C$157:$C$180,C66)</f>
        <v>1</v>
      </c>
      <c r="AK66">
        <f t="shared" si="2"/>
        <v>1</v>
      </c>
      <c r="AL66">
        <f t="shared" si="3"/>
        <v>284</v>
      </c>
    </row>
    <row r="67" spans="1:38" x14ac:dyDescent="0.25">
      <c r="B67" s="44" t="s">
        <v>1760</v>
      </c>
      <c r="C67" s="47" t="s">
        <v>527</v>
      </c>
      <c r="D67" s="47">
        <v>780</v>
      </c>
      <c r="E67" s="44" t="s">
        <v>94</v>
      </c>
      <c r="F67" s="44">
        <v>15</v>
      </c>
      <c r="G67" s="44" t="s">
        <v>1790</v>
      </c>
      <c r="H67" s="44">
        <v>52</v>
      </c>
      <c r="I67" s="44" t="s">
        <v>1776</v>
      </c>
      <c r="J67" s="44">
        <v>236</v>
      </c>
      <c r="K67" s="44">
        <v>15</v>
      </c>
      <c r="AG67" s="40">
        <v>2</v>
      </c>
      <c r="AH67">
        <v>2026</v>
      </c>
      <c r="AI67">
        <f t="shared" si="5"/>
        <v>1</v>
      </c>
      <c r="AJ67">
        <f t="shared" si="6"/>
        <v>1</v>
      </c>
      <c r="AK67">
        <f t="shared" ref="AK67:AK73" si="7">COUNTIF($C$213:$C$238,C67)</f>
        <v>1</v>
      </c>
      <c r="AL67">
        <f t="shared" ref="AL67:AL79" si="8">_xlfn.DAYS(DATE(AH67,AG67*3-2,1),DATE(RIGHT(B67,4),MID(B67,4,2),LEFT(B67,2)))</f>
        <v>831</v>
      </c>
    </row>
    <row r="68" spans="1:38" x14ac:dyDescent="0.25">
      <c r="A68" s="40"/>
      <c r="B68" s="44" t="s">
        <v>1760</v>
      </c>
      <c r="C68" s="44" t="s">
        <v>1247</v>
      </c>
      <c r="D68" s="44">
        <v>450</v>
      </c>
      <c r="E68" s="44" t="s">
        <v>94</v>
      </c>
      <c r="F68" s="44">
        <v>10</v>
      </c>
      <c r="H68" s="44">
        <v>100</v>
      </c>
      <c r="I68" s="44" t="s">
        <v>1709</v>
      </c>
      <c r="J68" s="44">
        <v>163</v>
      </c>
      <c r="K68" s="44">
        <v>4.5</v>
      </c>
      <c r="AG68" s="40">
        <v>2</v>
      </c>
      <c r="AH68">
        <v>2025</v>
      </c>
      <c r="AI68">
        <f t="shared" si="5"/>
        <v>1</v>
      </c>
      <c r="AJ68">
        <f t="shared" si="6"/>
        <v>1</v>
      </c>
      <c r="AK68">
        <f t="shared" si="7"/>
        <v>1</v>
      </c>
      <c r="AL68">
        <f t="shared" si="8"/>
        <v>466</v>
      </c>
    </row>
    <row r="69" spans="1:38" x14ac:dyDescent="0.25">
      <c r="B69" s="44" t="s">
        <v>1760</v>
      </c>
      <c r="C69" s="44" t="s">
        <v>1247</v>
      </c>
      <c r="D69" s="44">
        <v>603</v>
      </c>
      <c r="E69" s="44" t="s">
        <v>94</v>
      </c>
      <c r="F69" s="44">
        <v>10</v>
      </c>
      <c r="G69" s="44"/>
      <c r="H69" s="44">
        <v>134</v>
      </c>
      <c r="I69" s="44" t="s">
        <v>1709</v>
      </c>
      <c r="J69" s="44">
        <v>163</v>
      </c>
      <c r="K69" s="44">
        <v>4.5</v>
      </c>
      <c r="AG69" s="40">
        <v>4</v>
      </c>
      <c r="AH69">
        <v>2025</v>
      </c>
      <c r="AI69">
        <f t="shared" si="5"/>
        <v>1</v>
      </c>
      <c r="AJ69">
        <f t="shared" si="6"/>
        <v>1</v>
      </c>
      <c r="AK69">
        <f t="shared" si="7"/>
        <v>1</v>
      </c>
      <c r="AL69">
        <f t="shared" si="8"/>
        <v>649</v>
      </c>
    </row>
    <row r="70" spans="1:38" x14ac:dyDescent="0.25">
      <c r="A70" s="40"/>
      <c r="B70" s="44" t="s">
        <v>1761</v>
      </c>
      <c r="C70" s="44" t="s">
        <v>1247</v>
      </c>
      <c r="D70" s="44">
        <v>945</v>
      </c>
      <c r="E70" s="44" t="s">
        <v>94</v>
      </c>
      <c r="F70" s="44">
        <v>10</v>
      </c>
      <c r="G70" s="44"/>
      <c r="H70" s="44">
        <v>210</v>
      </c>
      <c r="I70" s="44" t="s">
        <v>1709</v>
      </c>
      <c r="J70" s="44">
        <v>163</v>
      </c>
      <c r="K70" s="44">
        <v>4.5</v>
      </c>
      <c r="AG70" s="40">
        <v>4</v>
      </c>
      <c r="AH70">
        <v>2026</v>
      </c>
      <c r="AI70">
        <f t="shared" si="5"/>
        <v>1</v>
      </c>
      <c r="AJ70">
        <f t="shared" si="6"/>
        <v>1</v>
      </c>
      <c r="AK70">
        <f t="shared" si="7"/>
        <v>1</v>
      </c>
      <c r="AL70">
        <f t="shared" si="8"/>
        <v>1013</v>
      </c>
    </row>
    <row r="71" spans="1:38" x14ac:dyDescent="0.25">
      <c r="A71" s="40"/>
      <c r="B71" s="44" t="s">
        <v>1762</v>
      </c>
      <c r="C71" s="44" t="s">
        <v>144</v>
      </c>
      <c r="D71" s="44">
        <v>254</v>
      </c>
      <c r="E71" s="44" t="s">
        <v>94</v>
      </c>
      <c r="F71" s="44">
        <v>30</v>
      </c>
      <c r="H71" s="44">
        <v>41</v>
      </c>
      <c r="I71" s="44" t="s">
        <v>1486</v>
      </c>
      <c r="J71" s="44">
        <v>162</v>
      </c>
      <c r="K71" s="44">
        <v>6.2</v>
      </c>
      <c r="M71" s="44"/>
      <c r="AG71" s="40">
        <v>4</v>
      </c>
      <c r="AH71">
        <v>2024</v>
      </c>
      <c r="AI71">
        <f t="shared" si="5"/>
        <v>1</v>
      </c>
      <c r="AJ71">
        <f t="shared" si="6"/>
        <v>1</v>
      </c>
      <c r="AK71">
        <f t="shared" si="7"/>
        <v>1</v>
      </c>
      <c r="AL71">
        <f t="shared" si="8"/>
        <v>280</v>
      </c>
    </row>
    <row r="72" spans="1:38" x14ac:dyDescent="0.25">
      <c r="B72" s="44" t="s">
        <v>1763</v>
      </c>
      <c r="C72" s="44" t="s">
        <v>1247</v>
      </c>
      <c r="D72" s="44">
        <v>1089</v>
      </c>
      <c r="E72" s="44" t="s">
        <v>94</v>
      </c>
      <c r="F72" s="44">
        <v>10</v>
      </c>
      <c r="G72" s="44"/>
      <c r="H72" s="44">
        <v>242</v>
      </c>
      <c r="I72" s="44" t="s">
        <v>1709</v>
      </c>
      <c r="J72" s="44">
        <v>163</v>
      </c>
      <c r="K72" s="44">
        <v>4.5</v>
      </c>
      <c r="M72" s="44"/>
      <c r="AG72" s="40">
        <v>1</v>
      </c>
      <c r="AH72">
        <v>2025</v>
      </c>
      <c r="AI72">
        <f t="shared" si="5"/>
        <v>1</v>
      </c>
      <c r="AJ72">
        <f t="shared" si="6"/>
        <v>1</v>
      </c>
      <c r="AK72">
        <f t="shared" si="7"/>
        <v>1</v>
      </c>
      <c r="AL72">
        <f t="shared" si="8"/>
        <v>371</v>
      </c>
    </row>
    <row r="73" spans="1:38" x14ac:dyDescent="0.25">
      <c r="A73" s="40"/>
      <c r="B73" s="44" t="s">
        <v>1764</v>
      </c>
      <c r="C73" s="44" t="s">
        <v>165</v>
      </c>
      <c r="D73" s="44">
        <v>47</v>
      </c>
      <c r="E73" s="44" t="s">
        <v>94</v>
      </c>
      <c r="F73" s="44">
        <v>25</v>
      </c>
      <c r="G73" s="44" t="s">
        <v>1359</v>
      </c>
      <c r="H73" s="44">
        <v>11</v>
      </c>
      <c r="I73" s="44" t="s">
        <v>1156</v>
      </c>
      <c r="J73" s="44">
        <v>117</v>
      </c>
      <c r="K73" s="44">
        <v>4.3</v>
      </c>
      <c r="L73" t="s">
        <v>1405</v>
      </c>
      <c r="AG73" s="40">
        <v>2</v>
      </c>
      <c r="AH73">
        <v>2025</v>
      </c>
      <c r="AI73">
        <f t="shared" si="5"/>
        <v>1</v>
      </c>
      <c r="AJ73">
        <f t="shared" si="6"/>
        <v>1</v>
      </c>
      <c r="AK73">
        <f t="shared" si="7"/>
        <v>1</v>
      </c>
      <c r="AL73">
        <f t="shared" si="8"/>
        <v>459</v>
      </c>
    </row>
    <row r="74" spans="1:38" x14ac:dyDescent="0.25">
      <c r="B74" s="44" t="s">
        <v>1764</v>
      </c>
      <c r="C74" s="44" t="s">
        <v>528</v>
      </c>
      <c r="D74" s="44">
        <v>63</v>
      </c>
      <c r="E74" s="44" t="s">
        <v>93</v>
      </c>
      <c r="F74" s="44">
        <v>20</v>
      </c>
      <c r="H74" s="44">
        <v>14</v>
      </c>
      <c r="I74" s="44" t="s">
        <v>1400</v>
      </c>
      <c r="J74" s="44">
        <v>150</v>
      </c>
      <c r="K74" s="44">
        <v>4.5</v>
      </c>
      <c r="AG74" s="40">
        <v>1</v>
      </c>
      <c r="AH74">
        <v>2024</v>
      </c>
      <c r="AI74">
        <f t="shared" si="5"/>
        <v>1</v>
      </c>
      <c r="AJ74">
        <f t="shared" si="6"/>
        <v>1</v>
      </c>
      <c r="AK74">
        <f>COUNTIF($C$213:$C$238,C74)</f>
        <v>1</v>
      </c>
      <c r="AL74">
        <f t="shared" si="8"/>
        <v>3</v>
      </c>
    </row>
    <row r="75" spans="1:38" x14ac:dyDescent="0.25">
      <c r="A75" s="40"/>
      <c r="B75" s="44" t="s">
        <v>1764</v>
      </c>
      <c r="C75" s="44" t="s">
        <v>166</v>
      </c>
      <c r="D75" s="44">
        <v>37</v>
      </c>
      <c r="E75" s="44" t="s">
        <v>94</v>
      </c>
      <c r="F75" s="44">
        <v>20</v>
      </c>
      <c r="H75" s="44">
        <v>6</v>
      </c>
      <c r="I75" s="44" t="s">
        <v>1486</v>
      </c>
      <c r="J75" s="44">
        <v>162</v>
      </c>
      <c r="K75" s="44">
        <v>6.2</v>
      </c>
      <c r="AG75" s="40">
        <v>3</v>
      </c>
      <c r="AH75">
        <v>2024</v>
      </c>
      <c r="AI75">
        <f t="shared" si="5"/>
        <v>1</v>
      </c>
      <c r="AJ75">
        <f t="shared" si="6"/>
        <v>1</v>
      </c>
      <c r="AK75">
        <f t="shared" ref="AK75:AK79" si="9">COUNTIF($C$213:$C$238,C75)</f>
        <v>1</v>
      </c>
      <c r="AL75">
        <f t="shared" si="8"/>
        <v>185</v>
      </c>
    </row>
    <row r="76" spans="1:38" x14ac:dyDescent="0.25">
      <c r="A76" s="40"/>
      <c r="B76" s="44" t="s">
        <v>1764</v>
      </c>
      <c r="C76" s="44" t="s">
        <v>138</v>
      </c>
      <c r="D76" s="44">
        <v>42</v>
      </c>
      <c r="E76" s="44" t="s">
        <v>93</v>
      </c>
      <c r="F76" s="44">
        <v>20</v>
      </c>
      <c r="G76" s="44" t="s">
        <v>1791</v>
      </c>
      <c r="H76" s="44">
        <v>4</v>
      </c>
      <c r="I76" s="44" t="s">
        <v>1486</v>
      </c>
      <c r="J76" s="44">
        <v>162</v>
      </c>
      <c r="K76" s="44">
        <v>6.2</v>
      </c>
      <c r="O76">
        <v>3</v>
      </c>
      <c r="P76" t="s">
        <v>1220</v>
      </c>
      <c r="Q76">
        <v>162</v>
      </c>
      <c r="R76">
        <v>5.6</v>
      </c>
      <c r="AG76" s="40">
        <v>1</v>
      </c>
      <c r="AH76">
        <v>2025</v>
      </c>
      <c r="AI76">
        <f t="shared" si="5"/>
        <v>1</v>
      </c>
      <c r="AJ76">
        <f t="shared" si="6"/>
        <v>1</v>
      </c>
      <c r="AK76">
        <f t="shared" si="9"/>
        <v>1</v>
      </c>
      <c r="AL76">
        <f t="shared" si="8"/>
        <v>369</v>
      </c>
    </row>
    <row r="77" spans="1:38" x14ac:dyDescent="0.25">
      <c r="B77" s="44" t="s">
        <v>1764</v>
      </c>
      <c r="C77" s="44" t="s">
        <v>146</v>
      </c>
      <c r="D77" s="44">
        <v>125</v>
      </c>
      <c r="E77" s="44" t="s">
        <v>93</v>
      </c>
      <c r="F77" s="44"/>
      <c r="H77" s="44">
        <v>19</v>
      </c>
      <c r="I77" s="44" t="s">
        <v>121</v>
      </c>
      <c r="J77" s="44">
        <v>136</v>
      </c>
      <c r="K77" s="44">
        <v>4.2</v>
      </c>
      <c r="O77" s="44">
        <v>10</v>
      </c>
      <c r="P77" s="44" t="s">
        <v>1559</v>
      </c>
      <c r="Q77" s="44">
        <v>136</v>
      </c>
      <c r="R77" s="44">
        <v>4.5</v>
      </c>
      <c r="AG77" s="40">
        <v>1</v>
      </c>
      <c r="AH77">
        <v>2025</v>
      </c>
      <c r="AI77">
        <f t="shared" si="5"/>
        <v>1</v>
      </c>
      <c r="AJ77">
        <f t="shared" si="6"/>
        <v>1</v>
      </c>
      <c r="AK77">
        <f t="shared" si="9"/>
        <v>1</v>
      </c>
      <c r="AL77">
        <f t="shared" si="8"/>
        <v>369</v>
      </c>
    </row>
    <row r="78" spans="1:38" x14ac:dyDescent="0.25">
      <c r="A78" s="40"/>
      <c r="B78" s="44" t="s">
        <v>1764</v>
      </c>
      <c r="C78" s="44" t="s">
        <v>1247</v>
      </c>
      <c r="D78" s="44">
        <v>167</v>
      </c>
      <c r="E78" s="44" t="s">
        <v>94</v>
      </c>
      <c r="F78" s="44"/>
      <c r="H78" s="44">
        <v>45</v>
      </c>
      <c r="I78" s="44" t="s">
        <v>619</v>
      </c>
      <c r="J78" s="44">
        <v>150</v>
      </c>
      <c r="K78" s="44">
        <v>4.2</v>
      </c>
      <c r="AG78" s="40">
        <v>2</v>
      </c>
      <c r="AH78">
        <v>2025</v>
      </c>
      <c r="AI78">
        <f t="shared" si="5"/>
        <v>1</v>
      </c>
      <c r="AJ78">
        <f t="shared" si="6"/>
        <v>1</v>
      </c>
      <c r="AK78">
        <f t="shared" si="9"/>
        <v>1</v>
      </c>
      <c r="AL78">
        <f t="shared" si="8"/>
        <v>459</v>
      </c>
    </row>
    <row r="79" spans="1:38" s="11" customFormat="1" x14ac:dyDescent="0.25">
      <c r="A79" s="11">
        <f>SUM(D50:D79)</f>
        <v>6945</v>
      </c>
      <c r="B79" s="71" t="s">
        <v>1676</v>
      </c>
      <c r="C79" s="71" t="s">
        <v>1247</v>
      </c>
      <c r="D79" s="71">
        <v>135</v>
      </c>
      <c r="E79" s="71" t="s">
        <v>94</v>
      </c>
      <c r="F79" s="71">
        <v>20</v>
      </c>
      <c r="H79" s="71">
        <v>30</v>
      </c>
      <c r="I79" s="71" t="s">
        <v>1709</v>
      </c>
      <c r="J79" s="71">
        <v>163</v>
      </c>
      <c r="K79" s="71">
        <v>4.5</v>
      </c>
      <c r="AG79" s="11">
        <v>3</v>
      </c>
      <c r="AH79" s="11">
        <v>2024</v>
      </c>
      <c r="AI79" s="11">
        <f t="shared" si="5"/>
        <v>1</v>
      </c>
      <c r="AJ79" s="11">
        <f t="shared" si="6"/>
        <v>1</v>
      </c>
      <c r="AK79">
        <f t="shared" si="9"/>
        <v>1</v>
      </c>
      <c r="AL79" s="11">
        <f t="shared" si="8"/>
        <v>184</v>
      </c>
    </row>
    <row r="80" spans="1:38" x14ac:dyDescent="0.25">
      <c r="A80" s="40"/>
      <c r="B80" s="44"/>
      <c r="C80" s="44"/>
      <c r="D80" s="44"/>
      <c r="E80" s="44"/>
      <c r="F80" s="44"/>
      <c r="H80" s="44"/>
      <c r="I80" s="44"/>
      <c r="J80" s="44"/>
      <c r="K80" s="44"/>
      <c r="AI80">
        <f t="shared" si="5"/>
        <v>0</v>
      </c>
      <c r="AJ80">
        <f t="shared" si="6"/>
        <v>0</v>
      </c>
    </row>
    <row r="81" spans="1:39" hidden="1" x14ac:dyDescent="0.25">
      <c r="A81" s="40"/>
      <c r="B81" s="44"/>
      <c r="C81" s="44"/>
      <c r="D81" s="44"/>
      <c r="E81" s="44"/>
      <c r="F81" s="44"/>
      <c r="H81" s="44"/>
      <c r="I81" s="44"/>
      <c r="J81" s="44"/>
      <c r="K81" s="44"/>
      <c r="AI81">
        <f t="shared" si="5"/>
        <v>0</v>
      </c>
      <c r="AJ81">
        <f t="shared" si="6"/>
        <v>0</v>
      </c>
    </row>
    <row r="82" spans="1:39" hidden="1" x14ac:dyDescent="0.25">
      <c r="B82" s="44"/>
      <c r="C82" s="44"/>
      <c r="D82" s="44"/>
      <c r="E82" s="44"/>
      <c r="F82" s="44"/>
      <c r="H82" s="44"/>
      <c r="I82" s="44"/>
      <c r="J82" s="44"/>
      <c r="K82" s="44"/>
      <c r="AK82" t="s">
        <v>394</v>
      </c>
      <c r="AL82" s="1">
        <f>AVERAGE(AL2:AL79)</f>
        <v>331.88461538461536</v>
      </c>
      <c r="AM82" t="s">
        <v>1796</v>
      </c>
    </row>
    <row r="83" spans="1:39" hidden="1" x14ac:dyDescent="0.25">
      <c r="A83" s="40"/>
      <c r="B83" s="44"/>
      <c r="C83" s="44"/>
      <c r="D83" s="44"/>
      <c r="E83" s="44"/>
      <c r="F83" s="44"/>
      <c r="H83" s="44"/>
      <c r="I83" s="44"/>
      <c r="J83" s="44"/>
      <c r="K83" s="44"/>
    </row>
    <row r="84" spans="1:39" hidden="1" x14ac:dyDescent="0.25">
      <c r="B84" s="44"/>
      <c r="C84" s="44"/>
      <c r="D84" s="44"/>
      <c r="E84" s="44"/>
      <c r="F84" s="44"/>
      <c r="H84" s="44"/>
      <c r="I84" s="44"/>
      <c r="J84" s="44"/>
      <c r="K84" s="44"/>
    </row>
    <row r="85" spans="1:39" hidden="1" x14ac:dyDescent="0.25">
      <c r="B85" s="44"/>
      <c r="C85" s="44"/>
      <c r="D85" s="44"/>
      <c r="E85" s="44"/>
      <c r="F85" s="44"/>
      <c r="H85" s="44"/>
      <c r="I85" s="44"/>
      <c r="J85" s="44"/>
      <c r="K85" s="44"/>
      <c r="AJ85" s="40"/>
    </row>
    <row r="86" spans="1:39" hidden="1" x14ac:dyDescent="0.25">
      <c r="B86" s="44"/>
      <c r="C86" s="44"/>
      <c r="D86" s="44"/>
      <c r="E86" s="44"/>
      <c r="F86" s="44"/>
      <c r="H86" s="44"/>
      <c r="I86" s="44"/>
      <c r="J86" s="44"/>
      <c r="K86" s="44"/>
      <c r="AJ86" s="40"/>
    </row>
    <row r="87" spans="1:39" x14ac:dyDescent="0.25">
      <c r="B87" s="44"/>
      <c r="C87" s="44"/>
      <c r="D87" s="44"/>
      <c r="E87" s="44"/>
      <c r="F87" s="44"/>
      <c r="H87" s="44"/>
      <c r="I87" s="44"/>
      <c r="J87" s="44"/>
      <c r="K87" s="44"/>
      <c r="AJ87" s="40"/>
    </row>
    <row r="88" spans="1:39" x14ac:dyDescent="0.25">
      <c r="B88" s="44"/>
      <c r="C88" s="44"/>
      <c r="D88" s="44"/>
      <c r="E88" s="44"/>
      <c r="F88" s="44"/>
      <c r="H88" s="44"/>
      <c r="I88" s="44"/>
      <c r="J88" s="44"/>
      <c r="K88" s="44"/>
      <c r="AJ88" s="40"/>
    </row>
    <row r="89" spans="1:39" x14ac:dyDescent="0.25">
      <c r="B89" s="44"/>
      <c r="C89" s="44"/>
      <c r="D89" s="44"/>
      <c r="E89" s="44"/>
      <c r="F89" s="44"/>
      <c r="H89" s="44"/>
      <c r="I89" s="44"/>
      <c r="J89" s="44"/>
      <c r="K89" s="44"/>
      <c r="AJ89" s="40"/>
    </row>
    <row r="90" spans="1:39" x14ac:dyDescent="0.25">
      <c r="B90" s="44"/>
      <c r="C90" s="44"/>
      <c r="D90" s="44"/>
      <c r="E90" s="44"/>
      <c r="F90" s="44"/>
      <c r="H90" s="44"/>
      <c r="I90" s="44"/>
      <c r="J90" s="44"/>
      <c r="K90" s="44"/>
      <c r="AJ90" s="40"/>
    </row>
    <row r="91" spans="1:39" ht="15.75" thickBot="1" x14ac:dyDescent="0.3">
      <c r="B91" s="44"/>
      <c r="C91" s="44"/>
      <c r="D91" s="44"/>
      <c r="E91" s="44"/>
      <c r="F91" s="44"/>
      <c r="H91" s="44"/>
      <c r="I91" s="44"/>
      <c r="J91" s="44"/>
      <c r="K91" s="44"/>
      <c r="AI91" s="40"/>
      <c r="AJ91" s="40"/>
    </row>
    <row r="92" spans="1:39" x14ac:dyDescent="0.25">
      <c r="B92" s="72" t="s">
        <v>1573</v>
      </c>
      <c r="C92" s="73"/>
      <c r="D92" s="74"/>
      <c r="E92" s="74"/>
      <c r="F92" s="44"/>
      <c r="H92" s="44"/>
      <c r="I92" s="44"/>
      <c r="J92" s="44"/>
      <c r="K92" s="44"/>
      <c r="AI92" s="40"/>
      <c r="AJ92" s="40"/>
    </row>
    <row r="93" spans="1:39" x14ac:dyDescent="0.25">
      <c r="B93" s="75" t="s">
        <v>1574</v>
      </c>
      <c r="D93" s="80">
        <v>281</v>
      </c>
      <c r="E93" s="76"/>
      <c r="F93" s="44"/>
      <c r="H93" s="44"/>
      <c r="I93" s="44"/>
      <c r="J93" s="44"/>
      <c r="K93" s="44"/>
      <c r="AI93" s="40"/>
      <c r="AJ93" s="40"/>
    </row>
    <row r="94" spans="1:39" x14ac:dyDescent="0.25">
      <c r="B94" s="77" t="s">
        <v>1575</v>
      </c>
      <c r="D94" s="81">
        <v>531</v>
      </c>
      <c r="E94" s="76"/>
      <c r="F94" s="44"/>
      <c r="H94" s="44"/>
      <c r="I94" s="44"/>
      <c r="J94" s="44"/>
      <c r="K94" s="44"/>
      <c r="AI94" s="40"/>
      <c r="AJ94" s="40"/>
    </row>
    <row r="95" spans="1:39" x14ac:dyDescent="0.25">
      <c r="B95" s="77" t="s">
        <v>1576</v>
      </c>
      <c r="D95" s="81">
        <v>458</v>
      </c>
      <c r="E95" s="76"/>
      <c r="F95" s="44"/>
      <c r="H95" s="44"/>
      <c r="I95" s="44"/>
      <c r="J95" s="44"/>
      <c r="K95" s="44"/>
      <c r="AI95" s="40"/>
      <c r="AJ95" s="40"/>
    </row>
    <row r="96" spans="1:39" x14ac:dyDescent="0.25">
      <c r="B96" s="77" t="s">
        <v>1577</v>
      </c>
      <c r="D96" s="81">
        <v>1303</v>
      </c>
      <c r="E96" s="76"/>
      <c r="F96" s="44"/>
      <c r="H96" s="44"/>
      <c r="I96" s="44"/>
      <c r="J96" s="44"/>
      <c r="K96" s="44"/>
      <c r="AI96" s="40"/>
      <c r="AJ96" s="40"/>
    </row>
    <row r="97" spans="1:36" ht="15.75" thickBot="1" x14ac:dyDescent="0.3">
      <c r="A97" s="40"/>
      <c r="B97" s="82" t="s">
        <v>1163</v>
      </c>
      <c r="C97" s="60"/>
      <c r="D97" s="83">
        <f>SUM(D2:D96)</f>
        <v>18386</v>
      </c>
      <c r="E97" s="76"/>
      <c r="F97" s="44"/>
      <c r="H97" s="44"/>
      <c r="I97" s="44"/>
      <c r="J97" s="44"/>
      <c r="K97" s="44"/>
      <c r="AI97" s="40"/>
      <c r="AJ97" s="40"/>
    </row>
    <row r="98" spans="1:36" ht="15.75" thickBot="1" x14ac:dyDescent="0.3">
      <c r="B98" s="84" t="s">
        <v>1625</v>
      </c>
      <c r="C98" s="85"/>
      <c r="D98" s="86">
        <f>SUM(D93:D96)</f>
        <v>2573</v>
      </c>
      <c r="E98" s="87">
        <f>D98/D97</f>
        <v>0.13994343522245187</v>
      </c>
      <c r="H98" s="1"/>
      <c r="AI98" s="40"/>
      <c r="AJ98" s="40"/>
    </row>
    <row r="99" spans="1:36" x14ac:dyDescent="0.25">
      <c r="H99" s="1"/>
      <c r="AI99" s="40"/>
      <c r="AJ99" s="40"/>
    </row>
    <row r="100" spans="1:36" hidden="1" x14ac:dyDescent="0.25">
      <c r="H100" s="1"/>
      <c r="AI100" s="40"/>
      <c r="AJ100" s="40"/>
    </row>
    <row r="101" spans="1:36" hidden="1" x14ac:dyDescent="0.25">
      <c r="A101" s="40"/>
      <c r="H101" s="1"/>
      <c r="AI101" s="40"/>
      <c r="AJ101" s="40"/>
    </row>
    <row r="102" spans="1:36" hidden="1" x14ac:dyDescent="0.25">
      <c r="A102" s="40"/>
      <c r="H102" s="1"/>
      <c r="AI102" s="40"/>
      <c r="AJ102" s="40"/>
    </row>
    <row r="103" spans="1:36" hidden="1" x14ac:dyDescent="0.25">
      <c r="A103" s="40"/>
      <c r="H103" s="1"/>
      <c r="AI103" s="40"/>
      <c r="AJ103" s="40"/>
    </row>
    <row r="104" spans="1:36" hidden="1" x14ac:dyDescent="0.25">
      <c r="A104" s="40"/>
      <c r="H104" s="1"/>
      <c r="AI104" s="40"/>
      <c r="AJ104" s="40"/>
    </row>
    <row r="105" spans="1:36" hidden="1" x14ac:dyDescent="0.25">
      <c r="A105" s="40"/>
      <c r="H105" s="1"/>
      <c r="AI105" s="40"/>
      <c r="AJ105" s="40"/>
    </row>
    <row r="106" spans="1:36" hidden="1" x14ac:dyDescent="0.25">
      <c r="A106" s="40"/>
      <c r="H106" s="1"/>
      <c r="AI106" s="40"/>
      <c r="AJ106" s="40"/>
    </row>
    <row r="107" spans="1:36" hidden="1" x14ac:dyDescent="0.25">
      <c r="A107" s="40"/>
      <c r="H107" s="1"/>
      <c r="AI107" s="40"/>
      <c r="AJ107" s="40"/>
    </row>
    <row r="108" spans="1:36" hidden="1" x14ac:dyDescent="0.25">
      <c r="A108" s="40"/>
      <c r="H108" s="1"/>
      <c r="AI108" s="40"/>
      <c r="AJ108" s="40"/>
    </row>
    <row r="109" spans="1:36" hidden="1" x14ac:dyDescent="0.25">
      <c r="A109" s="40"/>
      <c r="H109" s="1"/>
      <c r="AI109" s="40"/>
      <c r="AJ109" s="40"/>
    </row>
    <row r="110" spans="1:36" hidden="1" x14ac:dyDescent="0.25">
      <c r="A110" s="40"/>
      <c r="H110" s="1"/>
      <c r="AI110" s="40"/>
      <c r="AJ110" s="40"/>
    </row>
    <row r="111" spans="1:36" hidden="1" x14ac:dyDescent="0.25">
      <c r="A111" s="40"/>
      <c r="H111" s="1"/>
      <c r="AI111" s="40"/>
      <c r="AJ111" s="40"/>
    </row>
    <row r="112" spans="1:36" hidden="1" x14ac:dyDescent="0.25">
      <c r="A112" s="40"/>
      <c r="H112" s="1"/>
      <c r="AI112" s="40"/>
      <c r="AJ112" s="40"/>
    </row>
    <row r="113" spans="1:36" hidden="1" x14ac:dyDescent="0.25">
      <c r="A113" s="40"/>
      <c r="H113" s="1"/>
      <c r="AI113" s="40"/>
      <c r="AJ113" s="40"/>
    </row>
    <row r="114" spans="1:36" hidden="1" x14ac:dyDescent="0.25">
      <c r="A114" s="40"/>
      <c r="H114" s="1"/>
      <c r="AI114" s="40"/>
      <c r="AJ114" s="40"/>
    </row>
    <row r="115" spans="1:36" hidden="1" x14ac:dyDescent="0.25">
      <c r="A115" s="40"/>
      <c r="H115" s="1"/>
      <c r="AI115" s="40"/>
      <c r="AJ115" s="40"/>
    </row>
    <row r="116" spans="1:36" hidden="1" x14ac:dyDescent="0.25">
      <c r="A116" s="40"/>
      <c r="H116" s="1"/>
      <c r="AI116" s="40"/>
      <c r="AJ116" s="40"/>
    </row>
    <row r="117" spans="1:36" hidden="1" x14ac:dyDescent="0.25">
      <c r="A117" s="40"/>
      <c r="H117" s="1"/>
      <c r="AI117" s="40"/>
      <c r="AJ117" s="40"/>
    </row>
    <row r="118" spans="1:36" hidden="1" x14ac:dyDescent="0.25">
      <c r="A118" s="40"/>
      <c r="H118" s="1"/>
      <c r="AI118" s="40"/>
      <c r="AJ118" s="40"/>
    </row>
    <row r="119" spans="1:36" hidden="1" x14ac:dyDescent="0.25">
      <c r="A119" s="40"/>
      <c r="H119" s="1"/>
      <c r="AI119" s="40"/>
      <c r="AJ119" s="40"/>
    </row>
    <row r="120" spans="1:36" hidden="1" x14ac:dyDescent="0.25">
      <c r="A120" s="40"/>
      <c r="H120" s="1"/>
      <c r="AI120" s="40"/>
      <c r="AJ120" s="40"/>
    </row>
    <row r="121" spans="1:36" hidden="1" x14ac:dyDescent="0.25">
      <c r="A121" s="40"/>
      <c r="H121" s="1"/>
      <c r="AI121" s="40"/>
      <c r="AJ121" s="40"/>
    </row>
    <row r="122" spans="1:36" hidden="1" x14ac:dyDescent="0.25">
      <c r="A122" s="40"/>
      <c r="H122" s="1"/>
      <c r="AI122" s="40"/>
      <c r="AJ122" s="40"/>
    </row>
    <row r="123" spans="1:36" hidden="1" x14ac:dyDescent="0.25">
      <c r="A123" s="40"/>
      <c r="H123" s="1"/>
      <c r="AI123" s="40"/>
      <c r="AJ123" s="40"/>
    </row>
    <row r="124" spans="1:36" hidden="1" x14ac:dyDescent="0.25">
      <c r="A124" s="40"/>
      <c r="H124" s="1"/>
      <c r="AI124" s="40"/>
      <c r="AJ124" s="40"/>
    </row>
    <row r="125" spans="1:36" hidden="1" x14ac:dyDescent="0.25">
      <c r="A125" s="40"/>
      <c r="H125" s="1"/>
      <c r="AI125" s="40"/>
      <c r="AJ125" s="40"/>
    </row>
    <row r="126" spans="1:36" hidden="1" x14ac:dyDescent="0.25">
      <c r="A126" s="40"/>
      <c r="H126" s="1"/>
      <c r="AI126" s="40"/>
      <c r="AJ126" s="40"/>
    </row>
    <row r="127" spans="1:36" hidden="1" x14ac:dyDescent="0.25">
      <c r="A127" s="40"/>
      <c r="D127" s="17">
        <f>SUM(D93:D96)</f>
        <v>2573</v>
      </c>
      <c r="E127">
        <f>D127/D97</f>
        <v>0.13994343522245187</v>
      </c>
      <c r="H127" s="1"/>
      <c r="AI127" s="40"/>
      <c r="AJ127" s="40"/>
    </row>
    <row r="128" spans="1:36" hidden="1" x14ac:dyDescent="0.25">
      <c r="A128" s="40"/>
      <c r="H128" s="1"/>
      <c r="AI128" s="40"/>
      <c r="AJ128" s="40"/>
    </row>
    <row r="129" spans="1:36" hidden="1" x14ac:dyDescent="0.25">
      <c r="A129" s="40"/>
      <c r="H129" s="1"/>
      <c r="AI129" s="40"/>
      <c r="AJ129" s="40"/>
    </row>
    <row r="130" spans="1:36" hidden="1" x14ac:dyDescent="0.25">
      <c r="A130" s="40"/>
      <c r="H130" s="1"/>
      <c r="AI130" s="40"/>
      <c r="AJ130" s="40"/>
    </row>
    <row r="131" spans="1:36" hidden="1" x14ac:dyDescent="0.25">
      <c r="A131" s="40"/>
      <c r="H131" s="1"/>
      <c r="AI131" s="40"/>
      <c r="AJ131" s="40"/>
    </row>
    <row r="132" spans="1:36" hidden="1" x14ac:dyDescent="0.25">
      <c r="A132" s="40"/>
      <c r="H132" s="1"/>
      <c r="AI132" s="40"/>
      <c r="AJ132" s="40"/>
    </row>
    <row r="133" spans="1:36" hidden="1" x14ac:dyDescent="0.25">
      <c r="A133" s="40"/>
      <c r="H133" s="1"/>
      <c r="AI133" s="40"/>
      <c r="AJ133" s="40"/>
    </row>
    <row r="134" spans="1:36" x14ac:dyDescent="0.25">
      <c r="A134" s="40"/>
      <c r="H134" s="1"/>
      <c r="AI134" s="40"/>
      <c r="AJ134" s="40"/>
    </row>
    <row r="135" spans="1:36" x14ac:dyDescent="0.25">
      <c r="H135" s="1"/>
      <c r="AI135" s="40"/>
      <c r="AJ135" s="40"/>
    </row>
    <row r="136" spans="1:36" x14ac:dyDescent="0.25">
      <c r="A136" s="40"/>
      <c r="H136" s="1"/>
      <c r="AI136" s="40"/>
      <c r="AJ136" s="40"/>
    </row>
    <row r="137" spans="1:36" hidden="1" x14ac:dyDescent="0.25">
      <c r="A137" s="40"/>
      <c r="H137" s="1"/>
      <c r="AI137" s="40"/>
      <c r="AJ137" s="40"/>
    </row>
    <row r="138" spans="1:36" hidden="1" x14ac:dyDescent="0.25">
      <c r="A138" s="40"/>
      <c r="H138" s="1"/>
      <c r="AI138" s="40"/>
      <c r="AJ138" s="40"/>
    </row>
    <row r="139" spans="1:36" hidden="1" x14ac:dyDescent="0.25">
      <c r="B139" s="2"/>
      <c r="H139" s="1"/>
      <c r="AI139" s="40"/>
      <c r="AJ139" s="40"/>
    </row>
    <row r="140" spans="1:36" hidden="1" x14ac:dyDescent="0.25">
      <c r="B140" s="2"/>
      <c r="H140" s="1"/>
      <c r="AI140" s="40"/>
      <c r="AJ140" s="40"/>
    </row>
    <row r="141" spans="1:36" hidden="1" x14ac:dyDescent="0.25">
      <c r="B141" s="2"/>
      <c r="H141" s="1"/>
      <c r="AI141" s="40"/>
      <c r="AJ141" s="40"/>
    </row>
    <row r="142" spans="1:36" hidden="1" x14ac:dyDescent="0.25">
      <c r="B142" s="2"/>
      <c r="H142" s="1"/>
      <c r="AI142" s="40"/>
      <c r="AJ142" s="40"/>
    </row>
    <row r="143" spans="1:36" hidden="1" x14ac:dyDescent="0.25">
      <c r="B143" s="2"/>
      <c r="H143" s="1"/>
      <c r="AI143" s="40"/>
      <c r="AJ143" s="40"/>
    </row>
    <row r="144" spans="1:36" hidden="1" x14ac:dyDescent="0.25">
      <c r="B144" s="2"/>
      <c r="H144" s="1"/>
      <c r="AI144" s="40"/>
      <c r="AJ144" s="40"/>
    </row>
    <row r="145" spans="1:36" hidden="1" x14ac:dyDescent="0.25">
      <c r="B145" s="2"/>
      <c r="H145" s="1"/>
      <c r="AI145" s="40"/>
      <c r="AJ145" s="40"/>
    </row>
    <row r="146" spans="1:36" hidden="1" x14ac:dyDescent="0.25">
      <c r="B146" s="2"/>
      <c r="H146" s="1"/>
    </row>
    <row r="148" spans="1:36" x14ac:dyDescent="0.25">
      <c r="C148" s="5" t="s">
        <v>150</v>
      </c>
      <c r="D148" s="6" t="s">
        <v>91</v>
      </c>
      <c r="E148" s="6" t="s">
        <v>130</v>
      </c>
      <c r="F148" s="6"/>
      <c r="G148" s="7" t="s">
        <v>395</v>
      </c>
      <c r="I148" s="13" t="s">
        <v>124</v>
      </c>
      <c r="J148" s="14"/>
      <c r="K148" s="14"/>
      <c r="L148" s="14" t="s">
        <v>135</v>
      </c>
      <c r="M148" s="14" t="s">
        <v>378</v>
      </c>
      <c r="N148" s="15" t="s">
        <v>130</v>
      </c>
      <c r="P148" s="13"/>
      <c r="Q148" s="14"/>
      <c r="R148" s="14"/>
      <c r="S148" s="14"/>
      <c r="T148" s="15"/>
    </row>
    <row r="149" spans="1:36" x14ac:dyDescent="0.25">
      <c r="C149" s="8" t="s">
        <v>129</v>
      </c>
      <c r="D149" s="1">
        <f>SUM(M149:M151,T149:T151)</f>
        <v>2490</v>
      </c>
      <c r="E149">
        <f>SUM(D2:D96)</f>
        <v>18386</v>
      </c>
      <c r="G149" s="23">
        <f>E149/D149</f>
        <v>7.3839357429718877</v>
      </c>
      <c r="I149" s="8" t="s">
        <v>133</v>
      </c>
      <c r="L149" s="17">
        <f>COUNTIF(K2:K146,"&lt;3")+COUNTIF(X2:X146,"&lt;3")+COUNTIF(R2:R146,"&lt;3")</f>
        <v>5</v>
      </c>
      <c r="M149" s="17">
        <f>SUMIF(K2:K146,"&lt;3",H2:H146)+SUMIF(R2:R146,"&lt;3",O2:O146)+SUMIF(X2:X146,"&lt;3",U2:U146)</f>
        <v>371</v>
      </c>
      <c r="N149" s="138">
        <f>SUMIF(K2:K146,"&lt;3",D2:D146)</f>
        <v>806</v>
      </c>
      <c r="P149" s="8"/>
      <c r="T149" s="9"/>
    </row>
    <row r="150" spans="1:36" x14ac:dyDescent="0.25">
      <c r="C150" s="8" t="s">
        <v>125</v>
      </c>
      <c r="D150">
        <f>COUNT(D2:D146)</f>
        <v>85</v>
      </c>
      <c r="G150" s="9"/>
      <c r="I150" s="8" t="s">
        <v>132</v>
      </c>
      <c r="L150" s="17">
        <f>COUNTIF(K2:K146,"&lt;4")+COUNTIF(X2:X146,"&lt;4")+COUNTIF(R2:R146,"&lt;4")-L149</f>
        <v>2</v>
      </c>
      <c r="M150" s="17">
        <f>SUMIF(K2:K146,"&lt;4",H2:H146)+SUMIF(R2:R146,"&lt;4",O2:O146)+SUMIF(X2:X146,"&lt;4",U2:U146)-M149</f>
        <v>43</v>
      </c>
      <c r="N150" s="138">
        <f>SUMIF(K2:K146,"&lt;4",D2:D146)-N149</f>
        <v>130</v>
      </c>
      <c r="P150" s="8"/>
      <c r="T150" s="9"/>
    </row>
    <row r="151" spans="1:36" x14ac:dyDescent="0.25">
      <c r="C151" s="8" t="s">
        <v>386</v>
      </c>
      <c r="D151">
        <f>COUNTIF(E2:E146,"AOM5000")</f>
        <v>61</v>
      </c>
      <c r="E151">
        <f>SUMIF(E2:E90,"AOM5000",D2:D90)</f>
        <v>14506</v>
      </c>
      <c r="F151" t="s">
        <v>396</v>
      </c>
      <c r="G151" s="21">
        <f>AVERAGEIF(E2:E146,"AOM5000",F2:F146)</f>
        <v>20.666666666666668</v>
      </c>
      <c r="I151" s="8" t="s">
        <v>134</v>
      </c>
      <c r="L151" s="17">
        <f>COUNTIF(K2:K146,"&lt;5")+COUNTIF(X2:X146,"&lt;5")+COUNTIF(R2:R146,"&lt;5")-L150-L149</f>
        <v>47</v>
      </c>
      <c r="M151" s="17">
        <f>SUMIF(K2:K146,"&lt;5",H2:H146)+SUMIF(R2:R146,"&lt;5",O2:O146)+SUMIF(X2:X146,"&lt;5",U2:U146)-M150-M149</f>
        <v>2076</v>
      </c>
      <c r="N151" s="138">
        <f>SUMIF(K2:K146,"&lt;5",D2:D146)-N150-N149</f>
        <v>9281</v>
      </c>
      <c r="P151" s="8"/>
      <c r="T151" s="9"/>
    </row>
    <row r="152" spans="1:36" x14ac:dyDescent="0.25">
      <c r="C152" s="8" t="s">
        <v>387</v>
      </c>
      <c r="D152">
        <f>COUNTIF(E2:E146,"AOM4000")</f>
        <v>14</v>
      </c>
      <c r="E152">
        <f>SUMIF(E2:E89,"AOM4000",D2:D89)</f>
        <v>776</v>
      </c>
      <c r="F152" t="s">
        <v>397</v>
      </c>
      <c r="G152" s="21">
        <f>AVERAGEIF(E2:E146,"AOM4000",F2:F146)</f>
        <v>20</v>
      </c>
      <c r="I152" s="8" t="s">
        <v>1717</v>
      </c>
      <c r="L152" s="17">
        <f>COUNTIF(K2:K146,"&lt;7")+COUNTIF(X2:X146,"&lt;7")+COUNTIF(R2:R146,"&lt;7")-L151-L150-L149</f>
        <v>28</v>
      </c>
      <c r="M152" s="17">
        <f>SUMIF(K3:K147,"&lt;7",H3:H147)+SUMIF(R3:R147,"&lt;7",O3:O147)+SUMIF(X3:X147,"&lt;7",U3:U147)-M151-M150-M149</f>
        <v>308</v>
      </c>
      <c r="N152" s="138">
        <f>SUMIF(K3:K147,"&lt;7",D3:D147)-N151-N150-N149</f>
        <v>1937</v>
      </c>
      <c r="P152" s="8"/>
      <c r="T152" s="9"/>
    </row>
    <row r="153" spans="1:36" x14ac:dyDescent="0.25">
      <c r="C153" s="8" t="s">
        <v>390</v>
      </c>
      <c r="D153" s="18">
        <f>D151/(D152+D151)*100</f>
        <v>81.333333333333329</v>
      </c>
      <c r="E153" s="18">
        <f>E151/(E152+E151)*100</f>
        <v>94.922130611176541</v>
      </c>
      <c r="G153" s="9"/>
      <c r="I153" s="8" t="s">
        <v>1698</v>
      </c>
      <c r="L153" s="17">
        <f>COUNTIF(K2:K146,"&lt;17")+COUNTIF(X2:X146,"&lt;17")+COUNTIF(R2:R146,"&lt;17")-L151-L150-L149-L152</f>
        <v>6</v>
      </c>
      <c r="M153" s="17">
        <f>SUMIF(K3:K147,"&lt;17",H3:H147)+SUMIF(R3:R147,"&lt;17",O3:O147)+SUMIF(X3:X147,"&lt;17",U3:U147)-M151-M150-M149-M152</f>
        <v>224</v>
      </c>
      <c r="N153" s="138">
        <f>SUMIF(K3:K147,"&lt;17",D3:D147)-N151-N150-N149-N152</f>
        <v>3168</v>
      </c>
      <c r="P153" s="8"/>
      <c r="T153" s="9"/>
    </row>
    <row r="154" spans="1:36" x14ac:dyDescent="0.25">
      <c r="C154" s="16" t="s">
        <v>128</v>
      </c>
      <c r="D154" s="22">
        <f>D151/D150*100</f>
        <v>71.764705882352942</v>
      </c>
      <c r="E154" s="22">
        <f>E151/E149*100</f>
        <v>78.896986837811383</v>
      </c>
      <c r="F154" s="11"/>
      <c r="G154" s="12"/>
      <c r="I154" s="8" t="s">
        <v>136</v>
      </c>
      <c r="L154">
        <f>COUNTA(L2:L146)</f>
        <v>5</v>
      </c>
      <c r="N154" s="9"/>
      <c r="P154" s="8"/>
      <c r="T154" s="9"/>
    </row>
    <row r="155" spans="1:36" x14ac:dyDescent="0.25">
      <c r="F155" t="s">
        <v>388</v>
      </c>
      <c r="I155" s="10"/>
      <c r="J155" s="11"/>
      <c r="K155" s="11"/>
      <c r="L155" s="11"/>
      <c r="M155" s="11"/>
      <c r="N155" s="12"/>
      <c r="P155" s="10"/>
      <c r="Q155" s="11"/>
      <c r="R155" s="11"/>
      <c r="S155" s="11"/>
      <c r="T155" s="12"/>
    </row>
    <row r="156" spans="1:36" ht="15.75" thickBot="1" x14ac:dyDescent="0.3">
      <c r="B156" t="s">
        <v>544</v>
      </c>
      <c r="C156" s="5" t="s">
        <v>149</v>
      </c>
      <c r="D156" s="6" t="s">
        <v>135</v>
      </c>
      <c r="E156" s="7" t="s">
        <v>130</v>
      </c>
      <c r="F156" s="5" t="s">
        <v>93</v>
      </c>
      <c r="G156" s="7" t="s">
        <v>94</v>
      </c>
    </row>
    <row r="157" spans="1:36" x14ac:dyDescent="0.25">
      <c r="A157">
        <f t="shared" ref="A157:A177" si="10">COUNTIF($C$157:$C$180,C157)</f>
        <v>1</v>
      </c>
      <c r="B157" s="18">
        <f t="shared" ref="B157:B177" si="11">E157/$E$149*100</f>
        <v>36.90851735015773</v>
      </c>
      <c r="C157" s="8" t="s">
        <v>1247</v>
      </c>
      <c r="D157">
        <f t="shared" ref="D157" si="12">COUNTIF(C$2:C$146,C157)</f>
        <v>22</v>
      </c>
      <c r="E157" s="9">
        <f>SUMIF(C$2:C$88,C157,D$2:D$88)</f>
        <v>6786</v>
      </c>
      <c r="F157" s="8">
        <f t="shared" ref="F157" si="13">SUMIFS($D$2:$D$146,$C$2:$C$146,C157,$E$2:$E$146,$F$156)</f>
        <v>0</v>
      </c>
      <c r="G157" s="9">
        <f t="shared" ref="G157" si="14">SUMIFS($D$2:$D$146,$C$2:$C$146,C157,$E$2:$E$146,$G$156)</f>
        <v>6416</v>
      </c>
      <c r="I157" s="116" t="s">
        <v>376</v>
      </c>
      <c r="J157" s="117" t="s">
        <v>377</v>
      </c>
      <c r="K157" s="74" t="s">
        <v>1795</v>
      </c>
      <c r="M157" s="116" t="s">
        <v>376</v>
      </c>
      <c r="N157" s="117" t="s">
        <v>377</v>
      </c>
    </row>
    <row r="158" spans="1:36" x14ac:dyDescent="0.25">
      <c r="A158">
        <f t="shared" si="10"/>
        <v>1</v>
      </c>
      <c r="B158" s="18">
        <f t="shared" si="11"/>
        <v>2.0504731861198739</v>
      </c>
      <c r="C158" t="s">
        <v>605</v>
      </c>
      <c r="D158">
        <f t="shared" ref="D158:D178" si="15">COUNTIF(C$2:C$146,C158)</f>
        <v>4</v>
      </c>
      <c r="E158" s="9">
        <f t="shared" ref="E158:E178" si="16">SUMIF(C$2:C$146,C158,D$2:D$146)</f>
        <v>377</v>
      </c>
      <c r="F158" s="8">
        <f t="shared" ref="F158:F178" si="17">SUMIFS($D$2:$D$146,$C$2:$C$146,C158,$E$2:$E$146,$F$156)</f>
        <v>46</v>
      </c>
      <c r="G158" s="9">
        <f t="shared" ref="G158:G178" si="18">SUMIFS($D$2:$D$146,$C$2:$C$146,C158,$E$2:$E$146,$G$156)</f>
        <v>331</v>
      </c>
      <c r="I158" s="77" t="s">
        <v>113</v>
      </c>
      <c r="J158" s="120">
        <f t="shared" ref="J158:J176" si="19">SUMIF(I$2:I$146,I158,H$2:H$146)+SUMIF(P$2:P$146,I158,O$2:O$146)+SUMIF(V$2:V$146,I158,U$2:U$146)+SUMIF(AB$2:AB$146,I158,AA$2:AA$146)</f>
        <v>40</v>
      </c>
      <c r="K158" s="120" t="e">
        <f t="shared" ref="K158:K176" si="20">AVERAGEIF($I$2:$I$79,I158,$AL$2:$AL$79)</f>
        <v>#DIV/0!</v>
      </c>
      <c r="M158" s="77" t="s">
        <v>949</v>
      </c>
      <c r="N158" s="76">
        <f t="shared" ref="N158:N170" si="21">SUMIF($I$2:$I$79,M158&amp;"*",$H$2:$H$79)+SUMIF($P$2:$P$79,M158&amp;"*",$O$2:$O$79)+SUMIF($V$2:$V$72,M158&amp;"*",$U$2:$U$72)+SUMIF($AB$2:$AB$72,M158&amp;"*",$AA$2:$AA$72)</f>
        <v>40</v>
      </c>
    </row>
    <row r="159" spans="1:36" x14ac:dyDescent="0.25">
      <c r="A159">
        <f t="shared" si="10"/>
        <v>1</v>
      </c>
      <c r="B159" s="18">
        <f t="shared" si="11"/>
        <v>7.9027520939845539</v>
      </c>
      <c r="C159" s="8" t="s">
        <v>138</v>
      </c>
      <c r="D159">
        <f t="shared" si="15"/>
        <v>12</v>
      </c>
      <c r="E159" s="9">
        <f t="shared" si="16"/>
        <v>1453</v>
      </c>
      <c r="F159" s="8">
        <f t="shared" si="17"/>
        <v>199</v>
      </c>
      <c r="G159" s="9">
        <f t="shared" si="18"/>
        <v>1254</v>
      </c>
      <c r="I159" s="77" t="s">
        <v>110</v>
      </c>
      <c r="J159" s="120">
        <f t="shared" si="19"/>
        <v>259</v>
      </c>
      <c r="K159" s="120">
        <f t="shared" si="20"/>
        <v>461.33333333333331</v>
      </c>
      <c r="M159" s="77" t="s">
        <v>951</v>
      </c>
      <c r="N159" s="76">
        <f t="shared" si="21"/>
        <v>259</v>
      </c>
    </row>
    <row r="160" spans="1:36" x14ac:dyDescent="0.25">
      <c r="A160">
        <f t="shared" si="10"/>
        <v>1</v>
      </c>
      <c r="B160" s="18">
        <f t="shared" si="11"/>
        <v>0.70705971935168066</v>
      </c>
      <c r="C160" s="8" t="s">
        <v>137</v>
      </c>
      <c r="D160">
        <f t="shared" si="15"/>
        <v>1</v>
      </c>
      <c r="E160" s="9">
        <f t="shared" si="16"/>
        <v>130</v>
      </c>
      <c r="F160" s="8">
        <f t="shared" si="17"/>
        <v>0</v>
      </c>
      <c r="G160" s="9">
        <f t="shared" si="18"/>
        <v>0</v>
      </c>
      <c r="I160" s="77" t="s">
        <v>1156</v>
      </c>
      <c r="J160" s="120">
        <f t="shared" si="19"/>
        <v>44</v>
      </c>
      <c r="K160" s="120">
        <f t="shared" si="20"/>
        <v>535</v>
      </c>
      <c r="M160" s="77" t="s">
        <v>954</v>
      </c>
      <c r="N160" s="76">
        <f t="shared" si="21"/>
        <v>44</v>
      </c>
    </row>
    <row r="161" spans="1:14" x14ac:dyDescent="0.25">
      <c r="A161">
        <f t="shared" si="10"/>
        <v>1</v>
      </c>
      <c r="B161" s="18">
        <f t="shared" si="11"/>
        <v>1.789404982051561</v>
      </c>
      <c r="C161" s="8" t="s">
        <v>140</v>
      </c>
      <c r="D161">
        <f t="shared" si="15"/>
        <v>3</v>
      </c>
      <c r="E161" s="9">
        <f t="shared" si="16"/>
        <v>329</v>
      </c>
      <c r="F161" s="8">
        <f t="shared" si="17"/>
        <v>0</v>
      </c>
      <c r="G161" s="9">
        <f t="shared" si="18"/>
        <v>329</v>
      </c>
      <c r="I161" s="77" t="s">
        <v>574</v>
      </c>
      <c r="J161" s="120">
        <f t="shared" si="19"/>
        <v>72</v>
      </c>
      <c r="K161" s="120">
        <f t="shared" si="20"/>
        <v>39</v>
      </c>
      <c r="M161" s="77" t="s">
        <v>955</v>
      </c>
      <c r="N161" s="76">
        <f t="shared" si="21"/>
        <v>72</v>
      </c>
    </row>
    <row r="162" spans="1:14" x14ac:dyDescent="0.25">
      <c r="A162">
        <f t="shared" si="10"/>
        <v>1</v>
      </c>
      <c r="B162" s="18">
        <f t="shared" si="11"/>
        <v>0.36984662243010985</v>
      </c>
      <c r="C162" t="s">
        <v>1541</v>
      </c>
      <c r="D162">
        <f t="shared" si="15"/>
        <v>1</v>
      </c>
      <c r="E162" s="9">
        <f t="shared" si="16"/>
        <v>68</v>
      </c>
      <c r="F162" s="8">
        <f t="shared" si="17"/>
        <v>0</v>
      </c>
      <c r="G162" s="9">
        <f t="shared" si="18"/>
        <v>68</v>
      </c>
      <c r="I162" s="77" t="s">
        <v>109</v>
      </c>
      <c r="J162" s="120">
        <f t="shared" si="19"/>
        <v>7</v>
      </c>
      <c r="K162" s="120" t="e">
        <f t="shared" si="20"/>
        <v>#DIV/0!</v>
      </c>
      <c r="M162" s="77" t="s">
        <v>956</v>
      </c>
      <c r="N162" s="76">
        <f t="shared" si="21"/>
        <v>7</v>
      </c>
    </row>
    <row r="163" spans="1:14" x14ac:dyDescent="0.25">
      <c r="A163">
        <f t="shared" si="10"/>
        <v>1</v>
      </c>
      <c r="B163" s="18">
        <f t="shared" si="11"/>
        <v>1.6425541172631348</v>
      </c>
      <c r="C163" s="8" t="s">
        <v>146</v>
      </c>
      <c r="D163">
        <f t="shared" si="15"/>
        <v>4</v>
      </c>
      <c r="E163" s="9">
        <f t="shared" si="16"/>
        <v>302</v>
      </c>
      <c r="F163" s="8">
        <f t="shared" si="17"/>
        <v>125</v>
      </c>
      <c r="G163" s="9">
        <f t="shared" si="18"/>
        <v>177</v>
      </c>
      <c r="I163" s="77" t="s">
        <v>121</v>
      </c>
      <c r="J163" s="120">
        <f t="shared" si="19"/>
        <v>30</v>
      </c>
      <c r="K163" s="120">
        <f t="shared" si="20"/>
        <v>327</v>
      </c>
      <c r="M163" s="77" t="s">
        <v>957</v>
      </c>
      <c r="N163" s="76">
        <f t="shared" si="21"/>
        <v>166</v>
      </c>
    </row>
    <row r="164" spans="1:14" x14ac:dyDescent="0.25">
      <c r="A164">
        <f t="shared" si="10"/>
        <v>1</v>
      </c>
      <c r="B164" s="18">
        <f t="shared" si="11"/>
        <v>2.6324377243554875</v>
      </c>
      <c r="C164" t="s">
        <v>27</v>
      </c>
      <c r="D164">
        <f t="shared" si="15"/>
        <v>4</v>
      </c>
      <c r="E164" s="9">
        <f t="shared" si="16"/>
        <v>484</v>
      </c>
      <c r="F164" s="8">
        <f t="shared" si="17"/>
        <v>0</v>
      </c>
      <c r="G164" s="9">
        <f t="shared" si="18"/>
        <v>484</v>
      </c>
      <c r="I164" s="77" t="s">
        <v>1559</v>
      </c>
      <c r="J164" s="120">
        <f t="shared" si="19"/>
        <v>136</v>
      </c>
      <c r="K164" s="120">
        <f t="shared" si="20"/>
        <v>306.66666666666669</v>
      </c>
      <c r="M164" s="77" t="s">
        <v>958</v>
      </c>
      <c r="N164" s="76">
        <f t="shared" si="21"/>
        <v>932</v>
      </c>
    </row>
    <row r="165" spans="1:14" x14ac:dyDescent="0.25">
      <c r="A165">
        <f t="shared" si="10"/>
        <v>1</v>
      </c>
      <c r="B165" s="18">
        <f t="shared" si="11"/>
        <v>1.3814859131948223</v>
      </c>
      <c r="C165" s="8" t="s">
        <v>144</v>
      </c>
      <c r="D165">
        <f t="shared" si="15"/>
        <v>1</v>
      </c>
      <c r="E165" s="9">
        <f t="shared" si="16"/>
        <v>254</v>
      </c>
      <c r="F165" s="8">
        <f t="shared" si="17"/>
        <v>0</v>
      </c>
      <c r="G165" s="9">
        <f t="shared" si="18"/>
        <v>254</v>
      </c>
      <c r="I165" s="77" t="s">
        <v>619</v>
      </c>
      <c r="J165" s="120">
        <f t="shared" si="19"/>
        <v>223</v>
      </c>
      <c r="K165" s="120">
        <f t="shared" si="20"/>
        <v>276.75</v>
      </c>
      <c r="M165" s="77" t="s">
        <v>1626</v>
      </c>
      <c r="N165" s="76">
        <f t="shared" si="21"/>
        <v>36</v>
      </c>
    </row>
    <row r="166" spans="1:14" x14ac:dyDescent="0.25">
      <c r="A166">
        <f t="shared" si="10"/>
        <v>1</v>
      </c>
      <c r="B166" s="18">
        <f t="shared" si="11"/>
        <v>7.1249864026977043</v>
      </c>
      <c r="C166" s="8" t="s">
        <v>141</v>
      </c>
      <c r="D166">
        <f t="shared" si="15"/>
        <v>1</v>
      </c>
      <c r="E166" s="9">
        <f t="shared" si="16"/>
        <v>1310</v>
      </c>
      <c r="F166" s="8">
        <f t="shared" si="17"/>
        <v>0</v>
      </c>
      <c r="G166" s="9">
        <f t="shared" si="18"/>
        <v>1310</v>
      </c>
      <c r="I166" s="77" t="s">
        <v>1400</v>
      </c>
      <c r="J166" s="120">
        <f t="shared" si="19"/>
        <v>668</v>
      </c>
      <c r="K166" s="120">
        <f t="shared" si="20"/>
        <v>241.72727272727272</v>
      </c>
      <c r="M166" s="77" t="s">
        <v>1627</v>
      </c>
      <c r="N166" s="76">
        <f t="shared" si="21"/>
        <v>298</v>
      </c>
    </row>
    <row r="167" spans="1:14" x14ac:dyDescent="0.25">
      <c r="A167">
        <f t="shared" si="10"/>
        <v>1</v>
      </c>
      <c r="B167" s="18">
        <f t="shared" si="11"/>
        <v>1.5011421733927988</v>
      </c>
      <c r="C167" t="s">
        <v>45</v>
      </c>
      <c r="D167">
        <f t="shared" si="15"/>
        <v>2</v>
      </c>
      <c r="E167" s="9">
        <f t="shared" si="16"/>
        <v>276</v>
      </c>
      <c r="F167" s="8">
        <f t="shared" si="17"/>
        <v>0</v>
      </c>
      <c r="G167" s="9">
        <f t="shared" si="18"/>
        <v>276</v>
      </c>
      <c r="I167" s="77" t="s">
        <v>1234</v>
      </c>
      <c r="J167" s="120">
        <f t="shared" si="19"/>
        <v>1</v>
      </c>
      <c r="K167" s="120" t="e">
        <f t="shared" si="20"/>
        <v>#DIV/0!</v>
      </c>
      <c r="M167" s="77" t="s">
        <v>1715</v>
      </c>
      <c r="N167" s="76">
        <f t="shared" si="21"/>
        <v>960</v>
      </c>
    </row>
    <row r="168" spans="1:14" x14ac:dyDescent="0.25">
      <c r="A168">
        <f t="shared" si="10"/>
        <v>1</v>
      </c>
      <c r="B168" s="18">
        <f t="shared" si="11"/>
        <v>2.9587729794408788</v>
      </c>
      <c r="C168" t="s">
        <v>528</v>
      </c>
      <c r="D168">
        <f t="shared" si="15"/>
        <v>3</v>
      </c>
      <c r="E168" s="9">
        <f t="shared" si="16"/>
        <v>544</v>
      </c>
      <c r="F168" s="8">
        <f t="shared" si="17"/>
        <v>63</v>
      </c>
      <c r="G168" s="9">
        <f t="shared" si="18"/>
        <v>481</v>
      </c>
      <c r="I168" s="77" t="s">
        <v>1664</v>
      </c>
      <c r="J168" s="120">
        <f t="shared" si="19"/>
        <v>25</v>
      </c>
      <c r="K168" s="120">
        <f t="shared" si="20"/>
        <v>350.33333333333331</v>
      </c>
      <c r="M168" s="77" t="s">
        <v>1793</v>
      </c>
      <c r="N168" s="76">
        <f t="shared" si="21"/>
        <v>6</v>
      </c>
    </row>
    <row r="169" spans="1:14" x14ac:dyDescent="0.25">
      <c r="A169">
        <f t="shared" si="10"/>
        <v>1</v>
      </c>
      <c r="B169" s="18">
        <f t="shared" si="11"/>
        <v>0.47318611987381703</v>
      </c>
      <c r="C169" s="8" t="s">
        <v>1616</v>
      </c>
      <c r="D169">
        <f t="shared" si="15"/>
        <v>1</v>
      </c>
      <c r="E169" s="9">
        <f t="shared" si="16"/>
        <v>87</v>
      </c>
      <c r="F169" s="8">
        <f t="shared" si="17"/>
        <v>0</v>
      </c>
      <c r="G169" s="9">
        <f t="shared" si="18"/>
        <v>87</v>
      </c>
      <c r="I169" s="77" t="s">
        <v>1565</v>
      </c>
      <c r="J169" s="120">
        <f t="shared" si="19"/>
        <v>36</v>
      </c>
      <c r="K169" s="120">
        <f t="shared" si="20"/>
        <v>184</v>
      </c>
      <c r="M169" s="77" t="s">
        <v>1629</v>
      </c>
      <c r="N169" s="76">
        <f t="shared" si="21"/>
        <v>25</v>
      </c>
    </row>
    <row r="170" spans="1:14" ht="15.75" thickBot="1" x14ac:dyDescent="0.3">
      <c r="A170">
        <f t="shared" si="10"/>
        <v>1</v>
      </c>
      <c r="B170" s="18">
        <f t="shared" si="11"/>
        <v>0.24475144131404331</v>
      </c>
      <c r="C170" s="8" t="s">
        <v>148</v>
      </c>
      <c r="D170">
        <f t="shared" si="15"/>
        <v>1</v>
      </c>
      <c r="E170" s="9">
        <f t="shared" si="16"/>
        <v>45</v>
      </c>
      <c r="F170" s="8">
        <f t="shared" si="17"/>
        <v>45</v>
      </c>
      <c r="G170" s="9">
        <f t="shared" si="18"/>
        <v>0</v>
      </c>
      <c r="I170" s="121" t="s">
        <v>1220</v>
      </c>
      <c r="J170" s="120">
        <f t="shared" si="19"/>
        <v>16</v>
      </c>
      <c r="K170" s="120">
        <f t="shared" si="20"/>
        <v>371.5</v>
      </c>
      <c r="M170" s="77" t="s">
        <v>1792</v>
      </c>
      <c r="N170" s="76">
        <f t="shared" si="21"/>
        <v>192</v>
      </c>
    </row>
    <row r="171" spans="1:14" ht="15.75" thickBot="1" x14ac:dyDescent="0.3">
      <c r="A171">
        <f t="shared" si="10"/>
        <v>1</v>
      </c>
      <c r="B171" s="18">
        <f t="shared" si="11"/>
        <v>2.7684107473077342</v>
      </c>
      <c r="C171" s="8" t="s">
        <v>166</v>
      </c>
      <c r="D171">
        <f t="shared" si="15"/>
        <v>6</v>
      </c>
      <c r="E171" s="9">
        <f t="shared" si="16"/>
        <v>509</v>
      </c>
      <c r="F171" s="8">
        <f t="shared" si="17"/>
        <v>190</v>
      </c>
      <c r="G171" s="9">
        <f t="shared" si="18"/>
        <v>288</v>
      </c>
      <c r="I171" s="77" t="s">
        <v>1486</v>
      </c>
      <c r="J171" s="120">
        <f t="shared" si="19"/>
        <v>281</v>
      </c>
      <c r="K171" s="120">
        <f t="shared" si="20"/>
        <v>290.42105263157896</v>
      </c>
      <c r="M171" s="123"/>
      <c r="N171" s="124">
        <f>SUM(N158:N170)</f>
        <v>3037</v>
      </c>
    </row>
    <row r="172" spans="1:14" x14ac:dyDescent="0.25">
      <c r="A172">
        <f t="shared" si="10"/>
        <v>1</v>
      </c>
      <c r="B172" s="18">
        <f t="shared" si="11"/>
        <v>1.45763080604808</v>
      </c>
      <c r="C172" s="8" t="s">
        <v>165</v>
      </c>
      <c r="D172">
        <f t="shared" si="15"/>
        <v>2</v>
      </c>
      <c r="E172" s="9">
        <f t="shared" si="16"/>
        <v>268</v>
      </c>
      <c r="F172" s="8">
        <f t="shared" si="17"/>
        <v>0</v>
      </c>
      <c r="G172" s="9">
        <f t="shared" si="18"/>
        <v>268</v>
      </c>
      <c r="I172" s="77" t="s">
        <v>1780</v>
      </c>
      <c r="J172" s="120">
        <f t="shared" si="19"/>
        <v>1</v>
      </c>
      <c r="K172" s="120">
        <f t="shared" si="20"/>
        <v>93</v>
      </c>
    </row>
    <row r="173" spans="1:14" x14ac:dyDescent="0.25">
      <c r="A173">
        <f t="shared" si="10"/>
        <v>1</v>
      </c>
      <c r="B173" s="18">
        <f t="shared" si="11"/>
        <v>0.33721309692157075</v>
      </c>
      <c r="C173" s="8" t="s">
        <v>176</v>
      </c>
      <c r="D173">
        <f t="shared" si="15"/>
        <v>2</v>
      </c>
      <c r="E173" s="9">
        <f t="shared" si="16"/>
        <v>62</v>
      </c>
      <c r="F173" s="8">
        <f t="shared" si="17"/>
        <v>62</v>
      </c>
      <c r="G173" s="9">
        <f t="shared" si="18"/>
        <v>0</v>
      </c>
      <c r="I173" s="77" t="s">
        <v>1709</v>
      </c>
      <c r="J173" s="120">
        <f t="shared" si="19"/>
        <v>960</v>
      </c>
      <c r="K173" s="120">
        <f t="shared" si="20"/>
        <v>409.3</v>
      </c>
      <c r="N173" s="8"/>
    </row>
    <row r="174" spans="1:14" x14ac:dyDescent="0.25">
      <c r="A174">
        <f t="shared" si="10"/>
        <v>1</v>
      </c>
      <c r="B174" s="18">
        <f t="shared" si="11"/>
        <v>6.9563798542369186</v>
      </c>
      <c r="C174" s="8" t="s">
        <v>161</v>
      </c>
      <c r="D174">
        <f t="shared" si="15"/>
        <v>2</v>
      </c>
      <c r="E174" s="9">
        <f t="shared" si="16"/>
        <v>1279</v>
      </c>
      <c r="F174" s="8">
        <f t="shared" si="17"/>
        <v>0</v>
      </c>
      <c r="G174" s="9">
        <f t="shared" si="18"/>
        <v>1279</v>
      </c>
      <c r="I174" s="77" t="s">
        <v>1785</v>
      </c>
      <c r="J174" s="120">
        <f t="shared" si="19"/>
        <v>6</v>
      </c>
      <c r="K174" s="120">
        <f t="shared" si="20"/>
        <v>518</v>
      </c>
      <c r="N174" s="8"/>
    </row>
    <row r="175" spans="1:14" x14ac:dyDescent="0.25">
      <c r="A175">
        <f t="shared" si="10"/>
        <v>1</v>
      </c>
      <c r="B175" s="18">
        <f t="shared" si="11"/>
        <v>0.14685086478842599</v>
      </c>
      <c r="C175" s="8" t="s">
        <v>163</v>
      </c>
      <c r="D175">
        <f t="shared" si="15"/>
        <v>1</v>
      </c>
      <c r="E175" s="9">
        <f t="shared" si="16"/>
        <v>27</v>
      </c>
      <c r="F175" s="8">
        <f t="shared" si="17"/>
        <v>0</v>
      </c>
      <c r="G175" s="9">
        <f t="shared" si="18"/>
        <v>27</v>
      </c>
      <c r="I175" s="77" t="s">
        <v>1481</v>
      </c>
      <c r="J175" s="120">
        <f t="shared" si="19"/>
        <v>25</v>
      </c>
      <c r="K175" s="120">
        <f t="shared" si="20"/>
        <v>617</v>
      </c>
      <c r="N175" s="8"/>
    </row>
    <row r="176" spans="1:14" ht="15.75" thickBot="1" x14ac:dyDescent="0.3">
      <c r="A176">
        <f t="shared" si="10"/>
        <v>1</v>
      </c>
      <c r="B176" s="18">
        <f t="shared" si="11"/>
        <v>2.1592516044816707</v>
      </c>
      <c r="C176" s="8" t="s">
        <v>318</v>
      </c>
      <c r="D176">
        <f t="shared" si="15"/>
        <v>3</v>
      </c>
      <c r="E176" s="9">
        <f t="shared" si="16"/>
        <v>397</v>
      </c>
      <c r="F176" s="8">
        <f t="shared" si="17"/>
        <v>0</v>
      </c>
      <c r="G176" s="9">
        <f t="shared" si="18"/>
        <v>397</v>
      </c>
      <c r="I176" s="118" t="s">
        <v>1776</v>
      </c>
      <c r="J176" s="147">
        <f t="shared" si="19"/>
        <v>192</v>
      </c>
      <c r="K176" s="122">
        <f t="shared" si="20"/>
        <v>614</v>
      </c>
    </row>
    <row r="177" spans="1:12" x14ac:dyDescent="0.25">
      <c r="A177">
        <f t="shared" si="10"/>
        <v>1</v>
      </c>
      <c r="B177" s="18">
        <f t="shared" si="11"/>
        <v>4.2423583161100833</v>
      </c>
      <c r="C177" s="8" t="s">
        <v>527</v>
      </c>
      <c r="D177">
        <f t="shared" si="15"/>
        <v>1</v>
      </c>
      <c r="E177" s="9">
        <f t="shared" si="16"/>
        <v>780</v>
      </c>
      <c r="F177" s="8">
        <f t="shared" si="17"/>
        <v>0</v>
      </c>
      <c r="G177" s="9">
        <f t="shared" si="18"/>
        <v>780</v>
      </c>
      <c r="J177" s="1">
        <f>SUM(J158:J176)</f>
        <v>3022</v>
      </c>
      <c r="L177" s="17">
        <f>J177-SUM(H2:H79)-SUM(O2:O79)-SUM(U2:U79)</f>
        <v>-120.75</v>
      </c>
    </row>
    <row r="178" spans="1:12" x14ac:dyDescent="0.25">
      <c r="B178" s="18"/>
      <c r="C178" s="8" t="s">
        <v>145</v>
      </c>
      <c r="D178">
        <f t="shared" si="15"/>
        <v>1</v>
      </c>
      <c r="E178" s="9">
        <f t="shared" si="16"/>
        <v>46</v>
      </c>
      <c r="F178" s="8">
        <f t="shared" si="17"/>
        <v>46</v>
      </c>
      <c r="G178" s="9">
        <f t="shared" si="18"/>
        <v>0</v>
      </c>
    </row>
    <row r="179" spans="1:12" x14ac:dyDescent="0.25">
      <c r="B179" s="18">
        <f>E179/$E$149*100</f>
        <v>86.005656477754812</v>
      </c>
      <c r="E179" s="9">
        <f>SUM(E157:E178)</f>
        <v>15813</v>
      </c>
      <c r="F179" s="13">
        <f>SUM(F157:F178)</f>
        <v>776</v>
      </c>
      <c r="G179" s="15">
        <f>SUM(G157:G178)</f>
        <v>14506</v>
      </c>
      <c r="I179" t="s">
        <v>1819</v>
      </c>
      <c r="J179">
        <f>E179/J177</f>
        <v>5.2326273990734613</v>
      </c>
    </row>
    <row r="180" spans="1:12" x14ac:dyDescent="0.25">
      <c r="B180" s="18">
        <f>E180/$E$149*100</f>
        <v>13.994343522245186</v>
      </c>
      <c r="E180" s="9">
        <f>E149-E179</f>
        <v>2573</v>
      </c>
      <c r="F180" s="10" t="s">
        <v>389</v>
      </c>
      <c r="G180" s="12">
        <f>E149-F179-G179</f>
        <v>3104</v>
      </c>
    </row>
    <row r="184" spans="1:12" x14ac:dyDescent="0.25">
      <c r="C184" s="13"/>
      <c r="D184" s="14" t="s">
        <v>93</v>
      </c>
      <c r="E184" s="15" t="s">
        <v>94</v>
      </c>
    </row>
    <row r="185" spans="1:12" x14ac:dyDescent="0.25">
      <c r="C185" s="8" t="s">
        <v>402</v>
      </c>
      <c r="D185">
        <f>SUMIFS($D$2:$D$89,$E$2:$E$89,D$184,$F$2:$F$89,"&lt;5.1")</f>
        <v>0</v>
      </c>
      <c r="E185" s="9">
        <f>SUMIFS($D$2:$D$135,$E$2:$E$135,E$184,$F$2:$F$135,"&lt;5.1")</f>
        <v>0</v>
      </c>
      <c r="F185" s="3">
        <f>SUMIFS(D2:D135,E2:E135,E184,F2:F135,"&lt;5,1")</f>
        <v>960</v>
      </c>
      <c r="G185" s="3"/>
    </row>
    <row r="186" spans="1:12" x14ac:dyDescent="0.25">
      <c r="C186" s="29" t="s">
        <v>403</v>
      </c>
      <c r="D186">
        <f>SUMIFS($D$2:$D$146,$E$2:$E$146,D$184,$F$2:$F$146,"&lt;10.1")-D185</f>
        <v>0</v>
      </c>
      <c r="E186" s="9">
        <f>SUMIFS($D$2:$D$146,$E$2:$E$146,E$184,$F$2:$F$146,"&lt;10.1")-E185</f>
        <v>0</v>
      </c>
      <c r="G186" s="18"/>
    </row>
    <row r="187" spans="1:12" x14ac:dyDescent="0.25">
      <c r="C187" s="29" t="s">
        <v>404</v>
      </c>
      <c r="D187">
        <f>SUMIFS($D$2:$D$146,$E$2:$E$146,D$184,$F$2:$F$146,"&lt;15.1")-D186-D185</f>
        <v>0</v>
      </c>
      <c r="E187" s="9">
        <f>SUMIFS($D$2:$D$146,$E$2:$E$146,E$184,$F$2:$F$146,"&lt;15.1")-E186-E185</f>
        <v>0</v>
      </c>
    </row>
    <row r="188" spans="1:12" x14ac:dyDescent="0.25">
      <c r="C188" s="29" t="s">
        <v>102</v>
      </c>
      <c r="D188">
        <f>SUMIFS($D$2:$D$146,$E$2:$E$146,D$184,$F$2:$F$146,"&lt;20.1")-D187-D186-D185</f>
        <v>0</v>
      </c>
      <c r="E188" s="9">
        <f>SUMIFS($D$2:$D$146,$E$2:$E$146,E$184,$F$2:$F$146,"&lt;20.1")-E187-E186-E185</f>
        <v>0</v>
      </c>
      <c r="G188" s="18"/>
    </row>
    <row r="189" spans="1:12" x14ac:dyDescent="0.25">
      <c r="C189" s="8" t="s">
        <v>405</v>
      </c>
      <c r="D189">
        <f>SUMIFS($D$2:$D$146,$E$2:$E$146,D$184,$F$2:$F$146,"&lt;40.1")-D188-D187-D186-D185</f>
        <v>0</v>
      </c>
      <c r="E189" s="9">
        <f>SUMIFS($D$2:$D$146,$E$2:$E$146,E$184,$F$2:$F$146,"&lt;40.1")-E188-E187-E186-E185</f>
        <v>0</v>
      </c>
      <c r="G189" s="18"/>
    </row>
    <row r="190" spans="1:12" x14ac:dyDescent="0.25">
      <c r="C190" s="10" t="s">
        <v>406</v>
      </c>
      <c r="D190" s="11">
        <f>E152-SUM(D185:D189)</f>
        <v>776</v>
      </c>
      <c r="E190" s="12">
        <f>E151-SUM(E185:E189)</f>
        <v>14506</v>
      </c>
    </row>
    <row r="191" spans="1:12" x14ac:dyDescent="0.25">
      <c r="C191" s="25"/>
      <c r="D191" s="18"/>
      <c r="E191" s="18"/>
    </row>
    <row r="192" spans="1:12" x14ac:dyDescent="0.25">
      <c r="B192" s="3" t="s">
        <v>1495</v>
      </c>
      <c r="C192" t="s">
        <v>1492</v>
      </c>
      <c r="E192" s="24">
        <f>AVERAGE(F2:F135)</f>
        <v>20.535714285714285</v>
      </c>
    </row>
    <row r="193" spans="2:5" x14ac:dyDescent="0.25">
      <c r="C193" t="s">
        <v>1499</v>
      </c>
      <c r="E193" s="24">
        <f>SUMPRODUCT(F2:F135,D2:D135)/SUM(D2:D113)</f>
        <v>5.2471724488499172</v>
      </c>
    </row>
    <row r="195" spans="2:5" x14ac:dyDescent="0.25">
      <c r="B195" s="3" t="s">
        <v>1496</v>
      </c>
      <c r="C195" t="s">
        <v>1491</v>
      </c>
      <c r="E195" s="24">
        <f>AVERAGE(J2:J135)</f>
        <v>154.01298701298703</v>
      </c>
    </row>
    <row r="196" spans="2:5" x14ac:dyDescent="0.25">
      <c r="C196" t="s">
        <v>1493</v>
      </c>
      <c r="E196" s="24">
        <f>SUMPRODUCT(J2:J135,D2:D135)/SUM(D2:D113)</f>
        <v>65.937755750413018</v>
      </c>
    </row>
    <row r="197" spans="2:5" x14ac:dyDescent="0.25">
      <c r="C197" t="s">
        <v>1494</v>
      </c>
      <c r="E197" s="24">
        <f>SUMPRODUCT(J2:J135,H2:H135)/SUM(H2:H113)</f>
        <v>150.39342915811088</v>
      </c>
    </row>
    <row r="199" spans="2:5" x14ac:dyDescent="0.25">
      <c r="B199" s="3" t="s">
        <v>1497</v>
      </c>
      <c r="C199" t="s">
        <v>1498</v>
      </c>
      <c r="E199" s="24">
        <f>AVERAGE(K2:K135)</f>
        <v>5.3603896103896078</v>
      </c>
    </row>
    <row r="200" spans="2:5" x14ac:dyDescent="0.25">
      <c r="C200" t="s">
        <v>1493</v>
      </c>
      <c r="E200" s="24">
        <f>SUMPRODUCT(K2:K135,D2:D135)/SUM(D2:D113)</f>
        <v>2.585630956919557</v>
      </c>
    </row>
    <row r="201" spans="2:5" x14ac:dyDescent="0.25">
      <c r="C201" t="s">
        <v>1500</v>
      </c>
      <c r="E201" s="24">
        <f>SUMPRODUCT(K2:K135,H2:H135)/SUM(H2:H113)</f>
        <v>4.9295770020533878</v>
      </c>
    </row>
    <row r="212" spans="2:8" ht="15.75" customHeight="1" x14ac:dyDescent="0.25">
      <c r="B212" s="36" t="s">
        <v>1643</v>
      </c>
      <c r="C212" s="97" t="s">
        <v>149</v>
      </c>
      <c r="D212" s="37" t="s">
        <v>1644</v>
      </c>
      <c r="E212" s="37" t="s">
        <v>130</v>
      </c>
      <c r="F212" s="38" t="s">
        <v>1645</v>
      </c>
    </row>
    <row r="213" spans="2:8" ht="15.75" customHeight="1" x14ac:dyDescent="0.25">
      <c r="B213" s="162" t="s">
        <v>1642</v>
      </c>
      <c r="C213" s="163" t="s">
        <v>528</v>
      </c>
      <c r="D213" s="14">
        <f t="shared" ref="D213" si="22">COUNTIF(C$2:C$132,C213)</f>
        <v>3</v>
      </c>
      <c r="E213" s="14">
        <f t="shared" ref="E213" si="23">SUMIF(C$2:C$132,C213,D$2:D$132)</f>
        <v>544</v>
      </c>
      <c r="F213" s="15">
        <f t="shared" ref="F213" si="24">SUMIF(C$2:C$132,C213,O$2:O$132)+SUMIF(C$2:C$132,C213,U$2:U$132)+SUMIF(C$2:C$132,C213,H$2:H$132)</f>
        <v>119</v>
      </c>
      <c r="G213">
        <f>SUM(E213)</f>
        <v>544</v>
      </c>
      <c r="H213" s="34">
        <f>G213/E$238</f>
        <v>3.5627742484773073E-2</v>
      </c>
    </row>
    <row r="214" spans="2:8" x14ac:dyDescent="0.25">
      <c r="B214" s="13" t="s">
        <v>1638</v>
      </c>
      <c r="C214" s="14" t="s">
        <v>137</v>
      </c>
      <c r="D214" s="14">
        <f t="shared" ref="D214:D237" si="25">COUNTIF(C$2:C$132,C214)</f>
        <v>1</v>
      </c>
      <c r="E214" s="14">
        <f t="shared" ref="E214:E237" si="26">SUMIF(C$2:C$132,C214,D$2:D$132)</f>
        <v>130</v>
      </c>
      <c r="F214" s="15">
        <f t="shared" ref="F214:F237" si="27">SUMIF(C$2:C$132,C214,O$2:O$132)+SUMIF(C$2:C$132,C214,U$2:U$132)+SUMIF(C$2:C$132,C214,H$2:H$132)</f>
        <v>36</v>
      </c>
      <c r="G214" s="25" t="s">
        <v>2069</v>
      </c>
    </row>
    <row r="215" spans="2:8" x14ac:dyDescent="0.25">
      <c r="B215" s="8" t="s">
        <v>1638</v>
      </c>
      <c r="C215" t="s">
        <v>605</v>
      </c>
      <c r="D215">
        <f t="shared" si="25"/>
        <v>4</v>
      </c>
      <c r="E215">
        <f t="shared" si="26"/>
        <v>377</v>
      </c>
      <c r="F215" s="9">
        <f t="shared" si="27"/>
        <v>58</v>
      </c>
    </row>
    <row r="216" spans="2:8" x14ac:dyDescent="0.25">
      <c r="B216" s="8" t="s">
        <v>1638</v>
      </c>
      <c r="C216" t="s">
        <v>1140</v>
      </c>
      <c r="D216">
        <f t="shared" si="25"/>
        <v>0</v>
      </c>
      <c r="E216">
        <f t="shared" si="26"/>
        <v>0</v>
      </c>
      <c r="F216" s="9">
        <f t="shared" si="27"/>
        <v>0</v>
      </c>
    </row>
    <row r="217" spans="2:8" x14ac:dyDescent="0.25">
      <c r="B217" s="10" t="s">
        <v>1638</v>
      </c>
      <c r="C217" s="11" t="s">
        <v>175</v>
      </c>
      <c r="D217" s="11">
        <f t="shared" si="25"/>
        <v>0</v>
      </c>
      <c r="E217" s="11">
        <f t="shared" si="26"/>
        <v>0</v>
      </c>
      <c r="F217" s="12">
        <f t="shared" si="27"/>
        <v>0</v>
      </c>
      <c r="G217">
        <f>SUM(E214:E217)</f>
        <v>507</v>
      </c>
      <c r="H217" s="34">
        <f>G217/E$238</f>
        <v>3.3204532058419022E-2</v>
      </c>
    </row>
    <row r="218" spans="2:8" x14ac:dyDescent="0.25">
      <c r="B218" s="13" t="s">
        <v>1641</v>
      </c>
      <c r="C218" s="14" t="s">
        <v>144</v>
      </c>
      <c r="D218" s="14">
        <f t="shared" si="25"/>
        <v>1</v>
      </c>
      <c r="E218" s="14">
        <f t="shared" si="26"/>
        <v>254</v>
      </c>
      <c r="F218" s="15">
        <f t="shared" si="27"/>
        <v>41</v>
      </c>
    </row>
    <row r="219" spans="2:8" x14ac:dyDescent="0.25">
      <c r="B219" s="10" t="s">
        <v>1641</v>
      </c>
      <c r="C219" s="11" t="s">
        <v>1186</v>
      </c>
      <c r="D219" s="11">
        <f t="shared" si="25"/>
        <v>0</v>
      </c>
      <c r="E219" s="11">
        <f t="shared" si="26"/>
        <v>0</v>
      </c>
      <c r="F219" s="12">
        <f t="shared" si="27"/>
        <v>0</v>
      </c>
      <c r="G219">
        <f>SUM(E218:E219)</f>
        <v>254</v>
      </c>
      <c r="H219" s="34">
        <f>G219/E$238</f>
        <v>1.6635012116052131E-2</v>
      </c>
    </row>
    <row r="220" spans="2:8" x14ac:dyDescent="0.25">
      <c r="B220" s="13" t="s">
        <v>1639</v>
      </c>
      <c r="C220" s="14" t="s">
        <v>163</v>
      </c>
      <c r="D220" s="14">
        <f t="shared" si="25"/>
        <v>1</v>
      </c>
      <c r="E220" s="14">
        <f t="shared" si="26"/>
        <v>27</v>
      </c>
      <c r="F220" s="15">
        <f t="shared" si="27"/>
        <v>6</v>
      </c>
    </row>
    <row r="221" spans="2:8" x14ac:dyDescent="0.25">
      <c r="B221" s="8" t="s">
        <v>1639</v>
      </c>
      <c r="C221" t="s">
        <v>1541</v>
      </c>
      <c r="D221">
        <f t="shared" si="25"/>
        <v>1</v>
      </c>
      <c r="E221">
        <f t="shared" si="26"/>
        <v>68</v>
      </c>
      <c r="F221" s="9">
        <f t="shared" si="27"/>
        <v>15</v>
      </c>
    </row>
    <row r="222" spans="2:8" x14ac:dyDescent="0.25">
      <c r="B222" s="8" t="s">
        <v>1639</v>
      </c>
      <c r="C222" t="s">
        <v>318</v>
      </c>
      <c r="D222">
        <f t="shared" si="25"/>
        <v>3</v>
      </c>
      <c r="E222">
        <f t="shared" si="26"/>
        <v>397</v>
      </c>
      <c r="F222" s="9">
        <f t="shared" si="27"/>
        <v>64</v>
      </c>
    </row>
    <row r="223" spans="2:8" x14ac:dyDescent="0.25">
      <c r="B223" s="8" t="s">
        <v>1639</v>
      </c>
      <c r="C223" t="s">
        <v>527</v>
      </c>
      <c r="D223">
        <f t="shared" si="25"/>
        <v>1</v>
      </c>
      <c r="E223">
        <f t="shared" si="26"/>
        <v>780</v>
      </c>
      <c r="F223" s="9">
        <f t="shared" si="27"/>
        <v>52</v>
      </c>
    </row>
    <row r="224" spans="2:8" x14ac:dyDescent="0.25">
      <c r="B224" s="8" t="s">
        <v>1639</v>
      </c>
      <c r="C224" t="s">
        <v>138</v>
      </c>
      <c r="D224">
        <f t="shared" si="25"/>
        <v>12</v>
      </c>
      <c r="E224">
        <f t="shared" si="26"/>
        <v>1453</v>
      </c>
      <c r="F224" s="9">
        <f t="shared" si="27"/>
        <v>147</v>
      </c>
    </row>
    <row r="225" spans="2:8" x14ac:dyDescent="0.25">
      <c r="B225" s="8" t="s">
        <v>1639</v>
      </c>
      <c r="C225" t="s">
        <v>148</v>
      </c>
      <c r="D225">
        <f t="shared" si="25"/>
        <v>1</v>
      </c>
      <c r="E225">
        <f t="shared" si="26"/>
        <v>45</v>
      </c>
      <c r="F225" s="9">
        <f t="shared" si="27"/>
        <v>10</v>
      </c>
    </row>
    <row r="226" spans="2:8" x14ac:dyDescent="0.25">
      <c r="B226" s="8" t="s">
        <v>1639</v>
      </c>
      <c r="C226" t="s">
        <v>145</v>
      </c>
      <c r="D226">
        <f t="shared" si="25"/>
        <v>1</v>
      </c>
      <c r="E226">
        <f t="shared" si="26"/>
        <v>46</v>
      </c>
      <c r="F226" s="9">
        <f t="shared" si="27"/>
        <v>11</v>
      </c>
    </row>
    <row r="227" spans="2:8" x14ac:dyDescent="0.25">
      <c r="B227" s="8" t="s">
        <v>1639</v>
      </c>
      <c r="C227" t="s">
        <v>146</v>
      </c>
      <c r="D227">
        <f t="shared" si="25"/>
        <v>4</v>
      </c>
      <c r="E227">
        <f t="shared" si="26"/>
        <v>302</v>
      </c>
      <c r="F227" s="9">
        <f t="shared" si="27"/>
        <v>65</v>
      </c>
    </row>
    <row r="228" spans="2:8" x14ac:dyDescent="0.25">
      <c r="B228" s="8" t="s">
        <v>1639</v>
      </c>
      <c r="C228" t="s">
        <v>1616</v>
      </c>
      <c r="D228">
        <f t="shared" si="25"/>
        <v>1</v>
      </c>
      <c r="E228">
        <f t="shared" si="26"/>
        <v>87</v>
      </c>
      <c r="F228" s="9">
        <f t="shared" si="27"/>
        <v>14</v>
      </c>
    </row>
    <row r="229" spans="2:8" x14ac:dyDescent="0.25">
      <c r="B229" s="8" t="s">
        <v>1639</v>
      </c>
      <c r="C229" t="s">
        <v>161</v>
      </c>
      <c r="D229">
        <f t="shared" si="25"/>
        <v>2</v>
      </c>
      <c r="E229">
        <f t="shared" si="26"/>
        <v>1279</v>
      </c>
      <c r="F229" s="9">
        <f t="shared" si="27"/>
        <v>139</v>
      </c>
    </row>
    <row r="230" spans="2:8" x14ac:dyDescent="0.25">
      <c r="B230" s="8" t="s">
        <v>1639</v>
      </c>
      <c r="C230" t="s">
        <v>176</v>
      </c>
      <c r="D230">
        <f t="shared" si="25"/>
        <v>2</v>
      </c>
      <c r="E230">
        <f t="shared" si="26"/>
        <v>62</v>
      </c>
      <c r="F230" s="9">
        <f t="shared" si="27"/>
        <v>10</v>
      </c>
    </row>
    <row r="231" spans="2:8" x14ac:dyDescent="0.25">
      <c r="B231" s="8" t="s">
        <v>1639</v>
      </c>
      <c r="C231" t="s">
        <v>166</v>
      </c>
      <c r="D231">
        <f t="shared" si="25"/>
        <v>6</v>
      </c>
      <c r="E231">
        <f t="shared" si="26"/>
        <v>509</v>
      </c>
      <c r="F231" s="9">
        <f t="shared" si="27"/>
        <v>103</v>
      </c>
    </row>
    <row r="232" spans="2:8" x14ac:dyDescent="0.25">
      <c r="B232" s="8" t="s">
        <v>1639</v>
      </c>
      <c r="C232" t="s">
        <v>140</v>
      </c>
      <c r="D232">
        <f t="shared" si="25"/>
        <v>3</v>
      </c>
      <c r="E232">
        <f t="shared" si="26"/>
        <v>329</v>
      </c>
      <c r="F232" s="9">
        <f t="shared" si="27"/>
        <v>55</v>
      </c>
    </row>
    <row r="233" spans="2:8" x14ac:dyDescent="0.25">
      <c r="B233" s="8" t="s">
        <v>1639</v>
      </c>
      <c r="C233" s="154" t="s">
        <v>165</v>
      </c>
      <c r="D233" s="154">
        <f t="shared" si="25"/>
        <v>2</v>
      </c>
      <c r="E233" s="154">
        <f t="shared" si="26"/>
        <v>268</v>
      </c>
      <c r="F233" s="9">
        <f t="shared" si="27"/>
        <v>60</v>
      </c>
      <c r="G233">
        <f>SUM(E220:E233)</f>
        <v>5652</v>
      </c>
      <c r="H233" s="34">
        <f>G233/E$238</f>
        <v>0.37016176566900255</v>
      </c>
    </row>
    <row r="234" spans="2:8" x14ac:dyDescent="0.25">
      <c r="B234" s="13" t="s">
        <v>1419</v>
      </c>
      <c r="C234" s="14" t="s">
        <v>45</v>
      </c>
      <c r="D234" s="14">
        <f t="shared" si="25"/>
        <v>2</v>
      </c>
      <c r="E234" s="14">
        <f t="shared" si="26"/>
        <v>276</v>
      </c>
      <c r="F234" s="15">
        <f t="shared" si="27"/>
        <v>53</v>
      </c>
      <c r="H234" s="34"/>
    </row>
    <row r="235" spans="2:8" x14ac:dyDescent="0.25">
      <c r="B235" s="10" t="s">
        <v>1419</v>
      </c>
      <c r="C235" s="11" t="s">
        <v>1247</v>
      </c>
      <c r="D235" s="11">
        <f t="shared" si="25"/>
        <v>22</v>
      </c>
      <c r="E235" s="11">
        <f t="shared" si="26"/>
        <v>6786</v>
      </c>
      <c r="F235" s="12">
        <f t="shared" si="27"/>
        <v>1695.75</v>
      </c>
      <c r="G235">
        <f>SUM(E234:E235)</f>
        <v>7062</v>
      </c>
      <c r="H235" s="34">
        <f>G235/E$238</f>
        <v>0.46250573056519745</v>
      </c>
    </row>
    <row r="236" spans="2:8" x14ac:dyDescent="0.25">
      <c r="B236" s="8" t="s">
        <v>1640</v>
      </c>
      <c r="C236" s="154" t="s">
        <v>27</v>
      </c>
      <c r="D236" s="154">
        <f t="shared" si="25"/>
        <v>4</v>
      </c>
      <c r="E236" s="154">
        <f t="shared" si="26"/>
        <v>484</v>
      </c>
      <c r="F236" s="9">
        <f t="shared" si="27"/>
        <v>98</v>
      </c>
    </row>
    <row r="237" spans="2:8" x14ac:dyDescent="0.25">
      <c r="B237" s="10" t="s">
        <v>1640</v>
      </c>
      <c r="C237" s="11" t="s">
        <v>141</v>
      </c>
      <c r="D237" s="11">
        <f t="shared" si="25"/>
        <v>1</v>
      </c>
      <c r="E237" s="11">
        <f t="shared" si="26"/>
        <v>1310</v>
      </c>
      <c r="F237" s="12">
        <f t="shared" si="27"/>
        <v>291</v>
      </c>
      <c r="G237">
        <f>E237+E236</f>
        <v>1794</v>
      </c>
      <c r="H237" s="34">
        <f>G237/E$238</f>
        <v>0.11749295959132884</v>
      </c>
    </row>
    <row r="238" spans="2:8" x14ac:dyDescent="0.25">
      <c r="E238">
        <f>SUM(E214:E237)</f>
        <v>15269</v>
      </c>
    </row>
    <row r="265" spans="5:5" x14ac:dyDescent="0.25">
      <c r="E265" s="17"/>
    </row>
    <row r="266" spans="5:5" ht="20.25" customHeight="1" x14ac:dyDescent="0.25"/>
  </sheetData>
  <phoneticPr fontId="6" type="noConversion"/>
  <conditionalFormatting sqref="AI2:AK2 AK3:AK79 AJ3:AJ82 AI3:AI90">
    <cfRule type="cellIs" dxfId="3" priority="1" operator="equal">
      <formula>1</formula>
    </cfRule>
  </conditionalFormatting>
  <pageMargins left="0.7" right="0.7" top="0.75" bottom="0.75" header="0.3" footer="0.3"/>
  <pageSetup paperSize="9" orientation="portrait" r:id="rId1"/>
  <headerFooter>
    <oddFooter>&amp;L&amp;1#&amp;"Arial"&amp;8&amp;KD5DAD9</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C654-E199-40E6-A5C3-A21111C2F764}">
  <dimension ref="A1:AT265"/>
  <sheetViews>
    <sheetView zoomScale="94" zoomScaleNormal="94" workbookViewId="0">
      <pane xSplit="3" ySplit="1" topLeftCell="D2" activePane="bottomRight" state="frozen"/>
      <selection pane="topRight" activeCell="D1" sqref="D1"/>
      <selection pane="bottomLeft" activeCell="A2" sqref="A2"/>
      <selection pane="bottomRight" activeCell="G216" sqref="G216"/>
    </sheetView>
  </sheetViews>
  <sheetFormatPr defaultRowHeight="15" x14ac:dyDescent="0.25"/>
  <cols>
    <col min="2" max="3" width="13.7109375" customWidth="1"/>
    <col min="4" max="4" width="10.7109375" customWidth="1"/>
    <col min="5" max="5" width="13.7109375" customWidth="1"/>
    <col min="6" max="6" width="8.28515625" customWidth="1"/>
    <col min="7" max="7" width="13.7109375" customWidth="1"/>
    <col min="8" max="8" width="8" customWidth="1"/>
    <col min="9" max="9" width="13.7109375" customWidth="1"/>
    <col min="10" max="10" width="6" bestFit="1" customWidth="1"/>
    <col min="11" max="11" width="6.5703125" customWidth="1"/>
    <col min="12" max="12" width="12" bestFit="1" customWidth="1"/>
    <col min="13" max="13" width="13.42578125" customWidth="1"/>
    <col min="14" max="14" width="8.7109375" customWidth="1"/>
    <col min="15" max="15" width="4.140625" customWidth="1"/>
    <col min="16" max="16" width="15.140625" customWidth="1"/>
    <col min="17" max="17" width="6" bestFit="1" customWidth="1"/>
    <col min="18" max="18" width="4.7109375" bestFit="1" customWidth="1"/>
    <col min="19" max="19" width="10.7109375" customWidth="1"/>
    <col min="20" max="20" width="9" customWidth="1"/>
    <col min="21" max="21" width="4.42578125" customWidth="1"/>
    <col min="22" max="22" width="13.28515625" bestFit="1" customWidth="1"/>
    <col min="23" max="23" width="5" customWidth="1"/>
    <col min="24" max="24" width="6.5703125" customWidth="1"/>
    <col min="27" max="27" width="4.42578125" customWidth="1"/>
    <col min="28" max="28" width="13.28515625" bestFit="1" customWidth="1"/>
    <col min="29" max="29" width="5" customWidth="1"/>
    <col min="30" max="30" width="6.5703125" customWidth="1"/>
    <col min="35" max="35" width="4" customWidth="1"/>
    <col min="36" max="36" width="3.28515625" customWidth="1"/>
  </cols>
  <sheetData>
    <row r="1" spans="2:46" x14ac:dyDescent="0.25">
      <c r="B1" s="3" t="s">
        <v>86</v>
      </c>
      <c r="C1" s="3" t="s">
        <v>87</v>
      </c>
      <c r="D1" s="3" t="s">
        <v>88</v>
      </c>
      <c r="E1" s="3" t="s">
        <v>98</v>
      </c>
      <c r="F1" s="3" t="s">
        <v>100</v>
      </c>
      <c r="G1" s="3" t="s">
        <v>89</v>
      </c>
      <c r="H1" s="3" t="s">
        <v>91</v>
      </c>
      <c r="I1" s="3" t="s">
        <v>90</v>
      </c>
      <c r="J1" s="3" t="s">
        <v>131</v>
      </c>
      <c r="K1" s="3" t="s">
        <v>130</v>
      </c>
      <c r="L1" s="3" t="s">
        <v>103</v>
      </c>
      <c r="M1" s="3" t="s">
        <v>101</v>
      </c>
      <c r="N1" s="3" t="s">
        <v>107</v>
      </c>
      <c r="O1" s="3" t="s">
        <v>91</v>
      </c>
      <c r="P1" s="3" t="s">
        <v>105</v>
      </c>
      <c r="Q1" s="3" t="s">
        <v>131</v>
      </c>
      <c r="R1" s="3" t="s">
        <v>130</v>
      </c>
      <c r="S1" s="3" t="s">
        <v>103</v>
      </c>
      <c r="T1" s="3" t="s">
        <v>101</v>
      </c>
      <c r="U1" s="3" t="s">
        <v>91</v>
      </c>
      <c r="V1" s="3" t="s">
        <v>105</v>
      </c>
      <c r="W1" s="3" t="s">
        <v>131</v>
      </c>
      <c r="X1" s="3" t="s">
        <v>130</v>
      </c>
      <c r="Y1" s="3" t="s">
        <v>101</v>
      </c>
      <c r="Z1" s="3" t="s">
        <v>601</v>
      </c>
      <c r="AA1" s="3" t="s">
        <v>91</v>
      </c>
      <c r="AB1" s="3" t="s">
        <v>105</v>
      </c>
      <c r="AC1" s="3" t="s">
        <v>131</v>
      </c>
      <c r="AD1" s="3" t="s">
        <v>130</v>
      </c>
      <c r="AE1" s="3" t="s">
        <v>101</v>
      </c>
      <c r="AF1" s="3" t="s">
        <v>601</v>
      </c>
      <c r="AG1" s="3" t="s">
        <v>1630</v>
      </c>
      <c r="AH1" s="3" t="s">
        <v>1631</v>
      </c>
      <c r="AI1" s="3" t="s">
        <v>1632</v>
      </c>
      <c r="AJ1" t="s">
        <v>1633</v>
      </c>
      <c r="AL1" s="3" t="s">
        <v>1794</v>
      </c>
    </row>
    <row r="2" spans="2:46" x14ac:dyDescent="0.25">
      <c r="B2" s="46" t="s">
        <v>1540</v>
      </c>
      <c r="C2" s="46" t="s">
        <v>1541</v>
      </c>
      <c r="D2" s="46">
        <v>21</v>
      </c>
      <c r="E2" s="46" t="s">
        <v>94</v>
      </c>
      <c r="F2" s="46">
        <v>30</v>
      </c>
      <c r="G2" s="46" t="s">
        <v>1547</v>
      </c>
      <c r="H2" s="46">
        <v>5</v>
      </c>
      <c r="I2" s="46" t="s">
        <v>121</v>
      </c>
      <c r="J2" s="46">
        <v>136</v>
      </c>
      <c r="K2" s="69">
        <v>4.2</v>
      </c>
      <c r="M2" s="46">
        <v>82</v>
      </c>
      <c r="AG2">
        <v>1</v>
      </c>
      <c r="AH2">
        <v>2023</v>
      </c>
      <c r="AI2">
        <f t="shared" ref="AI2:AI33" si="0">COUNTIF($I$158:$I$188,I2)</f>
        <v>1</v>
      </c>
      <c r="AJ2">
        <f t="shared" ref="AJ2:AJ33" si="1">COUNTIF($C$157:$C$188,C2)</f>
        <v>1</v>
      </c>
      <c r="AK2">
        <f>COUNTIF($C$213:$C$246,C2)</f>
        <v>1</v>
      </c>
      <c r="AL2">
        <f>_xlfn.DAYS(DATE(AH2,AG2*3-2,1),DATE(RIGHT(B2,4),MID(B2,4,2),LEFT(B2,2)))</f>
        <v>304</v>
      </c>
    </row>
    <row r="3" spans="2:46" x14ac:dyDescent="0.25">
      <c r="B3" s="46" t="s">
        <v>1540</v>
      </c>
      <c r="C3" t="s">
        <v>1247</v>
      </c>
      <c r="D3" s="46">
        <v>171</v>
      </c>
      <c r="E3" s="46" t="s">
        <v>94</v>
      </c>
      <c r="F3" s="46">
        <v>20</v>
      </c>
      <c r="G3" s="46" t="s">
        <v>1548</v>
      </c>
      <c r="H3" s="46">
        <v>38</v>
      </c>
      <c r="I3" s="46" t="s">
        <v>1400</v>
      </c>
      <c r="J3" s="46">
        <v>150</v>
      </c>
      <c r="K3" s="69">
        <v>4.5</v>
      </c>
      <c r="AG3">
        <v>4</v>
      </c>
      <c r="AH3">
        <v>2022</v>
      </c>
      <c r="AI3">
        <f t="shared" si="0"/>
        <v>1</v>
      </c>
      <c r="AJ3">
        <f t="shared" si="1"/>
        <v>1</v>
      </c>
      <c r="AK3">
        <f t="shared" ref="AK3:AK66" si="2">COUNTIF($C$213:$C$246,C3)</f>
        <v>1</v>
      </c>
      <c r="AL3">
        <f t="shared" ref="AL3:AL66" si="3">_xlfn.DAYS(DATE(AH3,AG3*3-2,1),DATE(RIGHT(B3,4),MID(B3,4,2),LEFT(B3,2)))</f>
        <v>212</v>
      </c>
    </row>
    <row r="4" spans="2:46" x14ac:dyDescent="0.25">
      <c r="B4" s="46" t="s">
        <v>1542</v>
      </c>
      <c r="C4" s="46" t="s">
        <v>852</v>
      </c>
      <c r="D4" s="46">
        <v>42</v>
      </c>
      <c r="E4" s="46" t="s">
        <v>94</v>
      </c>
      <c r="F4" s="46">
        <v>15</v>
      </c>
      <c r="H4" s="46">
        <v>2</v>
      </c>
      <c r="I4" s="46" t="s">
        <v>1486</v>
      </c>
      <c r="J4" s="46">
        <v>117</v>
      </c>
      <c r="K4" s="69">
        <v>4.2</v>
      </c>
      <c r="O4">
        <v>6</v>
      </c>
      <c r="P4" t="s">
        <v>109</v>
      </c>
      <c r="Q4">
        <v>126</v>
      </c>
      <c r="R4">
        <v>3.6</v>
      </c>
      <c r="S4" t="s">
        <v>1224</v>
      </c>
      <c r="U4">
        <v>2</v>
      </c>
      <c r="V4" s="46" t="s">
        <v>1156</v>
      </c>
      <c r="W4" s="46">
        <v>117</v>
      </c>
      <c r="X4" s="46">
        <v>4.2</v>
      </c>
      <c r="AB4" s="46"/>
      <c r="AC4" s="46"/>
      <c r="AD4" s="46"/>
      <c r="AG4">
        <v>4</v>
      </c>
      <c r="AH4">
        <v>2022</v>
      </c>
      <c r="AI4">
        <f t="shared" si="0"/>
        <v>1</v>
      </c>
      <c r="AJ4">
        <f t="shared" si="1"/>
        <v>1</v>
      </c>
      <c r="AK4">
        <f t="shared" si="2"/>
        <v>1</v>
      </c>
      <c r="AL4">
        <f t="shared" si="3"/>
        <v>207</v>
      </c>
    </row>
    <row r="5" spans="2:46" x14ac:dyDescent="0.25">
      <c r="B5" s="46" t="s">
        <v>1542</v>
      </c>
      <c r="C5" s="46" t="s">
        <v>141</v>
      </c>
      <c r="D5" s="46">
        <v>194</v>
      </c>
      <c r="E5" s="46" t="s">
        <v>94</v>
      </c>
      <c r="F5" s="46">
        <v>5</v>
      </c>
      <c r="H5" s="46">
        <v>43</v>
      </c>
      <c r="I5" s="46" t="s">
        <v>1400</v>
      </c>
      <c r="J5" s="46">
        <v>150</v>
      </c>
      <c r="K5" s="69">
        <v>4.5</v>
      </c>
      <c r="V5" s="46"/>
      <c r="W5" s="46"/>
      <c r="X5" s="46"/>
      <c r="AB5" s="46"/>
      <c r="AC5" s="46"/>
      <c r="AD5" s="46"/>
      <c r="AH5">
        <v>2024</v>
      </c>
      <c r="AI5">
        <f t="shared" si="0"/>
        <v>1</v>
      </c>
      <c r="AJ5">
        <f t="shared" si="1"/>
        <v>1</v>
      </c>
      <c r="AK5">
        <f t="shared" si="2"/>
        <v>1</v>
      </c>
      <c r="AL5">
        <f t="shared" si="3"/>
        <v>572</v>
      </c>
    </row>
    <row r="6" spans="2:46" x14ac:dyDescent="0.25">
      <c r="B6" s="46" t="s">
        <v>1543</v>
      </c>
      <c r="C6" s="46" t="s">
        <v>140</v>
      </c>
      <c r="D6" s="46">
        <v>32</v>
      </c>
      <c r="E6" s="46" t="s">
        <v>94</v>
      </c>
      <c r="F6" s="46" t="s">
        <v>1550</v>
      </c>
      <c r="G6" s="46" t="s">
        <v>1549</v>
      </c>
      <c r="H6" s="46">
        <v>7</v>
      </c>
      <c r="I6" s="46" t="s">
        <v>1400</v>
      </c>
      <c r="J6" s="46">
        <v>150</v>
      </c>
      <c r="K6" s="69">
        <v>4.5</v>
      </c>
      <c r="AG6">
        <v>2</v>
      </c>
      <c r="AH6">
        <v>2023</v>
      </c>
      <c r="AI6">
        <f t="shared" si="0"/>
        <v>1</v>
      </c>
      <c r="AJ6">
        <f t="shared" si="1"/>
        <v>1</v>
      </c>
      <c r="AK6">
        <f t="shared" si="2"/>
        <v>1</v>
      </c>
      <c r="AL6">
        <f t="shared" si="3"/>
        <v>386</v>
      </c>
    </row>
    <row r="7" spans="2:46" x14ac:dyDescent="0.25">
      <c r="B7" s="46" t="s">
        <v>1555</v>
      </c>
      <c r="C7" s="46" t="s">
        <v>27</v>
      </c>
      <c r="D7" s="46">
        <v>86</v>
      </c>
      <c r="E7" s="46" t="s">
        <v>94</v>
      </c>
      <c r="F7" s="46">
        <v>30</v>
      </c>
      <c r="G7" s="46" t="s">
        <v>1546</v>
      </c>
      <c r="H7" s="46">
        <v>19</v>
      </c>
      <c r="I7" s="46" t="s">
        <v>1400</v>
      </c>
      <c r="J7" s="46">
        <v>150</v>
      </c>
      <c r="K7" s="69">
        <v>4.5</v>
      </c>
      <c r="AG7">
        <v>1</v>
      </c>
      <c r="AH7">
        <v>2023</v>
      </c>
      <c r="AI7">
        <f t="shared" si="0"/>
        <v>1</v>
      </c>
      <c r="AJ7">
        <f t="shared" si="1"/>
        <v>1</v>
      </c>
      <c r="AK7">
        <f t="shared" si="2"/>
        <v>1</v>
      </c>
      <c r="AL7">
        <f t="shared" si="3"/>
        <v>292</v>
      </c>
    </row>
    <row r="8" spans="2:46" x14ac:dyDescent="0.25">
      <c r="B8" s="46" t="s">
        <v>1564</v>
      </c>
      <c r="C8" s="46" t="s">
        <v>146</v>
      </c>
      <c r="D8" s="46">
        <v>30</v>
      </c>
      <c r="E8" s="46" t="s">
        <v>94</v>
      </c>
      <c r="F8" s="46">
        <v>15</v>
      </c>
      <c r="G8" s="46"/>
      <c r="H8" s="46">
        <v>7</v>
      </c>
      <c r="I8" s="46" t="s">
        <v>619</v>
      </c>
      <c r="J8" s="46">
        <v>150</v>
      </c>
      <c r="K8" s="69">
        <v>4.3</v>
      </c>
      <c r="L8" t="s">
        <v>1405</v>
      </c>
      <c r="AG8">
        <v>3</v>
      </c>
      <c r="AH8">
        <v>2023</v>
      </c>
      <c r="AI8">
        <f t="shared" si="0"/>
        <v>1</v>
      </c>
      <c r="AJ8">
        <f t="shared" si="1"/>
        <v>1</v>
      </c>
      <c r="AK8">
        <f t="shared" si="2"/>
        <v>1</v>
      </c>
      <c r="AL8">
        <f t="shared" si="3"/>
        <v>470</v>
      </c>
    </row>
    <row r="9" spans="2:46" x14ac:dyDescent="0.25">
      <c r="B9" s="46" t="s">
        <v>1556</v>
      </c>
      <c r="C9" s="46" t="s">
        <v>137</v>
      </c>
      <c r="D9" s="46">
        <v>51</v>
      </c>
      <c r="E9" s="46" t="s">
        <v>1558</v>
      </c>
      <c r="G9" s="46" t="s">
        <v>1557</v>
      </c>
      <c r="H9" s="46">
        <v>23</v>
      </c>
      <c r="I9" s="46" t="s">
        <v>574</v>
      </c>
      <c r="J9" s="46">
        <v>120</v>
      </c>
      <c r="K9" s="69">
        <v>2.2000000000000002</v>
      </c>
      <c r="AG9">
        <v>3</v>
      </c>
      <c r="AH9">
        <v>2022</v>
      </c>
      <c r="AI9">
        <f t="shared" si="0"/>
        <v>1</v>
      </c>
      <c r="AJ9">
        <f t="shared" si="1"/>
        <v>1</v>
      </c>
      <c r="AK9">
        <f t="shared" si="2"/>
        <v>1</v>
      </c>
      <c r="AL9">
        <f t="shared" si="3"/>
        <v>98</v>
      </c>
      <c r="AP9">
        <v>2023</v>
      </c>
      <c r="AS9">
        <v>2024</v>
      </c>
    </row>
    <row r="10" spans="2:46" x14ac:dyDescent="0.25">
      <c r="B10" s="46" t="s">
        <v>1556</v>
      </c>
      <c r="C10" s="46" t="s">
        <v>165</v>
      </c>
      <c r="D10" s="46">
        <v>36</v>
      </c>
      <c r="E10" s="46"/>
      <c r="G10" s="46" t="s">
        <v>1560</v>
      </c>
      <c r="H10" s="46">
        <v>8</v>
      </c>
      <c r="I10" s="46" t="s">
        <v>1559</v>
      </c>
      <c r="J10" s="46">
        <v>136</v>
      </c>
      <c r="K10" s="69">
        <v>4.5</v>
      </c>
      <c r="AG10">
        <v>4</v>
      </c>
      <c r="AH10">
        <v>2022</v>
      </c>
      <c r="AI10">
        <f t="shared" si="0"/>
        <v>1</v>
      </c>
      <c r="AJ10">
        <f t="shared" si="1"/>
        <v>1</v>
      </c>
      <c r="AK10">
        <f t="shared" si="2"/>
        <v>1</v>
      </c>
      <c r="AL10">
        <f t="shared" si="3"/>
        <v>190</v>
      </c>
      <c r="AP10" s="46">
        <v>5</v>
      </c>
      <c r="AQ10" s="46" t="s">
        <v>121</v>
      </c>
      <c r="AS10" s="46">
        <v>43</v>
      </c>
      <c r="AT10" s="46" t="s">
        <v>1400</v>
      </c>
    </row>
    <row r="11" spans="2:46" x14ac:dyDescent="0.25">
      <c r="B11" s="46" t="s">
        <v>1561</v>
      </c>
      <c r="C11" s="46" t="s">
        <v>27</v>
      </c>
      <c r="D11" s="46">
        <v>103</v>
      </c>
      <c r="E11" s="46" t="s">
        <v>94</v>
      </c>
      <c r="F11">
        <v>20</v>
      </c>
      <c r="G11" s="46" t="s">
        <v>1562</v>
      </c>
      <c r="H11" s="46">
        <v>24</v>
      </c>
      <c r="I11" s="46" t="s">
        <v>619</v>
      </c>
      <c r="J11" s="46">
        <v>150</v>
      </c>
      <c r="K11" s="69">
        <v>4.2</v>
      </c>
      <c r="L11" t="s">
        <v>1405</v>
      </c>
      <c r="AG11">
        <v>3</v>
      </c>
      <c r="AH11">
        <v>2022</v>
      </c>
      <c r="AI11">
        <f t="shared" si="0"/>
        <v>1</v>
      </c>
      <c r="AJ11">
        <f t="shared" si="1"/>
        <v>1</v>
      </c>
      <c r="AK11">
        <f t="shared" si="2"/>
        <v>1</v>
      </c>
      <c r="AL11">
        <f t="shared" si="3"/>
        <v>94</v>
      </c>
      <c r="AP11" s="46">
        <v>7</v>
      </c>
      <c r="AQ11" s="46" t="s">
        <v>1400</v>
      </c>
      <c r="AS11" s="46">
        <v>31</v>
      </c>
      <c r="AT11" s="46" t="s">
        <v>1481</v>
      </c>
    </row>
    <row r="12" spans="2:46" x14ac:dyDescent="0.25">
      <c r="B12" s="46" t="s">
        <v>1561</v>
      </c>
      <c r="C12" s="46" t="s">
        <v>175</v>
      </c>
      <c r="D12" s="46">
        <v>100</v>
      </c>
      <c r="E12" s="46" t="s">
        <v>93</v>
      </c>
      <c r="F12">
        <v>15</v>
      </c>
      <c r="G12" s="46"/>
      <c r="H12" s="46">
        <v>24</v>
      </c>
      <c r="I12" s="46" t="s">
        <v>619</v>
      </c>
      <c r="J12" s="46">
        <v>150</v>
      </c>
      <c r="K12" s="69">
        <v>4.2</v>
      </c>
      <c r="L12" t="s">
        <v>1356</v>
      </c>
      <c r="AG12">
        <v>4</v>
      </c>
      <c r="AH12">
        <v>2022</v>
      </c>
      <c r="AI12">
        <f t="shared" si="0"/>
        <v>1</v>
      </c>
      <c r="AJ12">
        <f t="shared" si="1"/>
        <v>1</v>
      </c>
      <c r="AK12">
        <f t="shared" si="2"/>
        <v>1</v>
      </c>
      <c r="AL12">
        <f t="shared" si="3"/>
        <v>186</v>
      </c>
      <c r="AP12" s="46">
        <v>19</v>
      </c>
      <c r="AQ12" s="46" t="s">
        <v>1400</v>
      </c>
      <c r="AS12" s="1">
        <v>94</v>
      </c>
      <c r="AT12" s="46" t="s">
        <v>1400</v>
      </c>
    </row>
    <row r="13" spans="2:46" x14ac:dyDescent="0.25">
      <c r="B13" s="46" t="s">
        <v>1544</v>
      </c>
      <c r="C13" s="46" t="s">
        <v>146</v>
      </c>
      <c r="D13" s="46">
        <v>97</v>
      </c>
      <c r="E13" s="46" t="s">
        <v>94</v>
      </c>
      <c r="F13" s="46" t="s">
        <v>1563</v>
      </c>
      <c r="G13" s="46" t="s">
        <v>1359</v>
      </c>
      <c r="H13" s="46">
        <v>12</v>
      </c>
      <c r="I13" s="46" t="s">
        <v>1156</v>
      </c>
      <c r="J13" s="46">
        <v>117</v>
      </c>
      <c r="K13" s="69">
        <v>4.2</v>
      </c>
      <c r="O13">
        <v>13</v>
      </c>
      <c r="P13" t="s">
        <v>115</v>
      </c>
      <c r="Q13">
        <v>117</v>
      </c>
      <c r="R13">
        <v>3.45</v>
      </c>
      <c r="S13" t="s">
        <v>566</v>
      </c>
      <c r="AG13">
        <v>1</v>
      </c>
      <c r="AH13">
        <v>2023</v>
      </c>
      <c r="AI13">
        <f t="shared" si="0"/>
        <v>1</v>
      </c>
      <c r="AJ13">
        <f t="shared" si="1"/>
        <v>1</v>
      </c>
      <c r="AK13">
        <f t="shared" si="2"/>
        <v>1</v>
      </c>
      <c r="AL13">
        <f t="shared" si="3"/>
        <v>276</v>
      </c>
      <c r="AP13" s="46">
        <v>7</v>
      </c>
      <c r="AQ13" s="46" t="s">
        <v>619</v>
      </c>
      <c r="AS13" s="1">
        <v>3</v>
      </c>
      <c r="AT13" s="46" t="s">
        <v>1545</v>
      </c>
    </row>
    <row r="14" spans="2:46" x14ac:dyDescent="0.25">
      <c r="B14" s="46" t="s">
        <v>1544</v>
      </c>
      <c r="C14" s="46" t="s">
        <v>144</v>
      </c>
      <c r="D14" s="46">
        <v>76</v>
      </c>
      <c r="E14" s="46"/>
      <c r="G14" s="46"/>
      <c r="H14" s="46">
        <v>18</v>
      </c>
      <c r="I14" s="46" t="s">
        <v>619</v>
      </c>
      <c r="J14" s="46">
        <v>150</v>
      </c>
      <c r="K14" s="69">
        <v>4.2</v>
      </c>
      <c r="AG14">
        <v>1</v>
      </c>
      <c r="AH14">
        <v>2023</v>
      </c>
      <c r="AI14">
        <f t="shared" si="0"/>
        <v>1</v>
      </c>
      <c r="AJ14">
        <f t="shared" si="1"/>
        <v>1</v>
      </c>
      <c r="AK14">
        <f t="shared" si="2"/>
        <v>1</v>
      </c>
      <c r="AL14">
        <f t="shared" si="3"/>
        <v>276</v>
      </c>
      <c r="AP14" s="46">
        <v>12</v>
      </c>
      <c r="AQ14" s="46" t="s">
        <v>1156</v>
      </c>
      <c r="AS14" s="1">
        <v>19</v>
      </c>
      <c r="AT14" s="46" t="s">
        <v>1400</v>
      </c>
    </row>
    <row r="15" spans="2:46" x14ac:dyDescent="0.25">
      <c r="B15" s="46" t="s">
        <v>1544</v>
      </c>
      <c r="C15" s="46" t="s">
        <v>318</v>
      </c>
      <c r="D15" s="46">
        <v>93</v>
      </c>
      <c r="E15" s="46" t="s">
        <v>94</v>
      </c>
      <c r="F15">
        <v>30</v>
      </c>
      <c r="G15" s="46"/>
      <c r="H15" s="46">
        <v>15</v>
      </c>
      <c r="I15" s="46" t="s">
        <v>1486</v>
      </c>
      <c r="J15" s="46">
        <v>162</v>
      </c>
      <c r="K15" s="69">
        <v>6.2</v>
      </c>
      <c r="AG15">
        <v>2</v>
      </c>
      <c r="AH15">
        <v>2023</v>
      </c>
      <c r="AI15">
        <f t="shared" si="0"/>
        <v>1</v>
      </c>
      <c r="AJ15">
        <f t="shared" si="1"/>
        <v>1</v>
      </c>
      <c r="AK15">
        <f t="shared" si="2"/>
        <v>1</v>
      </c>
      <c r="AL15">
        <f t="shared" si="3"/>
        <v>366</v>
      </c>
      <c r="AP15" s="46">
        <v>18</v>
      </c>
      <c r="AQ15" s="46" t="s">
        <v>619</v>
      </c>
      <c r="AS15" s="1">
        <v>120</v>
      </c>
      <c r="AT15" s="46" t="s">
        <v>1400</v>
      </c>
    </row>
    <row r="16" spans="2:46" x14ac:dyDescent="0.25">
      <c r="B16" s="46" t="s">
        <v>1544</v>
      </c>
      <c r="C16" s="46" t="s">
        <v>148</v>
      </c>
      <c r="D16" s="46">
        <v>36</v>
      </c>
      <c r="E16" s="46" t="s">
        <v>94</v>
      </c>
      <c r="F16">
        <v>20</v>
      </c>
      <c r="G16" s="46"/>
      <c r="H16" s="46">
        <v>8</v>
      </c>
      <c r="I16" s="46" t="s">
        <v>1559</v>
      </c>
      <c r="J16" s="46">
        <v>136</v>
      </c>
      <c r="K16" s="69">
        <v>4.5</v>
      </c>
      <c r="AG16">
        <v>2</v>
      </c>
      <c r="AH16">
        <v>2023</v>
      </c>
      <c r="AI16">
        <f t="shared" si="0"/>
        <v>1</v>
      </c>
      <c r="AJ16">
        <f t="shared" si="1"/>
        <v>1</v>
      </c>
      <c r="AK16">
        <f t="shared" si="2"/>
        <v>1</v>
      </c>
      <c r="AL16">
        <f t="shared" si="3"/>
        <v>366</v>
      </c>
      <c r="AP16" s="46">
        <v>15</v>
      </c>
      <c r="AQ16" s="46" t="s">
        <v>1486</v>
      </c>
      <c r="AS16" s="1">
        <v>12</v>
      </c>
      <c r="AT16" s="46" t="s">
        <v>1156</v>
      </c>
    </row>
    <row r="17" spans="1:46" x14ac:dyDescent="0.25">
      <c r="B17" s="46" t="s">
        <v>1544</v>
      </c>
      <c r="C17" s="46" t="s">
        <v>146</v>
      </c>
      <c r="D17" s="46">
        <v>30</v>
      </c>
      <c r="E17" s="46" t="s">
        <v>93</v>
      </c>
      <c r="F17" s="46">
        <v>10</v>
      </c>
      <c r="G17" s="46" t="s">
        <v>1551</v>
      </c>
      <c r="H17" s="46">
        <v>3</v>
      </c>
      <c r="I17" s="46" t="s">
        <v>121</v>
      </c>
      <c r="J17" s="46">
        <v>136</v>
      </c>
      <c r="K17" s="69">
        <v>4.2</v>
      </c>
      <c r="L17" t="s">
        <v>1356</v>
      </c>
      <c r="O17">
        <v>5</v>
      </c>
      <c r="P17" t="s">
        <v>108</v>
      </c>
      <c r="Q17">
        <v>136</v>
      </c>
      <c r="R17">
        <v>3.6</v>
      </c>
      <c r="S17" t="s">
        <v>1224</v>
      </c>
      <c r="AG17">
        <v>1</v>
      </c>
      <c r="AH17">
        <v>2023</v>
      </c>
      <c r="AI17">
        <f t="shared" si="0"/>
        <v>1</v>
      </c>
      <c r="AJ17">
        <f t="shared" si="1"/>
        <v>1</v>
      </c>
      <c r="AK17">
        <f t="shared" si="2"/>
        <v>1</v>
      </c>
      <c r="AL17">
        <f t="shared" si="3"/>
        <v>276</v>
      </c>
      <c r="AP17" s="46">
        <v>8</v>
      </c>
      <c r="AQ17" s="46" t="s">
        <v>1559</v>
      </c>
      <c r="AS17" s="1">
        <v>12</v>
      </c>
      <c r="AT17" s="46" t="s">
        <v>1486</v>
      </c>
    </row>
    <row r="18" spans="1:46" x14ac:dyDescent="0.25">
      <c r="B18" s="46" t="s">
        <v>1544</v>
      </c>
      <c r="C18" s="46" t="s">
        <v>206</v>
      </c>
      <c r="D18" s="46">
        <v>31</v>
      </c>
      <c r="E18" s="46" t="s">
        <v>94</v>
      </c>
      <c r="F18" s="46">
        <v>20</v>
      </c>
      <c r="G18" s="46" t="s">
        <v>1552</v>
      </c>
      <c r="H18" s="46">
        <v>3</v>
      </c>
      <c r="I18" s="46" t="s">
        <v>121</v>
      </c>
      <c r="J18" s="46">
        <v>136</v>
      </c>
      <c r="K18" s="69">
        <v>4.2</v>
      </c>
      <c r="O18">
        <v>2</v>
      </c>
      <c r="P18" t="s">
        <v>109</v>
      </c>
      <c r="Q18">
        <v>126</v>
      </c>
      <c r="R18">
        <v>3.45</v>
      </c>
      <c r="U18">
        <v>2</v>
      </c>
      <c r="V18" t="s">
        <v>112</v>
      </c>
      <c r="W18">
        <v>112</v>
      </c>
      <c r="X18">
        <v>3.45</v>
      </c>
      <c r="AA18">
        <v>1</v>
      </c>
      <c r="AB18" s="46" t="s">
        <v>1156</v>
      </c>
      <c r="AC18" s="46">
        <v>117</v>
      </c>
      <c r="AD18" s="46">
        <v>4.2</v>
      </c>
      <c r="AG18">
        <v>4</v>
      </c>
      <c r="AH18">
        <v>2022</v>
      </c>
      <c r="AI18">
        <f t="shared" si="0"/>
        <v>1</v>
      </c>
      <c r="AJ18">
        <f t="shared" si="1"/>
        <v>1</v>
      </c>
      <c r="AK18">
        <f t="shared" si="2"/>
        <v>1</v>
      </c>
      <c r="AL18">
        <f t="shared" si="3"/>
        <v>184</v>
      </c>
      <c r="AP18" s="46">
        <v>3</v>
      </c>
      <c r="AQ18" s="46" t="s">
        <v>121</v>
      </c>
    </row>
    <row r="19" spans="1:46" x14ac:dyDescent="0.25">
      <c r="B19" s="46" t="s">
        <v>1544</v>
      </c>
      <c r="C19" s="46" t="s">
        <v>146</v>
      </c>
      <c r="D19" s="46">
        <v>25</v>
      </c>
      <c r="E19" s="46" t="s">
        <v>93</v>
      </c>
      <c r="F19" s="46">
        <v>14</v>
      </c>
      <c r="G19" s="46" t="s">
        <v>1553</v>
      </c>
      <c r="H19" s="46">
        <v>6</v>
      </c>
      <c r="I19" s="46" t="s">
        <v>121</v>
      </c>
      <c r="J19" s="46">
        <v>136</v>
      </c>
      <c r="K19" s="69">
        <v>4.2</v>
      </c>
      <c r="AG19">
        <v>4</v>
      </c>
      <c r="AH19">
        <v>2022</v>
      </c>
      <c r="AI19">
        <f t="shared" si="0"/>
        <v>1</v>
      </c>
      <c r="AJ19">
        <f t="shared" si="1"/>
        <v>1</v>
      </c>
      <c r="AK19">
        <f t="shared" si="2"/>
        <v>1</v>
      </c>
      <c r="AL19">
        <f t="shared" si="3"/>
        <v>184</v>
      </c>
      <c r="AP19" s="46">
        <v>31</v>
      </c>
      <c r="AQ19" s="46" t="s">
        <v>1481</v>
      </c>
    </row>
    <row r="20" spans="1:46" x14ac:dyDescent="0.25">
      <c r="B20" s="46" t="s">
        <v>1544</v>
      </c>
      <c r="C20" s="47" t="s">
        <v>1140</v>
      </c>
      <c r="D20" s="46">
        <v>295</v>
      </c>
      <c r="E20" s="46" t="s">
        <v>881</v>
      </c>
      <c r="F20" s="46">
        <v>14</v>
      </c>
      <c r="G20" s="46" t="s">
        <v>1554</v>
      </c>
      <c r="H20" s="46">
        <v>31</v>
      </c>
      <c r="I20" s="46" t="s">
        <v>1481</v>
      </c>
      <c r="J20" s="46">
        <v>174</v>
      </c>
      <c r="K20" s="69">
        <v>9.5</v>
      </c>
      <c r="AG20">
        <v>1</v>
      </c>
      <c r="AH20">
        <v>2023</v>
      </c>
      <c r="AI20">
        <f t="shared" si="0"/>
        <v>1</v>
      </c>
      <c r="AJ20">
        <f t="shared" si="1"/>
        <v>1</v>
      </c>
      <c r="AK20">
        <f t="shared" si="2"/>
        <v>1</v>
      </c>
      <c r="AL20">
        <f t="shared" si="3"/>
        <v>276</v>
      </c>
      <c r="AP20" s="1">
        <v>24</v>
      </c>
      <c r="AQ20" s="46" t="s">
        <v>121</v>
      </c>
    </row>
    <row r="21" spans="1:46" x14ac:dyDescent="0.25">
      <c r="B21" s="46" t="s">
        <v>1544</v>
      </c>
      <c r="C21" s="47" t="s">
        <v>1140</v>
      </c>
      <c r="D21" s="46">
        <v>295</v>
      </c>
      <c r="E21" s="46" t="s">
        <v>94</v>
      </c>
      <c r="F21" s="46">
        <v>15</v>
      </c>
      <c r="G21" s="46" t="s">
        <v>570</v>
      </c>
      <c r="H21" s="46">
        <v>31</v>
      </c>
      <c r="I21" s="46" t="s">
        <v>1481</v>
      </c>
      <c r="J21" s="46">
        <v>174</v>
      </c>
      <c r="K21" s="69">
        <v>9.5</v>
      </c>
      <c r="AG21">
        <v>1</v>
      </c>
      <c r="AH21">
        <v>2024</v>
      </c>
      <c r="AI21">
        <f t="shared" si="0"/>
        <v>1</v>
      </c>
      <c r="AJ21">
        <f t="shared" si="1"/>
        <v>1</v>
      </c>
      <c r="AK21">
        <f t="shared" si="2"/>
        <v>1</v>
      </c>
      <c r="AL21">
        <f t="shared" si="3"/>
        <v>641</v>
      </c>
      <c r="AP21" s="1">
        <v>33</v>
      </c>
      <c r="AQ21" s="46" t="s">
        <v>119</v>
      </c>
    </row>
    <row r="22" spans="1:46" x14ac:dyDescent="0.25">
      <c r="B22" s="46" t="s">
        <v>1544</v>
      </c>
      <c r="C22" s="46" t="s">
        <v>137</v>
      </c>
      <c r="D22" s="46">
        <v>54</v>
      </c>
      <c r="E22" s="46"/>
      <c r="F22" s="46"/>
      <c r="G22" s="46"/>
      <c r="H22" s="46">
        <v>15</v>
      </c>
      <c r="I22" s="46" t="s">
        <v>1565</v>
      </c>
      <c r="J22" s="46">
        <v>155</v>
      </c>
      <c r="K22" s="69">
        <v>3.6</v>
      </c>
      <c r="AG22">
        <v>3</v>
      </c>
      <c r="AH22">
        <v>2022</v>
      </c>
      <c r="AI22">
        <f t="shared" si="0"/>
        <v>1</v>
      </c>
      <c r="AJ22">
        <f t="shared" si="1"/>
        <v>1</v>
      </c>
      <c r="AK22">
        <f t="shared" si="2"/>
        <v>1</v>
      </c>
      <c r="AL22">
        <f t="shared" si="3"/>
        <v>92</v>
      </c>
      <c r="AP22" s="1">
        <v>19</v>
      </c>
      <c r="AQ22" s="46" t="s">
        <v>1400</v>
      </c>
    </row>
    <row r="23" spans="1:46" x14ac:dyDescent="0.25">
      <c r="B23" s="46" t="s">
        <v>1544</v>
      </c>
      <c r="C23" s="46" t="s">
        <v>852</v>
      </c>
      <c r="D23" s="46">
        <v>50</v>
      </c>
      <c r="E23" s="46" t="s">
        <v>94</v>
      </c>
      <c r="F23" s="46">
        <v>15</v>
      </c>
      <c r="G23" s="46"/>
      <c r="H23" s="46">
        <v>11</v>
      </c>
      <c r="I23" s="46" t="s">
        <v>1400</v>
      </c>
      <c r="J23" s="46">
        <v>150</v>
      </c>
      <c r="K23" s="69">
        <v>4.5</v>
      </c>
      <c r="AG23">
        <v>4</v>
      </c>
      <c r="AH23">
        <v>2022</v>
      </c>
      <c r="AI23">
        <f t="shared" si="0"/>
        <v>1</v>
      </c>
      <c r="AJ23">
        <f t="shared" si="1"/>
        <v>1</v>
      </c>
      <c r="AK23">
        <f t="shared" si="2"/>
        <v>1</v>
      </c>
      <c r="AL23">
        <f t="shared" si="3"/>
        <v>184</v>
      </c>
      <c r="AP23" s="1">
        <v>9</v>
      </c>
      <c r="AQ23" s="46" t="s">
        <v>619</v>
      </c>
    </row>
    <row r="24" spans="1:46" x14ac:dyDescent="0.25">
      <c r="B24" s="46" t="s">
        <v>1544</v>
      </c>
      <c r="C24" s="46" t="s">
        <v>1247</v>
      </c>
      <c r="D24" s="46">
        <v>201</v>
      </c>
      <c r="E24" s="46" t="s">
        <v>94</v>
      </c>
      <c r="F24" s="46">
        <v>15</v>
      </c>
      <c r="G24" s="46"/>
      <c r="H24" s="46">
        <v>33</v>
      </c>
      <c r="I24" s="46" t="s">
        <v>1486</v>
      </c>
      <c r="J24" s="46">
        <v>162</v>
      </c>
      <c r="K24" s="69">
        <v>6</v>
      </c>
      <c r="L24" t="s">
        <v>1566</v>
      </c>
      <c r="O24">
        <v>1</v>
      </c>
      <c r="P24" t="s">
        <v>108</v>
      </c>
      <c r="Q24">
        <v>136</v>
      </c>
      <c r="R24">
        <v>3.45</v>
      </c>
      <c r="AG24">
        <v>4</v>
      </c>
      <c r="AH24">
        <v>2022</v>
      </c>
      <c r="AI24">
        <f t="shared" si="0"/>
        <v>1</v>
      </c>
      <c r="AJ24">
        <f t="shared" si="1"/>
        <v>1</v>
      </c>
      <c r="AK24">
        <f t="shared" si="2"/>
        <v>1</v>
      </c>
      <c r="AL24">
        <f t="shared" si="3"/>
        <v>184</v>
      </c>
      <c r="AP24" s="1">
        <v>15</v>
      </c>
      <c r="AQ24" s="46" t="s">
        <v>1486</v>
      </c>
    </row>
    <row r="25" spans="1:46" s="11" customFormat="1" x14ac:dyDescent="0.25">
      <c r="A25" s="11">
        <f>SUM(D2:D25)</f>
        <v>2179</v>
      </c>
      <c r="B25" s="48" t="s">
        <v>1544</v>
      </c>
      <c r="C25" s="49" t="s">
        <v>206</v>
      </c>
      <c r="D25" s="48">
        <v>30</v>
      </c>
      <c r="E25" s="48" t="s">
        <v>94</v>
      </c>
      <c r="F25" s="48">
        <v>18</v>
      </c>
      <c r="G25" s="48" t="s">
        <v>1028</v>
      </c>
      <c r="H25" s="48">
        <v>3</v>
      </c>
      <c r="I25" s="48" t="s">
        <v>1545</v>
      </c>
      <c r="J25" s="48">
        <v>164</v>
      </c>
      <c r="K25" s="70">
        <v>10</v>
      </c>
      <c r="AH25"/>
      <c r="AI25" s="11">
        <f t="shared" si="0"/>
        <v>1</v>
      </c>
      <c r="AJ25" s="11">
        <f t="shared" si="1"/>
        <v>1</v>
      </c>
      <c r="AK25">
        <f t="shared" si="2"/>
        <v>1</v>
      </c>
      <c r="AL25"/>
      <c r="AP25" s="1">
        <v>11</v>
      </c>
      <c r="AQ25" s="46" t="s">
        <v>109</v>
      </c>
    </row>
    <row r="26" spans="1:46" x14ac:dyDescent="0.25">
      <c r="B26" s="46" t="s">
        <v>1581</v>
      </c>
      <c r="C26" s="46" t="s">
        <v>141</v>
      </c>
      <c r="D26" s="46">
        <v>423</v>
      </c>
      <c r="E26" s="46" t="s">
        <v>94</v>
      </c>
      <c r="F26" s="46">
        <v>20</v>
      </c>
      <c r="G26" t="s">
        <v>1582</v>
      </c>
      <c r="H26" s="1">
        <v>94</v>
      </c>
      <c r="I26" s="46" t="s">
        <v>1400</v>
      </c>
      <c r="J26" s="46">
        <v>150</v>
      </c>
      <c r="K26" s="69">
        <v>4.5</v>
      </c>
      <c r="AH26">
        <v>2024</v>
      </c>
      <c r="AI26">
        <f t="shared" si="0"/>
        <v>1</v>
      </c>
      <c r="AJ26">
        <f t="shared" si="1"/>
        <v>1</v>
      </c>
      <c r="AK26">
        <f t="shared" si="2"/>
        <v>1</v>
      </c>
      <c r="AL26">
        <f t="shared" si="3"/>
        <v>514</v>
      </c>
      <c r="AP26" s="1">
        <v>7</v>
      </c>
      <c r="AQ26" s="46" t="s">
        <v>121</v>
      </c>
    </row>
    <row r="27" spans="1:46" x14ac:dyDescent="0.25">
      <c r="B27" s="46" t="s">
        <v>1581</v>
      </c>
      <c r="C27" s="46" t="s">
        <v>27</v>
      </c>
      <c r="D27" s="46">
        <v>81</v>
      </c>
      <c r="E27" s="46" t="s">
        <v>94</v>
      </c>
      <c r="F27" s="46">
        <v>20</v>
      </c>
      <c r="G27" t="s">
        <v>1583</v>
      </c>
      <c r="H27" s="1">
        <v>18</v>
      </c>
      <c r="I27" s="46" t="s">
        <v>1400</v>
      </c>
      <c r="J27" s="46">
        <v>150</v>
      </c>
      <c r="K27" s="69">
        <v>4.5</v>
      </c>
      <c r="AG27">
        <v>4</v>
      </c>
      <c r="AH27">
        <v>2022</v>
      </c>
      <c r="AI27">
        <f t="shared" si="0"/>
        <v>1</v>
      </c>
      <c r="AJ27">
        <f t="shared" si="1"/>
        <v>1</v>
      </c>
      <c r="AK27">
        <f t="shared" si="2"/>
        <v>1</v>
      </c>
      <c r="AL27">
        <f t="shared" si="3"/>
        <v>149</v>
      </c>
      <c r="AP27" s="1">
        <v>2</v>
      </c>
      <c r="AQ27" s="46" t="s">
        <v>113</v>
      </c>
    </row>
    <row r="28" spans="1:46" x14ac:dyDescent="0.25">
      <c r="B28" s="46" t="s">
        <v>1594</v>
      </c>
      <c r="C28" s="46" t="s">
        <v>146</v>
      </c>
      <c r="D28" s="46">
        <v>101</v>
      </c>
      <c r="E28" s="46" t="s">
        <v>94</v>
      </c>
      <c r="G28" s="46" t="s">
        <v>1359</v>
      </c>
      <c r="H28" s="1">
        <v>24</v>
      </c>
      <c r="I28" s="46" t="s">
        <v>121</v>
      </c>
      <c r="J28" s="46">
        <v>136</v>
      </c>
      <c r="K28" s="69">
        <v>4.2</v>
      </c>
      <c r="AG28">
        <v>2</v>
      </c>
      <c r="AH28">
        <v>2023</v>
      </c>
      <c r="AI28">
        <f t="shared" si="0"/>
        <v>1</v>
      </c>
      <c r="AJ28">
        <f t="shared" si="1"/>
        <v>1</v>
      </c>
      <c r="AK28">
        <f t="shared" si="2"/>
        <v>1</v>
      </c>
      <c r="AL28">
        <f t="shared" si="3"/>
        <v>297</v>
      </c>
      <c r="AP28" s="28">
        <v>59</v>
      </c>
      <c r="AQ28" s="11" t="s">
        <v>1559</v>
      </c>
    </row>
    <row r="29" spans="1:46" x14ac:dyDescent="0.25">
      <c r="B29" s="46" t="s">
        <v>1595</v>
      </c>
      <c r="C29" s="68" t="s">
        <v>206</v>
      </c>
      <c r="D29" s="46">
        <v>30</v>
      </c>
      <c r="E29" s="46" t="s">
        <v>94</v>
      </c>
      <c r="F29" s="46">
        <v>15</v>
      </c>
      <c r="G29" s="46" t="s">
        <v>1599</v>
      </c>
      <c r="H29" s="1">
        <v>3</v>
      </c>
      <c r="I29" s="46" t="s">
        <v>1545</v>
      </c>
      <c r="J29" s="46">
        <v>164</v>
      </c>
      <c r="K29" s="69">
        <v>10</v>
      </c>
      <c r="AF29" t="s">
        <v>1600</v>
      </c>
      <c r="AG29">
        <v>3</v>
      </c>
      <c r="AH29">
        <v>2024</v>
      </c>
      <c r="AI29">
        <f t="shared" si="0"/>
        <v>1</v>
      </c>
      <c r="AJ29">
        <f t="shared" si="1"/>
        <v>1</v>
      </c>
      <c r="AK29">
        <f t="shared" si="2"/>
        <v>1</v>
      </c>
      <c r="AL29">
        <f t="shared" si="3"/>
        <v>735</v>
      </c>
      <c r="AP29" s="1">
        <v>10</v>
      </c>
      <c r="AQ29" s="46" t="s">
        <v>121</v>
      </c>
    </row>
    <row r="30" spans="1:46" x14ac:dyDescent="0.25">
      <c r="B30" s="46" t="s">
        <v>1596</v>
      </c>
      <c r="C30" t="s">
        <v>161</v>
      </c>
      <c r="D30" s="46">
        <v>73</v>
      </c>
      <c r="E30" s="46" t="s">
        <v>94</v>
      </c>
      <c r="F30" s="46">
        <v>15</v>
      </c>
      <c r="G30" s="46" t="s">
        <v>1601</v>
      </c>
      <c r="H30" s="1">
        <v>33</v>
      </c>
      <c r="I30" s="46" t="s">
        <v>119</v>
      </c>
      <c r="J30" s="46">
        <v>110</v>
      </c>
      <c r="K30" s="69">
        <v>2.2000000000000002</v>
      </c>
      <c r="M30" s="46">
        <v>120</v>
      </c>
      <c r="AG30">
        <v>3</v>
      </c>
      <c r="AH30">
        <v>2023</v>
      </c>
      <c r="AI30">
        <f t="shared" si="0"/>
        <v>1</v>
      </c>
      <c r="AJ30">
        <f t="shared" si="1"/>
        <v>1</v>
      </c>
      <c r="AK30">
        <f t="shared" si="2"/>
        <v>1</v>
      </c>
      <c r="AL30">
        <f t="shared" si="3"/>
        <v>368</v>
      </c>
      <c r="AP30" s="1">
        <v>23</v>
      </c>
      <c r="AQ30" s="46" t="s">
        <v>1400</v>
      </c>
    </row>
    <row r="31" spans="1:46" x14ac:dyDescent="0.25">
      <c r="B31" s="46" t="s">
        <v>1597</v>
      </c>
      <c r="C31" t="s">
        <v>1247</v>
      </c>
      <c r="D31" s="46">
        <v>86</v>
      </c>
      <c r="E31" s="46" t="s">
        <v>94</v>
      </c>
      <c r="F31" s="46">
        <v>10</v>
      </c>
      <c r="G31" s="46" t="s">
        <v>1602</v>
      </c>
      <c r="H31" s="1">
        <v>19</v>
      </c>
      <c r="I31" s="46" t="s">
        <v>1400</v>
      </c>
      <c r="J31" s="46">
        <v>150</v>
      </c>
      <c r="K31" s="69">
        <v>4.5</v>
      </c>
      <c r="AG31">
        <v>4</v>
      </c>
      <c r="AH31">
        <v>2023</v>
      </c>
      <c r="AI31">
        <f t="shared" si="0"/>
        <v>1</v>
      </c>
      <c r="AJ31">
        <f t="shared" si="1"/>
        <v>1</v>
      </c>
      <c r="AK31">
        <f t="shared" si="2"/>
        <v>1</v>
      </c>
      <c r="AL31">
        <f t="shared" si="3"/>
        <v>459</v>
      </c>
      <c r="AP31" s="1">
        <v>23</v>
      </c>
      <c r="AQ31" s="46" t="s">
        <v>1400</v>
      </c>
    </row>
    <row r="32" spans="1:46" x14ac:dyDescent="0.25">
      <c r="B32" s="46" t="s">
        <v>1597</v>
      </c>
      <c r="C32" t="s">
        <v>1541</v>
      </c>
      <c r="D32" s="46">
        <v>39</v>
      </c>
      <c r="E32" s="46" t="s">
        <v>94</v>
      </c>
      <c r="F32" s="46">
        <v>30</v>
      </c>
      <c r="G32" s="46" t="s">
        <v>1468</v>
      </c>
      <c r="H32" s="1">
        <v>9</v>
      </c>
      <c r="I32" s="46" t="s">
        <v>619</v>
      </c>
      <c r="J32" s="46">
        <v>150</v>
      </c>
      <c r="K32" s="69">
        <v>4.3</v>
      </c>
      <c r="L32" t="s">
        <v>1405</v>
      </c>
      <c r="AG32">
        <v>2</v>
      </c>
      <c r="AH32">
        <v>2023</v>
      </c>
      <c r="AI32">
        <f t="shared" si="0"/>
        <v>1</v>
      </c>
      <c r="AJ32">
        <f t="shared" si="1"/>
        <v>1</v>
      </c>
      <c r="AK32">
        <f t="shared" si="2"/>
        <v>1</v>
      </c>
      <c r="AL32">
        <f t="shared" si="3"/>
        <v>276</v>
      </c>
      <c r="AP32" s="1">
        <v>11</v>
      </c>
      <c r="AQ32" s="46" t="s">
        <v>1486</v>
      </c>
    </row>
    <row r="33" spans="1:43" x14ac:dyDescent="0.25">
      <c r="A33" s="40"/>
      <c r="B33" s="46" t="s">
        <v>1597</v>
      </c>
      <c r="C33" t="s">
        <v>318</v>
      </c>
      <c r="D33" s="46">
        <v>135</v>
      </c>
      <c r="E33" s="46" t="s">
        <v>94</v>
      </c>
      <c r="F33" s="46">
        <v>35</v>
      </c>
      <c r="G33" s="46" t="s">
        <v>1603</v>
      </c>
      <c r="H33" s="1">
        <v>15</v>
      </c>
      <c r="I33" s="46" t="s">
        <v>1486</v>
      </c>
      <c r="J33" s="46">
        <v>162</v>
      </c>
      <c r="K33" s="69">
        <v>6.2</v>
      </c>
      <c r="O33">
        <v>10</v>
      </c>
      <c r="P33" t="s">
        <v>619</v>
      </c>
      <c r="Q33">
        <v>150</v>
      </c>
      <c r="R33">
        <v>4.2</v>
      </c>
      <c r="Z33" t="s">
        <v>1604</v>
      </c>
      <c r="AG33">
        <v>2</v>
      </c>
      <c r="AH33">
        <v>2023</v>
      </c>
      <c r="AI33">
        <f t="shared" si="0"/>
        <v>1</v>
      </c>
      <c r="AJ33">
        <f t="shared" si="1"/>
        <v>1</v>
      </c>
      <c r="AK33">
        <f t="shared" si="2"/>
        <v>1</v>
      </c>
      <c r="AL33">
        <f t="shared" si="3"/>
        <v>276</v>
      </c>
      <c r="AP33" s="1">
        <v>41</v>
      </c>
      <c r="AQ33" s="46" t="s">
        <v>1400</v>
      </c>
    </row>
    <row r="34" spans="1:43" x14ac:dyDescent="0.25">
      <c r="B34" s="46" t="s">
        <v>1598</v>
      </c>
      <c r="C34" t="s">
        <v>141</v>
      </c>
      <c r="D34" s="46">
        <v>86</v>
      </c>
      <c r="E34" s="46" t="s">
        <v>94</v>
      </c>
      <c r="F34" s="46">
        <v>25</v>
      </c>
      <c r="G34" s="46" t="s">
        <v>1605</v>
      </c>
      <c r="H34" s="1">
        <v>19</v>
      </c>
      <c r="I34" s="46" t="s">
        <v>1400</v>
      </c>
      <c r="J34" s="46">
        <v>150</v>
      </c>
      <c r="K34" s="69">
        <v>4.5</v>
      </c>
      <c r="AH34">
        <v>2024</v>
      </c>
      <c r="AI34">
        <f t="shared" ref="AI34:AI65" si="4">COUNTIF($I$158:$I$188,I34)</f>
        <v>1</v>
      </c>
      <c r="AJ34">
        <f t="shared" ref="AJ34:AJ65" si="5">COUNTIF($C$157:$C$188,C34)</f>
        <v>1</v>
      </c>
      <c r="AK34">
        <f t="shared" si="2"/>
        <v>1</v>
      </c>
      <c r="AL34">
        <f t="shared" si="3"/>
        <v>458</v>
      </c>
      <c r="AP34" s="28">
        <v>12</v>
      </c>
      <c r="AQ34" s="48" t="s">
        <v>1486</v>
      </c>
    </row>
    <row r="35" spans="1:43" x14ac:dyDescent="0.25">
      <c r="A35" s="40"/>
      <c r="B35" s="46" t="s">
        <v>1598</v>
      </c>
      <c r="C35" t="s">
        <v>605</v>
      </c>
      <c r="D35" s="46">
        <v>29</v>
      </c>
      <c r="E35" s="46" t="s">
        <v>94</v>
      </c>
      <c r="F35" s="46">
        <v>20</v>
      </c>
      <c r="G35" s="46" t="s">
        <v>1444</v>
      </c>
      <c r="H35" s="1">
        <v>8</v>
      </c>
      <c r="I35" s="46" t="s">
        <v>114</v>
      </c>
      <c r="J35" s="46">
        <v>105</v>
      </c>
      <c r="K35" s="69">
        <v>3.6</v>
      </c>
      <c r="L35" t="s">
        <v>566</v>
      </c>
      <c r="O35" s="40"/>
      <c r="P35" s="40"/>
      <c r="Q35" s="40"/>
      <c r="R35" s="40"/>
      <c r="S35" s="40"/>
      <c r="T35" s="40"/>
      <c r="U35" s="40"/>
      <c r="V35" s="40"/>
      <c r="W35" s="40"/>
      <c r="X35" s="40"/>
      <c r="Y35" s="40"/>
      <c r="Z35" s="40"/>
      <c r="AA35" s="40"/>
      <c r="AB35" s="40"/>
      <c r="AC35" s="40"/>
      <c r="AD35" s="40"/>
      <c r="AE35" s="40"/>
      <c r="AF35" s="40"/>
      <c r="AG35" s="40">
        <v>1</v>
      </c>
      <c r="AH35">
        <v>2025</v>
      </c>
      <c r="AI35" s="40">
        <f t="shared" si="4"/>
        <v>1</v>
      </c>
      <c r="AJ35">
        <f t="shared" si="5"/>
        <v>1</v>
      </c>
      <c r="AK35">
        <f t="shared" si="2"/>
        <v>1</v>
      </c>
      <c r="AL35">
        <f t="shared" si="3"/>
        <v>916</v>
      </c>
    </row>
    <row r="36" spans="1:43" x14ac:dyDescent="0.25">
      <c r="A36" s="40"/>
      <c r="B36" s="46" t="s">
        <v>1598</v>
      </c>
      <c r="C36" t="s">
        <v>165</v>
      </c>
      <c r="D36" s="46">
        <v>67</v>
      </c>
      <c r="E36" s="46" t="s">
        <v>94</v>
      </c>
      <c r="G36" s="46" t="s">
        <v>1606</v>
      </c>
      <c r="H36" s="1">
        <v>13</v>
      </c>
      <c r="I36" s="46" t="s">
        <v>1559</v>
      </c>
      <c r="J36" s="46">
        <v>136</v>
      </c>
      <c r="K36" s="69">
        <v>4.5</v>
      </c>
      <c r="O36" s="40">
        <v>2</v>
      </c>
      <c r="P36" s="40" t="s">
        <v>1156</v>
      </c>
      <c r="Q36" s="40">
        <v>117</v>
      </c>
      <c r="R36" s="40">
        <v>4.2</v>
      </c>
      <c r="S36" s="40"/>
      <c r="T36" s="40"/>
      <c r="U36" s="40"/>
      <c r="V36" s="40"/>
      <c r="W36" s="40"/>
      <c r="X36" s="40"/>
      <c r="Y36" s="40"/>
      <c r="Z36" s="40"/>
      <c r="AA36" s="40"/>
      <c r="AB36" s="40"/>
      <c r="AC36" s="40"/>
      <c r="AD36" s="40"/>
      <c r="AE36" s="40"/>
      <c r="AF36" s="40"/>
      <c r="AG36" s="40">
        <v>1</v>
      </c>
      <c r="AH36">
        <v>2024</v>
      </c>
      <c r="AI36" s="40">
        <f t="shared" si="4"/>
        <v>1</v>
      </c>
      <c r="AJ36">
        <f t="shared" si="5"/>
        <v>1</v>
      </c>
      <c r="AK36">
        <f t="shared" si="2"/>
        <v>1</v>
      </c>
      <c r="AL36">
        <f t="shared" si="3"/>
        <v>550</v>
      </c>
    </row>
    <row r="37" spans="1:43" x14ac:dyDescent="0.25">
      <c r="A37" s="40"/>
      <c r="B37" s="46" t="s">
        <v>1598</v>
      </c>
      <c r="C37" t="s">
        <v>163</v>
      </c>
      <c r="D37" s="46">
        <v>40</v>
      </c>
      <c r="E37" s="46" t="s">
        <v>94</v>
      </c>
      <c r="F37" s="46">
        <v>20</v>
      </c>
      <c r="G37" s="46" t="s">
        <v>1607</v>
      </c>
      <c r="H37" s="1">
        <v>11</v>
      </c>
      <c r="I37" s="46" t="s">
        <v>109</v>
      </c>
      <c r="J37" s="46">
        <v>126</v>
      </c>
      <c r="K37" s="69">
        <v>3.6</v>
      </c>
      <c r="L37" t="s">
        <v>566</v>
      </c>
      <c r="O37" s="40"/>
      <c r="P37" s="40"/>
      <c r="Q37" s="40"/>
      <c r="R37" s="40"/>
      <c r="S37" s="40"/>
      <c r="T37" s="40"/>
      <c r="U37" s="40"/>
      <c r="V37" s="40"/>
      <c r="W37" s="40"/>
      <c r="X37" s="40"/>
      <c r="Y37" s="40"/>
      <c r="Z37" s="40"/>
      <c r="AA37" s="40"/>
      <c r="AB37" s="40"/>
      <c r="AC37" s="40"/>
      <c r="AD37" s="40"/>
      <c r="AE37" s="40"/>
      <c r="AF37" s="40"/>
      <c r="AG37" s="40">
        <v>2</v>
      </c>
      <c r="AH37">
        <v>2023</v>
      </c>
      <c r="AI37" s="40">
        <f t="shared" si="4"/>
        <v>1</v>
      </c>
      <c r="AJ37">
        <f t="shared" si="5"/>
        <v>1</v>
      </c>
      <c r="AK37">
        <f t="shared" si="2"/>
        <v>1</v>
      </c>
      <c r="AL37">
        <f t="shared" si="3"/>
        <v>275</v>
      </c>
    </row>
    <row r="38" spans="1:43" x14ac:dyDescent="0.25">
      <c r="B38" s="46" t="s">
        <v>1598</v>
      </c>
      <c r="C38" t="s">
        <v>146</v>
      </c>
      <c r="D38" s="46">
        <v>39</v>
      </c>
      <c r="E38" s="46" t="s">
        <v>94</v>
      </c>
      <c r="F38" s="46">
        <v>20</v>
      </c>
      <c r="G38" s="46" t="s">
        <v>1608</v>
      </c>
      <c r="H38" s="1">
        <v>7</v>
      </c>
      <c r="I38" s="46" t="s">
        <v>121</v>
      </c>
      <c r="J38" s="46">
        <v>136</v>
      </c>
      <c r="K38" s="69">
        <v>4.3</v>
      </c>
      <c r="L38" t="s">
        <v>1405</v>
      </c>
      <c r="O38" s="40">
        <v>2</v>
      </c>
      <c r="P38" s="40" t="s">
        <v>1156</v>
      </c>
      <c r="Q38" s="40">
        <v>117</v>
      </c>
      <c r="R38" s="40">
        <v>4.2</v>
      </c>
      <c r="S38" s="40" t="s">
        <v>1405</v>
      </c>
      <c r="T38" s="40"/>
      <c r="U38" s="40"/>
      <c r="V38" s="40"/>
      <c r="W38" s="40"/>
      <c r="X38" s="40"/>
      <c r="Y38" s="40"/>
      <c r="Z38" s="40"/>
      <c r="AA38" s="40"/>
      <c r="AB38" s="40"/>
      <c r="AC38" s="40"/>
      <c r="AD38" s="40"/>
      <c r="AE38" s="40"/>
      <c r="AF38" s="40"/>
      <c r="AG38" s="40">
        <v>2</v>
      </c>
      <c r="AH38">
        <v>2023</v>
      </c>
      <c r="AI38" s="40">
        <f t="shared" si="4"/>
        <v>1</v>
      </c>
      <c r="AJ38">
        <f t="shared" si="5"/>
        <v>1</v>
      </c>
      <c r="AK38">
        <f t="shared" si="2"/>
        <v>1</v>
      </c>
      <c r="AL38">
        <f t="shared" si="3"/>
        <v>275</v>
      </c>
    </row>
    <row r="39" spans="1:43" x14ac:dyDescent="0.25">
      <c r="A39" s="40"/>
      <c r="B39" s="46" t="s">
        <v>1598</v>
      </c>
      <c r="C39" t="s">
        <v>146</v>
      </c>
      <c r="D39" s="46">
        <v>27</v>
      </c>
      <c r="E39" s="46" t="s">
        <v>93</v>
      </c>
      <c r="F39" s="46">
        <v>10</v>
      </c>
      <c r="G39" s="46" t="s">
        <v>1609</v>
      </c>
      <c r="H39" s="1">
        <v>2</v>
      </c>
      <c r="I39" s="46" t="s">
        <v>113</v>
      </c>
      <c r="J39" s="46">
        <v>100</v>
      </c>
      <c r="K39" s="69">
        <v>2.2000000000000002</v>
      </c>
      <c r="L39" t="s">
        <v>637</v>
      </c>
      <c r="O39" s="40">
        <v>6</v>
      </c>
      <c r="P39" s="40" t="s">
        <v>109</v>
      </c>
      <c r="Q39" s="40">
        <v>126</v>
      </c>
      <c r="R39" s="40">
        <v>3.8</v>
      </c>
      <c r="S39" s="40" t="s">
        <v>587</v>
      </c>
      <c r="T39" s="40"/>
      <c r="U39" s="40"/>
      <c r="V39" s="40"/>
      <c r="W39" s="40"/>
      <c r="X39" s="40"/>
      <c r="Y39" s="40"/>
      <c r="Z39" s="40"/>
      <c r="AA39" s="40"/>
      <c r="AB39" s="40"/>
      <c r="AC39" s="40"/>
      <c r="AD39" s="40"/>
      <c r="AE39" s="40"/>
      <c r="AF39" s="40"/>
      <c r="AG39" s="40">
        <v>1</v>
      </c>
      <c r="AH39">
        <v>2023</v>
      </c>
      <c r="AI39" s="40">
        <f t="shared" si="4"/>
        <v>1</v>
      </c>
      <c r="AJ39">
        <f t="shared" si="5"/>
        <v>1</v>
      </c>
      <c r="AK39">
        <f t="shared" si="2"/>
        <v>1</v>
      </c>
      <c r="AL39">
        <f t="shared" si="3"/>
        <v>185</v>
      </c>
    </row>
    <row r="40" spans="1:43" x14ac:dyDescent="0.25">
      <c r="A40" s="40"/>
      <c r="B40" s="46" t="s">
        <v>1598</v>
      </c>
      <c r="C40" t="s">
        <v>141</v>
      </c>
      <c r="D40" s="46">
        <v>261</v>
      </c>
      <c r="E40" s="46" t="s">
        <v>93</v>
      </c>
      <c r="F40" s="46">
        <v>28</v>
      </c>
      <c r="G40" s="46" t="s">
        <v>220</v>
      </c>
      <c r="H40" s="1">
        <v>58</v>
      </c>
      <c r="I40" s="46" t="s">
        <v>1400</v>
      </c>
      <c r="J40" s="46">
        <v>150</v>
      </c>
      <c r="K40" s="69">
        <v>4.5</v>
      </c>
      <c r="O40" s="40"/>
      <c r="P40" s="40"/>
      <c r="Q40" s="40"/>
      <c r="R40" s="40"/>
      <c r="S40" s="40"/>
      <c r="T40" s="40"/>
      <c r="U40" s="40"/>
      <c r="V40" s="40"/>
      <c r="W40" s="40"/>
      <c r="X40" s="40"/>
      <c r="Y40" s="40"/>
      <c r="Z40" s="40"/>
      <c r="AA40" s="40"/>
      <c r="AB40" s="40"/>
      <c r="AC40" s="40"/>
      <c r="AD40" s="40"/>
      <c r="AE40" s="40"/>
      <c r="AF40" s="40"/>
      <c r="AG40" s="40"/>
      <c r="AI40" s="40">
        <f t="shared" si="4"/>
        <v>1</v>
      </c>
      <c r="AJ40">
        <f t="shared" si="5"/>
        <v>1</v>
      </c>
      <c r="AK40">
        <f t="shared" si="2"/>
        <v>1</v>
      </c>
    </row>
    <row r="41" spans="1:43" s="11" customFormat="1" x14ac:dyDescent="0.25">
      <c r="A41" s="11">
        <f>SUM(D26:D41)</f>
        <v>1783</v>
      </c>
      <c r="B41" s="48" t="s">
        <v>1598</v>
      </c>
      <c r="C41" s="11" t="s">
        <v>1247</v>
      </c>
      <c r="D41" s="48">
        <v>266</v>
      </c>
      <c r="E41" s="11" t="s">
        <v>94</v>
      </c>
      <c r="F41" s="11">
        <v>30</v>
      </c>
      <c r="G41" s="11" t="s">
        <v>1470</v>
      </c>
      <c r="H41" s="28">
        <v>59</v>
      </c>
      <c r="I41" s="11" t="s">
        <v>1559</v>
      </c>
      <c r="J41" s="11">
        <v>136</v>
      </c>
      <c r="K41" s="31">
        <v>4.5</v>
      </c>
      <c r="O41" s="41"/>
      <c r="P41" s="41"/>
      <c r="Q41" s="41"/>
      <c r="R41" s="41"/>
      <c r="S41" s="41"/>
      <c r="T41" s="41"/>
      <c r="U41" s="41"/>
      <c r="V41" s="41"/>
      <c r="W41" s="41"/>
      <c r="X41" s="41"/>
      <c r="Y41" s="41"/>
      <c r="Z41" s="41"/>
      <c r="AA41" s="41"/>
      <c r="AB41" s="41"/>
      <c r="AC41" s="41"/>
      <c r="AD41" s="41"/>
      <c r="AE41" s="41"/>
      <c r="AF41" s="41"/>
      <c r="AG41" s="41">
        <v>2</v>
      </c>
      <c r="AH41">
        <v>2023</v>
      </c>
      <c r="AI41" s="41">
        <f t="shared" si="4"/>
        <v>1</v>
      </c>
      <c r="AJ41" s="11">
        <f t="shared" si="5"/>
        <v>1</v>
      </c>
      <c r="AK41">
        <f t="shared" si="2"/>
        <v>1</v>
      </c>
      <c r="AL41">
        <f t="shared" si="3"/>
        <v>275</v>
      </c>
    </row>
    <row r="42" spans="1:43" x14ac:dyDescent="0.25">
      <c r="A42" s="40"/>
      <c r="B42" s="46" t="s">
        <v>1610</v>
      </c>
      <c r="C42" t="s">
        <v>1186</v>
      </c>
      <c r="D42" s="46">
        <v>43</v>
      </c>
      <c r="E42" s="46" t="s">
        <v>94</v>
      </c>
      <c r="F42" s="46">
        <v>30</v>
      </c>
      <c r="G42" s="46" t="s">
        <v>1187</v>
      </c>
      <c r="H42" s="1">
        <v>10</v>
      </c>
      <c r="I42" s="46" t="s">
        <v>121</v>
      </c>
      <c r="J42" s="46">
        <v>136</v>
      </c>
      <c r="K42" s="69">
        <v>4.3</v>
      </c>
      <c r="L42" t="s">
        <v>1405</v>
      </c>
      <c r="O42" s="40"/>
      <c r="P42" s="40"/>
      <c r="Q42" s="40"/>
      <c r="R42" s="40"/>
      <c r="S42" s="40"/>
      <c r="T42" s="40"/>
      <c r="U42" s="40"/>
      <c r="V42" s="40"/>
      <c r="W42" s="40"/>
      <c r="X42" s="40"/>
      <c r="Y42" s="40"/>
      <c r="Z42" s="40"/>
      <c r="AA42" s="40"/>
      <c r="AB42" s="40"/>
      <c r="AC42" s="40"/>
      <c r="AD42" s="40"/>
      <c r="AE42" s="40"/>
      <c r="AF42" s="40"/>
      <c r="AG42" s="40">
        <v>2</v>
      </c>
      <c r="AH42">
        <v>2023</v>
      </c>
      <c r="AI42" s="40">
        <f t="shared" si="4"/>
        <v>1</v>
      </c>
      <c r="AJ42">
        <f t="shared" si="5"/>
        <v>1</v>
      </c>
      <c r="AK42">
        <f t="shared" si="2"/>
        <v>1</v>
      </c>
      <c r="AL42">
        <f t="shared" si="3"/>
        <v>199</v>
      </c>
    </row>
    <row r="43" spans="1:43" ht="15.75" customHeight="1" x14ac:dyDescent="0.25">
      <c r="A43" s="40"/>
      <c r="B43" s="46" t="s">
        <v>1611</v>
      </c>
      <c r="C43" t="s">
        <v>166</v>
      </c>
      <c r="D43" s="46">
        <v>104</v>
      </c>
      <c r="E43" s="46" t="s">
        <v>93</v>
      </c>
      <c r="F43" s="46">
        <v>10</v>
      </c>
      <c r="G43" s="46" t="s">
        <v>1617</v>
      </c>
      <c r="H43" s="1">
        <v>23</v>
      </c>
      <c r="I43" s="46" t="s">
        <v>1400</v>
      </c>
      <c r="J43" s="46">
        <v>150</v>
      </c>
      <c r="K43" s="69">
        <v>4.5</v>
      </c>
      <c r="O43" s="40"/>
      <c r="P43" s="40"/>
      <c r="Q43" s="40"/>
      <c r="R43" s="40"/>
      <c r="S43" s="40"/>
      <c r="T43" s="40"/>
      <c r="U43" s="40"/>
      <c r="V43" s="40"/>
      <c r="W43" s="40"/>
      <c r="X43" s="40"/>
      <c r="Y43" s="40"/>
      <c r="Z43" s="40"/>
      <c r="AA43" s="40"/>
      <c r="AB43" s="40"/>
      <c r="AC43" s="40"/>
      <c r="AD43" s="40"/>
      <c r="AE43" s="40"/>
      <c r="AF43" s="40"/>
      <c r="AG43" s="40"/>
      <c r="AH43">
        <v>2023</v>
      </c>
      <c r="AI43" s="40">
        <f t="shared" si="4"/>
        <v>1</v>
      </c>
      <c r="AJ43">
        <f t="shared" si="5"/>
        <v>1</v>
      </c>
      <c r="AK43">
        <f t="shared" si="2"/>
        <v>1</v>
      </c>
      <c r="AL43">
        <f t="shared" si="3"/>
        <v>12</v>
      </c>
    </row>
    <row r="44" spans="1:43" x14ac:dyDescent="0.25">
      <c r="A44" s="40"/>
      <c r="B44" s="46" t="s">
        <v>1612</v>
      </c>
      <c r="C44" t="s">
        <v>141</v>
      </c>
      <c r="D44" s="46">
        <v>104</v>
      </c>
      <c r="E44" s="46" t="s">
        <v>94</v>
      </c>
      <c r="F44" s="46">
        <v>20</v>
      </c>
      <c r="G44" s="46" t="s">
        <v>1618</v>
      </c>
      <c r="H44" s="1">
        <v>23</v>
      </c>
      <c r="I44" s="46" t="s">
        <v>1400</v>
      </c>
      <c r="J44" s="46">
        <v>150</v>
      </c>
      <c r="K44" s="69">
        <v>4.5</v>
      </c>
      <c r="O44" s="40"/>
      <c r="P44" s="40"/>
      <c r="Q44" s="40"/>
      <c r="R44" s="40"/>
      <c r="S44" s="40"/>
      <c r="T44" s="40"/>
      <c r="U44" s="40"/>
      <c r="V44" s="40"/>
      <c r="W44" s="40"/>
      <c r="X44" s="40"/>
      <c r="Y44" s="40"/>
      <c r="Z44" s="40"/>
      <c r="AA44" s="40"/>
      <c r="AB44" s="40"/>
      <c r="AC44" s="40"/>
      <c r="AD44" s="40"/>
      <c r="AE44" s="40"/>
      <c r="AF44" s="40"/>
      <c r="AG44" s="40">
        <v>4</v>
      </c>
      <c r="AH44">
        <v>2023</v>
      </c>
      <c r="AI44" s="40">
        <f t="shared" si="4"/>
        <v>1</v>
      </c>
      <c r="AJ44">
        <f t="shared" si="5"/>
        <v>1</v>
      </c>
      <c r="AK44">
        <f t="shared" si="2"/>
        <v>1</v>
      </c>
      <c r="AL44">
        <f t="shared" si="3"/>
        <v>375</v>
      </c>
    </row>
    <row r="45" spans="1:43" x14ac:dyDescent="0.25">
      <c r="A45" s="40"/>
      <c r="B45" s="46" t="s">
        <v>1613</v>
      </c>
      <c r="C45" t="s">
        <v>138</v>
      </c>
      <c r="D45" s="46">
        <v>66</v>
      </c>
      <c r="E45" s="46" t="s">
        <v>94</v>
      </c>
      <c r="F45" s="46">
        <v>25</v>
      </c>
      <c r="G45" s="46" t="s">
        <v>1619</v>
      </c>
      <c r="H45" s="1">
        <v>11</v>
      </c>
      <c r="I45" s="46" t="s">
        <v>1486</v>
      </c>
      <c r="J45" s="46">
        <v>162</v>
      </c>
      <c r="K45" s="69">
        <v>6</v>
      </c>
      <c r="L45" t="s">
        <v>1566</v>
      </c>
      <c r="O45" s="40"/>
      <c r="P45" s="40"/>
      <c r="Q45" s="40"/>
      <c r="R45" s="40"/>
      <c r="S45" s="40"/>
      <c r="T45" s="40"/>
      <c r="U45" s="40"/>
      <c r="V45" s="40"/>
      <c r="W45" s="40"/>
      <c r="X45" s="40"/>
      <c r="Y45" s="40"/>
      <c r="Z45" s="40"/>
      <c r="AA45" s="40"/>
      <c r="AB45" s="40"/>
      <c r="AC45" s="40"/>
      <c r="AD45" s="40"/>
      <c r="AE45" s="40"/>
      <c r="AF45" s="40"/>
      <c r="AG45" s="40">
        <v>3</v>
      </c>
      <c r="AH45">
        <v>2023</v>
      </c>
      <c r="AI45" s="40">
        <f t="shared" si="4"/>
        <v>1</v>
      </c>
      <c r="AJ45">
        <f t="shared" si="5"/>
        <v>1</v>
      </c>
      <c r="AK45">
        <f t="shared" si="2"/>
        <v>1</v>
      </c>
      <c r="AL45">
        <f t="shared" si="3"/>
        <v>278</v>
      </c>
    </row>
    <row r="46" spans="1:43" x14ac:dyDescent="0.25">
      <c r="A46" s="40"/>
      <c r="B46" s="46" t="s">
        <v>1614</v>
      </c>
      <c r="C46" t="s">
        <v>1247</v>
      </c>
      <c r="D46" s="46">
        <v>185</v>
      </c>
      <c r="E46" s="46" t="s">
        <v>94</v>
      </c>
      <c r="H46" s="1">
        <v>41</v>
      </c>
      <c r="I46" s="46" t="s">
        <v>1400</v>
      </c>
      <c r="J46" s="46">
        <v>150</v>
      </c>
      <c r="K46" s="69">
        <v>4.5</v>
      </c>
      <c r="O46" s="40"/>
      <c r="P46" s="40"/>
      <c r="Q46" s="40"/>
      <c r="R46" s="40"/>
      <c r="S46" s="40"/>
      <c r="T46" s="40"/>
      <c r="U46" s="40"/>
      <c r="V46" s="40"/>
      <c r="W46" s="40"/>
      <c r="X46" s="40"/>
      <c r="Y46" s="40"/>
      <c r="Z46" s="40"/>
      <c r="AA46" s="40"/>
      <c r="AB46" s="40"/>
      <c r="AC46" s="40"/>
      <c r="AD46" s="40"/>
      <c r="AE46" s="40"/>
      <c r="AF46" s="40"/>
      <c r="AG46" s="40">
        <v>3</v>
      </c>
      <c r="AH46">
        <v>2023</v>
      </c>
      <c r="AI46" s="40">
        <f t="shared" si="4"/>
        <v>1</v>
      </c>
      <c r="AJ46">
        <f t="shared" si="5"/>
        <v>1</v>
      </c>
      <c r="AK46">
        <f t="shared" si="2"/>
        <v>1</v>
      </c>
      <c r="AL46">
        <f t="shared" si="3"/>
        <v>275</v>
      </c>
    </row>
    <row r="47" spans="1:43" x14ac:dyDescent="0.25">
      <c r="A47" s="40"/>
      <c r="B47" s="46" t="s">
        <v>1615</v>
      </c>
      <c r="C47" t="s">
        <v>141</v>
      </c>
      <c r="D47" s="46">
        <v>540</v>
      </c>
      <c r="E47" s="46" t="s">
        <v>94</v>
      </c>
      <c r="F47" s="46">
        <v>25</v>
      </c>
      <c r="G47" s="46" t="s">
        <v>1620</v>
      </c>
      <c r="H47" s="1">
        <v>120</v>
      </c>
      <c r="I47" s="46" t="s">
        <v>1400</v>
      </c>
      <c r="J47" s="46">
        <v>150</v>
      </c>
      <c r="K47" s="69">
        <v>4.5</v>
      </c>
      <c r="O47" s="40"/>
      <c r="P47" s="40"/>
      <c r="Q47" s="40"/>
      <c r="R47" s="40"/>
      <c r="S47" s="40"/>
      <c r="T47" s="40"/>
      <c r="U47" s="40"/>
      <c r="V47" s="40"/>
      <c r="W47" s="40"/>
      <c r="X47" s="40"/>
      <c r="Y47" s="40"/>
      <c r="Z47" s="40"/>
      <c r="AA47" s="40"/>
      <c r="AB47" s="40"/>
      <c r="AC47" s="40"/>
      <c r="AD47" s="40"/>
      <c r="AE47" s="40"/>
      <c r="AF47" s="40"/>
      <c r="AG47" s="40">
        <v>3</v>
      </c>
      <c r="AH47">
        <v>2024</v>
      </c>
      <c r="AI47" s="40">
        <f t="shared" si="4"/>
        <v>1</v>
      </c>
      <c r="AJ47">
        <f t="shared" si="5"/>
        <v>1</v>
      </c>
      <c r="AK47">
        <f t="shared" si="2"/>
        <v>1</v>
      </c>
      <c r="AL47">
        <f t="shared" si="3"/>
        <v>640</v>
      </c>
    </row>
    <row r="48" spans="1:43" x14ac:dyDescent="0.25">
      <c r="B48" s="46" t="s">
        <v>1615</v>
      </c>
      <c r="C48" t="s">
        <v>605</v>
      </c>
      <c r="D48" s="46">
        <v>50</v>
      </c>
      <c r="E48" s="46" t="s">
        <v>94</v>
      </c>
      <c r="F48" s="46">
        <v>20</v>
      </c>
      <c r="G48" s="46" t="s">
        <v>1621</v>
      </c>
      <c r="H48" s="1">
        <v>12</v>
      </c>
      <c r="I48" s="46" t="s">
        <v>1156</v>
      </c>
      <c r="J48" s="46">
        <v>117</v>
      </c>
      <c r="K48" s="69">
        <v>4.2</v>
      </c>
      <c r="M48" t="s">
        <v>1622</v>
      </c>
      <c r="AG48" s="40">
        <v>2</v>
      </c>
      <c r="AH48">
        <v>2024</v>
      </c>
      <c r="AI48" s="40">
        <f t="shared" si="4"/>
        <v>1</v>
      </c>
      <c r="AJ48">
        <f t="shared" si="5"/>
        <v>1</v>
      </c>
      <c r="AK48">
        <f t="shared" si="2"/>
        <v>1</v>
      </c>
      <c r="AL48">
        <f t="shared" si="3"/>
        <v>549</v>
      </c>
    </row>
    <row r="49" spans="1:38" x14ac:dyDescent="0.25">
      <c r="A49" s="40"/>
      <c r="B49" s="46" t="s">
        <v>1615</v>
      </c>
      <c r="C49" t="s">
        <v>318</v>
      </c>
      <c r="D49" s="46">
        <v>74</v>
      </c>
      <c r="E49" s="46" t="s">
        <v>94</v>
      </c>
      <c r="F49" s="46">
        <v>30</v>
      </c>
      <c r="H49" s="1">
        <v>12</v>
      </c>
      <c r="I49" s="46" t="s">
        <v>1486</v>
      </c>
      <c r="J49" s="46">
        <v>162</v>
      </c>
      <c r="K49" s="69">
        <v>6.2</v>
      </c>
      <c r="AG49" s="40">
        <v>2</v>
      </c>
      <c r="AH49">
        <v>2024</v>
      </c>
      <c r="AI49" s="40">
        <f t="shared" si="4"/>
        <v>1</v>
      </c>
      <c r="AJ49">
        <f t="shared" si="5"/>
        <v>1</v>
      </c>
      <c r="AK49">
        <f t="shared" si="2"/>
        <v>1</v>
      </c>
      <c r="AL49">
        <f t="shared" si="3"/>
        <v>549</v>
      </c>
    </row>
    <row r="50" spans="1:38" s="11" customFormat="1" x14ac:dyDescent="0.25">
      <c r="A50" s="11">
        <f>SUM(D42:D50)</f>
        <v>1240</v>
      </c>
      <c r="B50" s="48" t="s">
        <v>1615</v>
      </c>
      <c r="C50" s="11" t="s">
        <v>1616</v>
      </c>
      <c r="D50" s="48">
        <v>74</v>
      </c>
      <c r="E50" s="48" t="s">
        <v>94</v>
      </c>
      <c r="F50" s="48">
        <v>35</v>
      </c>
      <c r="G50" s="48" t="s">
        <v>1623</v>
      </c>
      <c r="H50" s="28">
        <v>12</v>
      </c>
      <c r="I50" s="48" t="s">
        <v>1486</v>
      </c>
      <c r="J50" s="48">
        <v>162</v>
      </c>
      <c r="K50" s="70">
        <v>6.2</v>
      </c>
      <c r="AF50" s="11" t="s">
        <v>1624</v>
      </c>
      <c r="AG50" s="11">
        <v>2</v>
      </c>
      <c r="AH50">
        <v>2023</v>
      </c>
      <c r="AI50" s="41">
        <f t="shared" si="4"/>
        <v>1</v>
      </c>
      <c r="AJ50" s="11">
        <f t="shared" si="5"/>
        <v>1</v>
      </c>
      <c r="AK50">
        <f t="shared" si="2"/>
        <v>1</v>
      </c>
      <c r="AL50">
        <f t="shared" si="3"/>
        <v>183</v>
      </c>
    </row>
    <row r="51" spans="1:38" x14ac:dyDescent="0.25">
      <c r="A51" s="40"/>
      <c r="B51" s="99" t="s">
        <v>1647</v>
      </c>
      <c r="C51" s="100" t="s">
        <v>1247</v>
      </c>
      <c r="D51" s="44">
        <v>300</v>
      </c>
      <c r="E51" s="44" t="s">
        <v>94</v>
      </c>
      <c r="F51" s="44">
        <v>10</v>
      </c>
      <c r="G51" s="44" t="s">
        <v>1648</v>
      </c>
      <c r="H51" s="1">
        <v>50</v>
      </c>
      <c r="I51" s="44" t="s">
        <v>1486</v>
      </c>
      <c r="J51" s="44">
        <v>162</v>
      </c>
      <c r="K51" s="101">
        <v>6</v>
      </c>
      <c r="L51" t="s">
        <v>1566</v>
      </c>
      <c r="AG51" s="40">
        <v>3</v>
      </c>
      <c r="AH51">
        <v>2023</v>
      </c>
      <c r="AI51" s="40">
        <f t="shared" si="4"/>
        <v>1</v>
      </c>
      <c r="AJ51">
        <f t="shared" si="5"/>
        <v>1</v>
      </c>
      <c r="AK51">
        <f t="shared" si="2"/>
        <v>1</v>
      </c>
      <c r="AL51">
        <f t="shared" si="3"/>
        <v>234</v>
      </c>
    </row>
    <row r="52" spans="1:38" x14ac:dyDescent="0.25">
      <c r="A52" s="40"/>
      <c r="B52" s="99" t="s">
        <v>1654</v>
      </c>
      <c r="C52" t="s">
        <v>1247</v>
      </c>
      <c r="D52" s="44">
        <v>178</v>
      </c>
      <c r="E52" s="44" t="s">
        <v>94</v>
      </c>
      <c r="H52" s="1">
        <v>23</v>
      </c>
      <c r="I52" s="44" t="s">
        <v>1400</v>
      </c>
      <c r="J52" s="44">
        <v>150</v>
      </c>
      <c r="K52" s="101">
        <v>4.5</v>
      </c>
      <c r="O52">
        <v>14</v>
      </c>
      <c r="P52" t="s">
        <v>619</v>
      </c>
      <c r="Q52">
        <v>150</v>
      </c>
      <c r="R52">
        <v>4.3</v>
      </c>
      <c r="S52" t="s">
        <v>1405</v>
      </c>
      <c r="U52">
        <v>4</v>
      </c>
      <c r="V52" t="s">
        <v>108</v>
      </c>
      <c r="W52">
        <v>136</v>
      </c>
      <c r="X52">
        <v>3.6</v>
      </c>
      <c r="AG52" s="40">
        <v>3</v>
      </c>
      <c r="AH52">
        <v>2023</v>
      </c>
      <c r="AI52" s="40">
        <f t="shared" si="4"/>
        <v>1</v>
      </c>
      <c r="AJ52">
        <f t="shared" si="5"/>
        <v>1</v>
      </c>
      <c r="AK52">
        <f t="shared" si="2"/>
        <v>1</v>
      </c>
      <c r="AL52">
        <f t="shared" si="3"/>
        <v>225</v>
      </c>
    </row>
    <row r="53" spans="1:38" x14ac:dyDescent="0.25">
      <c r="A53" s="40"/>
      <c r="B53" s="44" t="s">
        <v>1654</v>
      </c>
      <c r="C53" t="s">
        <v>1140</v>
      </c>
      <c r="D53" s="44">
        <v>21</v>
      </c>
      <c r="E53" s="44" t="s">
        <v>93</v>
      </c>
      <c r="G53" s="44" t="s">
        <v>1655</v>
      </c>
      <c r="H53" s="1">
        <v>5</v>
      </c>
      <c r="I53" s="44" t="s">
        <v>1156</v>
      </c>
      <c r="J53" s="44">
        <v>117</v>
      </c>
      <c r="K53" s="101">
        <v>4.2</v>
      </c>
      <c r="M53">
        <v>91.5</v>
      </c>
      <c r="AG53" s="40">
        <v>3</v>
      </c>
      <c r="AH53">
        <v>2023</v>
      </c>
      <c r="AI53" s="40">
        <f t="shared" si="4"/>
        <v>1</v>
      </c>
      <c r="AJ53">
        <f t="shared" si="5"/>
        <v>1</v>
      </c>
      <c r="AK53">
        <f t="shared" si="2"/>
        <v>1</v>
      </c>
      <c r="AL53">
        <f t="shared" si="3"/>
        <v>225</v>
      </c>
    </row>
    <row r="54" spans="1:38" x14ac:dyDescent="0.25">
      <c r="A54" s="40"/>
      <c r="B54" s="44" t="s">
        <v>1656</v>
      </c>
      <c r="C54" t="s">
        <v>144</v>
      </c>
      <c r="D54" s="44">
        <v>756</v>
      </c>
      <c r="E54" s="44" t="s">
        <v>94</v>
      </c>
      <c r="F54" s="44">
        <v>30</v>
      </c>
      <c r="G54" s="44" t="s">
        <v>1657</v>
      </c>
      <c r="H54" s="1">
        <v>122</v>
      </c>
      <c r="I54" s="44" t="s">
        <v>1486</v>
      </c>
      <c r="J54" s="44">
        <v>162</v>
      </c>
      <c r="K54" s="101">
        <v>6.2</v>
      </c>
      <c r="AG54" s="40">
        <v>4</v>
      </c>
      <c r="AH54">
        <v>2023</v>
      </c>
      <c r="AI54" s="40">
        <f t="shared" si="4"/>
        <v>1</v>
      </c>
      <c r="AJ54">
        <f t="shared" si="5"/>
        <v>1</v>
      </c>
      <c r="AK54">
        <f t="shared" si="2"/>
        <v>1</v>
      </c>
      <c r="AL54">
        <f t="shared" si="3"/>
        <v>306</v>
      </c>
    </row>
    <row r="55" spans="1:38" x14ac:dyDescent="0.25">
      <c r="B55" s="44" t="s">
        <v>1658</v>
      </c>
      <c r="C55" t="s">
        <v>318</v>
      </c>
      <c r="D55" s="44">
        <v>236</v>
      </c>
      <c r="H55" s="1">
        <v>38</v>
      </c>
      <c r="I55" s="44" t="s">
        <v>1486</v>
      </c>
      <c r="J55" s="44">
        <v>162</v>
      </c>
      <c r="K55" s="101">
        <v>6.2</v>
      </c>
      <c r="AG55" s="40">
        <v>2</v>
      </c>
      <c r="AH55">
        <v>2024</v>
      </c>
      <c r="AI55" s="40">
        <f t="shared" si="4"/>
        <v>1</v>
      </c>
      <c r="AJ55">
        <f t="shared" si="5"/>
        <v>1</v>
      </c>
      <c r="AK55">
        <f t="shared" si="2"/>
        <v>1</v>
      </c>
      <c r="AL55">
        <f t="shared" si="3"/>
        <v>480</v>
      </c>
    </row>
    <row r="56" spans="1:38" x14ac:dyDescent="0.25">
      <c r="A56" s="40"/>
      <c r="B56" s="44" t="s">
        <v>1658</v>
      </c>
      <c r="C56" t="s">
        <v>1247</v>
      </c>
      <c r="D56" s="44">
        <v>203</v>
      </c>
      <c r="E56" s="44" t="s">
        <v>94</v>
      </c>
      <c r="H56" s="1">
        <v>45</v>
      </c>
      <c r="I56" s="44" t="s">
        <v>1400</v>
      </c>
      <c r="J56" s="44">
        <v>150</v>
      </c>
      <c r="K56" s="101">
        <v>4.5</v>
      </c>
      <c r="AG56" s="40">
        <v>3</v>
      </c>
      <c r="AH56">
        <v>2023</v>
      </c>
      <c r="AI56" s="40">
        <f t="shared" si="4"/>
        <v>1</v>
      </c>
      <c r="AJ56">
        <f t="shared" si="5"/>
        <v>1</v>
      </c>
      <c r="AK56">
        <f t="shared" si="2"/>
        <v>1</v>
      </c>
      <c r="AL56">
        <f t="shared" si="3"/>
        <v>205</v>
      </c>
    </row>
    <row r="57" spans="1:38" x14ac:dyDescent="0.25">
      <c r="B57" s="44" t="s">
        <v>1659</v>
      </c>
      <c r="C57" t="s">
        <v>140</v>
      </c>
      <c r="D57" s="44">
        <v>59</v>
      </c>
      <c r="E57" s="44" t="s">
        <v>94</v>
      </c>
      <c r="F57">
        <v>35</v>
      </c>
      <c r="H57" s="1">
        <v>13</v>
      </c>
      <c r="I57" s="44" t="s">
        <v>1400</v>
      </c>
      <c r="J57" s="44">
        <v>150</v>
      </c>
      <c r="K57" s="101">
        <v>4.5</v>
      </c>
      <c r="M57">
        <v>105</v>
      </c>
      <c r="AG57" s="40">
        <v>2</v>
      </c>
      <c r="AH57">
        <v>2024</v>
      </c>
      <c r="AI57" s="40">
        <f t="shared" si="4"/>
        <v>1</v>
      </c>
      <c r="AJ57">
        <f t="shared" si="5"/>
        <v>1</v>
      </c>
      <c r="AK57">
        <f t="shared" si="2"/>
        <v>1</v>
      </c>
      <c r="AL57">
        <f t="shared" si="3"/>
        <v>474</v>
      </c>
    </row>
    <row r="58" spans="1:38" x14ac:dyDescent="0.25">
      <c r="A58" s="40"/>
      <c r="B58" s="44" t="s">
        <v>1660</v>
      </c>
      <c r="C58" t="s">
        <v>166</v>
      </c>
      <c r="D58" s="44">
        <v>62</v>
      </c>
      <c r="H58" s="1">
        <v>13</v>
      </c>
      <c r="I58" s="44" t="s">
        <v>1400</v>
      </c>
      <c r="J58" s="44">
        <v>150</v>
      </c>
      <c r="K58" s="101">
        <v>4.5</v>
      </c>
      <c r="O58">
        <v>1</v>
      </c>
      <c r="P58" t="s">
        <v>108</v>
      </c>
      <c r="Q58">
        <v>136</v>
      </c>
      <c r="R58">
        <v>3.45</v>
      </c>
      <c r="AG58" s="40">
        <v>3</v>
      </c>
      <c r="AH58">
        <v>2023</v>
      </c>
      <c r="AI58" s="40">
        <f t="shared" si="4"/>
        <v>1</v>
      </c>
      <c r="AJ58">
        <f t="shared" si="5"/>
        <v>1</v>
      </c>
      <c r="AK58">
        <f t="shared" si="2"/>
        <v>1</v>
      </c>
      <c r="AL58">
        <f t="shared" si="3"/>
        <v>198</v>
      </c>
    </row>
    <row r="59" spans="1:38" x14ac:dyDescent="0.25">
      <c r="A59" s="40"/>
      <c r="B59" s="44" t="s">
        <v>1661</v>
      </c>
      <c r="C59" t="s">
        <v>162</v>
      </c>
      <c r="D59" s="44">
        <v>56</v>
      </c>
      <c r="E59" s="44" t="s">
        <v>94</v>
      </c>
      <c r="F59">
        <v>35</v>
      </c>
      <c r="G59" t="s">
        <v>1412</v>
      </c>
      <c r="H59" s="1">
        <v>9</v>
      </c>
      <c r="I59" s="44" t="s">
        <v>1486</v>
      </c>
      <c r="J59" s="44">
        <v>162</v>
      </c>
      <c r="K59" s="101">
        <v>6.2</v>
      </c>
      <c r="AG59" s="40">
        <v>1</v>
      </c>
      <c r="AH59">
        <v>2024</v>
      </c>
      <c r="AI59" s="40">
        <f t="shared" si="4"/>
        <v>1</v>
      </c>
      <c r="AJ59">
        <f t="shared" si="5"/>
        <v>1</v>
      </c>
      <c r="AK59">
        <f t="shared" si="2"/>
        <v>1</v>
      </c>
      <c r="AL59">
        <f t="shared" si="3"/>
        <v>377</v>
      </c>
    </row>
    <row r="60" spans="1:38" x14ac:dyDescent="0.25">
      <c r="A60" s="40"/>
      <c r="B60" s="44" t="s">
        <v>1661</v>
      </c>
      <c r="C60" t="s">
        <v>146</v>
      </c>
      <c r="D60" s="44">
        <v>37</v>
      </c>
      <c r="E60" s="44" t="s">
        <v>94</v>
      </c>
      <c r="F60">
        <v>10</v>
      </c>
      <c r="H60" s="1">
        <v>6</v>
      </c>
      <c r="I60" s="44" t="s">
        <v>1486</v>
      </c>
      <c r="J60" s="44">
        <v>162</v>
      </c>
      <c r="K60" s="101">
        <v>6.2</v>
      </c>
      <c r="AG60" s="40">
        <v>3</v>
      </c>
      <c r="AH60">
        <v>2023</v>
      </c>
      <c r="AI60" s="40">
        <f t="shared" si="4"/>
        <v>1</v>
      </c>
      <c r="AJ60">
        <f t="shared" si="5"/>
        <v>1</v>
      </c>
      <c r="AK60">
        <f t="shared" si="2"/>
        <v>1</v>
      </c>
      <c r="AL60">
        <f t="shared" si="3"/>
        <v>193</v>
      </c>
    </row>
    <row r="61" spans="1:38" x14ac:dyDescent="0.25">
      <c r="A61" s="40"/>
      <c r="B61" s="44" t="s">
        <v>1662</v>
      </c>
      <c r="C61" t="s">
        <v>162</v>
      </c>
      <c r="D61" s="44">
        <v>126</v>
      </c>
      <c r="E61" s="44" t="s">
        <v>94</v>
      </c>
      <c r="F61">
        <v>20</v>
      </c>
      <c r="G61" s="44" t="s">
        <v>1663</v>
      </c>
      <c r="H61" s="1">
        <v>21</v>
      </c>
      <c r="I61" s="44" t="s">
        <v>1664</v>
      </c>
      <c r="J61" s="44">
        <v>150</v>
      </c>
      <c r="K61" s="101">
        <v>6</v>
      </c>
      <c r="M61">
        <v>110</v>
      </c>
      <c r="AG61" s="40">
        <v>1</v>
      </c>
      <c r="AH61">
        <v>2024</v>
      </c>
      <c r="AI61" s="40">
        <f t="shared" si="4"/>
        <v>1</v>
      </c>
      <c r="AJ61">
        <f t="shared" si="5"/>
        <v>1</v>
      </c>
      <c r="AK61">
        <f t="shared" si="2"/>
        <v>1</v>
      </c>
      <c r="AL61">
        <f t="shared" si="3"/>
        <v>376</v>
      </c>
    </row>
    <row r="62" spans="1:38" x14ac:dyDescent="0.25">
      <c r="B62" s="44" t="s">
        <v>1662</v>
      </c>
      <c r="C62" t="s">
        <v>165</v>
      </c>
      <c r="D62" s="44">
        <v>108</v>
      </c>
      <c r="E62" s="44" t="s">
        <v>94</v>
      </c>
      <c r="F62">
        <v>20</v>
      </c>
      <c r="G62" s="44" t="s">
        <v>1665</v>
      </c>
      <c r="H62" s="1">
        <v>24</v>
      </c>
      <c r="I62" s="44" t="s">
        <v>1559</v>
      </c>
      <c r="J62" s="44">
        <v>136</v>
      </c>
      <c r="K62" s="101">
        <v>4.5</v>
      </c>
      <c r="AG62" s="40">
        <v>2</v>
      </c>
      <c r="AH62">
        <v>2024</v>
      </c>
      <c r="AI62" s="40">
        <f t="shared" si="4"/>
        <v>1</v>
      </c>
      <c r="AJ62">
        <f t="shared" si="5"/>
        <v>1</v>
      </c>
      <c r="AK62">
        <f t="shared" si="2"/>
        <v>1</v>
      </c>
      <c r="AL62">
        <f t="shared" si="3"/>
        <v>467</v>
      </c>
    </row>
    <row r="63" spans="1:38" x14ac:dyDescent="0.25">
      <c r="A63" s="40"/>
      <c r="B63" s="44" t="s">
        <v>1666</v>
      </c>
      <c r="C63" t="s">
        <v>146</v>
      </c>
      <c r="D63" s="44">
        <v>32</v>
      </c>
      <c r="E63" s="44" t="s">
        <v>94</v>
      </c>
      <c r="F63">
        <v>10</v>
      </c>
      <c r="G63" s="44" t="s">
        <v>1667</v>
      </c>
      <c r="H63" s="1">
        <v>4</v>
      </c>
      <c r="I63" s="44" t="s">
        <v>1559</v>
      </c>
      <c r="J63" s="44">
        <v>136</v>
      </c>
      <c r="K63" s="101">
        <v>4.5</v>
      </c>
      <c r="O63">
        <v>3</v>
      </c>
      <c r="P63" t="s">
        <v>1400</v>
      </c>
      <c r="AG63" s="40">
        <v>3</v>
      </c>
      <c r="AH63">
        <v>2023</v>
      </c>
      <c r="AI63" s="40">
        <f t="shared" si="4"/>
        <v>1</v>
      </c>
      <c r="AJ63">
        <f t="shared" si="5"/>
        <v>1</v>
      </c>
      <c r="AK63">
        <f t="shared" si="2"/>
        <v>1</v>
      </c>
      <c r="AL63">
        <f t="shared" si="3"/>
        <v>190</v>
      </c>
    </row>
    <row r="64" spans="1:38" x14ac:dyDescent="0.25">
      <c r="A64" s="40"/>
      <c r="B64" s="44" t="s">
        <v>1668</v>
      </c>
      <c r="C64" s="44" t="s">
        <v>140</v>
      </c>
      <c r="D64" s="44">
        <v>93</v>
      </c>
      <c r="E64" s="44" t="s">
        <v>94</v>
      </c>
      <c r="F64" s="44">
        <v>35</v>
      </c>
      <c r="G64" s="44" t="s">
        <v>1669</v>
      </c>
      <c r="H64" s="44">
        <v>15</v>
      </c>
      <c r="I64" s="44" t="s">
        <v>1486</v>
      </c>
      <c r="J64" s="44">
        <v>162</v>
      </c>
      <c r="K64" s="44">
        <v>6.2</v>
      </c>
      <c r="M64">
        <v>119</v>
      </c>
      <c r="AG64" s="40">
        <v>2</v>
      </c>
      <c r="AH64">
        <v>2024</v>
      </c>
      <c r="AI64" s="40">
        <f t="shared" si="4"/>
        <v>1</v>
      </c>
      <c r="AJ64">
        <f t="shared" si="5"/>
        <v>1</v>
      </c>
      <c r="AK64">
        <f t="shared" si="2"/>
        <v>1</v>
      </c>
      <c r="AL64">
        <f t="shared" si="3"/>
        <v>461</v>
      </c>
    </row>
    <row r="65" spans="1:38" x14ac:dyDescent="0.25">
      <c r="A65" s="40"/>
      <c r="B65" s="44" t="s">
        <v>1668</v>
      </c>
      <c r="C65" s="44" t="s">
        <v>141</v>
      </c>
      <c r="D65" s="44">
        <v>288</v>
      </c>
      <c r="E65" s="44" t="s">
        <v>94</v>
      </c>
      <c r="F65" s="44">
        <v>25</v>
      </c>
      <c r="G65" s="44" t="s">
        <v>1670</v>
      </c>
      <c r="H65" s="44">
        <v>64</v>
      </c>
      <c r="I65" s="44" t="s">
        <v>1400</v>
      </c>
      <c r="J65" s="44">
        <v>150</v>
      </c>
      <c r="K65" s="44">
        <v>4.5</v>
      </c>
      <c r="AG65" s="40">
        <v>3</v>
      </c>
      <c r="AH65">
        <v>2024</v>
      </c>
      <c r="AI65" s="40">
        <f t="shared" si="4"/>
        <v>1</v>
      </c>
      <c r="AJ65">
        <f t="shared" si="5"/>
        <v>1</v>
      </c>
      <c r="AK65">
        <f t="shared" si="2"/>
        <v>1</v>
      </c>
      <c r="AL65">
        <f t="shared" si="3"/>
        <v>552</v>
      </c>
    </row>
    <row r="66" spans="1:38" x14ac:dyDescent="0.25">
      <c r="A66" s="40"/>
      <c r="B66" s="44" t="s">
        <v>1671</v>
      </c>
      <c r="C66" s="44" t="s">
        <v>1247</v>
      </c>
      <c r="D66" s="44">
        <v>73</v>
      </c>
      <c r="E66" s="44" t="s">
        <v>94</v>
      </c>
      <c r="F66" s="44">
        <v>10</v>
      </c>
      <c r="H66" s="44">
        <v>33</v>
      </c>
      <c r="I66" s="44" t="s">
        <v>119</v>
      </c>
      <c r="J66" s="44">
        <v>110</v>
      </c>
      <c r="K66" s="44">
        <v>2.2000000000000002</v>
      </c>
      <c r="AG66" s="40">
        <v>3</v>
      </c>
      <c r="AH66">
        <v>2023</v>
      </c>
      <c r="AI66" s="40">
        <f t="shared" ref="AI66:AI90" si="6">COUNTIF($I$158:$I$188,I66)</f>
        <v>1</v>
      </c>
      <c r="AJ66">
        <f t="shared" ref="AJ66:AJ80" si="7">COUNTIF($C$157:$C$188,C66)</f>
        <v>1</v>
      </c>
      <c r="AK66">
        <f t="shared" si="2"/>
        <v>1</v>
      </c>
      <c r="AL66">
        <f t="shared" si="3"/>
        <v>185</v>
      </c>
    </row>
    <row r="67" spans="1:38" x14ac:dyDescent="0.25">
      <c r="A67" s="40"/>
      <c r="B67" s="44" t="s">
        <v>1671</v>
      </c>
      <c r="C67" s="44" t="s">
        <v>1247</v>
      </c>
      <c r="D67" s="44">
        <v>216</v>
      </c>
      <c r="E67" s="44" t="s">
        <v>94</v>
      </c>
      <c r="F67" s="44">
        <v>10</v>
      </c>
      <c r="G67" s="44" t="s">
        <v>1672</v>
      </c>
      <c r="H67" s="44">
        <v>48</v>
      </c>
      <c r="I67" s="44" t="s">
        <v>1400</v>
      </c>
      <c r="J67" s="44">
        <v>150</v>
      </c>
      <c r="K67" s="44">
        <v>4.5</v>
      </c>
      <c r="AG67" s="40">
        <v>3</v>
      </c>
      <c r="AH67">
        <v>2023</v>
      </c>
      <c r="AI67" s="40">
        <f t="shared" si="6"/>
        <v>1</v>
      </c>
      <c r="AJ67">
        <f t="shared" si="7"/>
        <v>1</v>
      </c>
      <c r="AK67">
        <f t="shared" ref="AK67:AK72" si="8">COUNTIF($C$213:$C$246,C67)</f>
        <v>1</v>
      </c>
      <c r="AL67">
        <f t="shared" ref="AL67:AL72" si="9">_xlfn.DAYS(DATE(AH67,AG67*3-2,1),DATE(RIGHT(B67,4),MID(B67,4,2),LEFT(B67,2)))</f>
        <v>185</v>
      </c>
    </row>
    <row r="68" spans="1:38" x14ac:dyDescent="0.25">
      <c r="A68" s="40"/>
      <c r="B68" s="44" t="s">
        <v>1673</v>
      </c>
      <c r="C68" s="44" t="s">
        <v>144</v>
      </c>
      <c r="D68" s="44">
        <v>252</v>
      </c>
      <c r="E68" s="44" t="s">
        <v>94</v>
      </c>
      <c r="F68" s="44">
        <v>30</v>
      </c>
      <c r="H68" s="44">
        <v>42</v>
      </c>
      <c r="I68" s="44" t="s">
        <v>1486</v>
      </c>
      <c r="J68" s="44">
        <v>162</v>
      </c>
      <c r="K68" s="44">
        <v>6</v>
      </c>
      <c r="L68" t="s">
        <v>1566</v>
      </c>
      <c r="Z68" t="s">
        <v>1674</v>
      </c>
      <c r="AG68" s="40">
        <v>1</v>
      </c>
      <c r="AH68">
        <v>2024</v>
      </c>
      <c r="AI68" s="40">
        <f t="shared" si="6"/>
        <v>1</v>
      </c>
      <c r="AJ68">
        <f t="shared" si="7"/>
        <v>1</v>
      </c>
      <c r="AK68">
        <f t="shared" si="8"/>
        <v>1</v>
      </c>
      <c r="AL68">
        <f t="shared" si="9"/>
        <v>367</v>
      </c>
    </row>
    <row r="69" spans="1:38" x14ac:dyDescent="0.25">
      <c r="B69" s="44" t="s">
        <v>1673</v>
      </c>
      <c r="C69" s="44" t="s">
        <v>146</v>
      </c>
      <c r="D69" s="44">
        <v>84</v>
      </c>
      <c r="E69" s="44" t="s">
        <v>94</v>
      </c>
      <c r="F69" s="44">
        <v>25</v>
      </c>
      <c r="G69" s="44" t="s">
        <v>1675</v>
      </c>
      <c r="H69" s="44">
        <v>20</v>
      </c>
      <c r="I69" s="44" t="s">
        <v>619</v>
      </c>
      <c r="J69" s="44">
        <v>150</v>
      </c>
      <c r="K69" s="44">
        <v>4.2</v>
      </c>
      <c r="AG69" s="40">
        <v>3</v>
      </c>
      <c r="AH69">
        <v>2023</v>
      </c>
      <c r="AI69" s="40">
        <f t="shared" si="6"/>
        <v>1</v>
      </c>
      <c r="AJ69">
        <f t="shared" si="7"/>
        <v>1</v>
      </c>
      <c r="AK69">
        <f t="shared" si="8"/>
        <v>1</v>
      </c>
      <c r="AL69">
        <f t="shared" si="9"/>
        <v>183</v>
      </c>
    </row>
    <row r="70" spans="1:38" x14ac:dyDescent="0.25">
      <c r="A70" s="40"/>
      <c r="B70" s="44" t="s">
        <v>1676</v>
      </c>
      <c r="C70" s="44" t="s">
        <v>146</v>
      </c>
      <c r="D70" s="44">
        <v>76</v>
      </c>
      <c r="E70" s="44" t="s">
        <v>94</v>
      </c>
      <c r="F70" s="44"/>
      <c r="G70" s="44" t="s">
        <v>1359</v>
      </c>
      <c r="H70" s="44">
        <v>13</v>
      </c>
      <c r="I70" s="44" t="s">
        <v>619</v>
      </c>
      <c r="J70" s="44">
        <v>150</v>
      </c>
      <c r="K70" s="44">
        <v>4.2</v>
      </c>
      <c r="O70">
        <v>5</v>
      </c>
      <c r="P70" t="s">
        <v>121</v>
      </c>
      <c r="AG70" s="40">
        <v>1</v>
      </c>
      <c r="AH70">
        <v>2024</v>
      </c>
      <c r="AI70" s="40">
        <f t="shared" si="6"/>
        <v>1</v>
      </c>
      <c r="AJ70">
        <f t="shared" si="7"/>
        <v>1</v>
      </c>
      <c r="AK70">
        <f t="shared" si="8"/>
        <v>1</v>
      </c>
      <c r="AL70">
        <f t="shared" si="9"/>
        <v>2</v>
      </c>
    </row>
    <row r="71" spans="1:38" x14ac:dyDescent="0.25">
      <c r="A71" s="40"/>
      <c r="B71" s="44" t="s">
        <v>1673</v>
      </c>
      <c r="C71" s="44" t="s">
        <v>138</v>
      </c>
      <c r="D71" s="44">
        <v>50</v>
      </c>
      <c r="E71" s="44" t="s">
        <v>94</v>
      </c>
      <c r="F71" s="44">
        <v>20</v>
      </c>
      <c r="H71" s="44">
        <v>9</v>
      </c>
      <c r="I71" s="44" t="s">
        <v>1664</v>
      </c>
      <c r="J71" s="44">
        <v>150</v>
      </c>
      <c r="K71" s="44">
        <v>5.6</v>
      </c>
      <c r="L71" t="s">
        <v>1677</v>
      </c>
      <c r="M71" s="44">
        <v>166</v>
      </c>
      <c r="AG71" s="40">
        <v>3</v>
      </c>
      <c r="AH71">
        <v>2024</v>
      </c>
      <c r="AI71" s="40">
        <f t="shared" si="6"/>
        <v>1</v>
      </c>
      <c r="AJ71">
        <f t="shared" si="7"/>
        <v>1</v>
      </c>
      <c r="AK71">
        <f t="shared" si="8"/>
        <v>1</v>
      </c>
      <c r="AL71">
        <f t="shared" si="9"/>
        <v>549</v>
      </c>
    </row>
    <row r="72" spans="1:38" s="11" customFormat="1" x14ac:dyDescent="0.25">
      <c r="A72" s="11">
        <f>SUM(D51:D72)</f>
        <v>3366</v>
      </c>
      <c r="B72" s="71" t="s">
        <v>1673</v>
      </c>
      <c r="C72" s="71" t="s">
        <v>526</v>
      </c>
      <c r="D72" s="71">
        <v>60</v>
      </c>
      <c r="E72" s="71" t="s">
        <v>94</v>
      </c>
      <c r="F72" s="71">
        <v>20</v>
      </c>
      <c r="G72" s="71" t="s">
        <v>541</v>
      </c>
      <c r="H72" s="71">
        <v>10</v>
      </c>
      <c r="I72" s="71" t="s">
        <v>1486</v>
      </c>
      <c r="J72" s="71">
        <v>162</v>
      </c>
      <c r="K72" s="71">
        <v>6</v>
      </c>
      <c r="L72" s="11" t="s">
        <v>1566</v>
      </c>
      <c r="M72" s="71">
        <v>125</v>
      </c>
      <c r="AG72" s="41">
        <v>3</v>
      </c>
      <c r="AH72" s="11">
        <v>2023</v>
      </c>
      <c r="AI72" s="41">
        <f t="shared" si="6"/>
        <v>1</v>
      </c>
      <c r="AJ72" s="11">
        <f t="shared" si="7"/>
        <v>1</v>
      </c>
      <c r="AK72">
        <f t="shared" si="8"/>
        <v>1</v>
      </c>
      <c r="AL72">
        <f t="shared" si="9"/>
        <v>183</v>
      </c>
    </row>
    <row r="73" spans="1:38" x14ac:dyDescent="0.25">
      <c r="A73" s="40"/>
      <c r="B73" s="44"/>
      <c r="C73" s="44"/>
      <c r="D73" s="44"/>
      <c r="E73" s="44"/>
      <c r="F73" s="44"/>
      <c r="H73" s="44"/>
      <c r="I73" s="44"/>
      <c r="J73" s="44"/>
      <c r="K73" s="44"/>
      <c r="AI73" s="40">
        <f t="shared" si="6"/>
        <v>0</v>
      </c>
      <c r="AJ73">
        <f t="shared" si="7"/>
        <v>0</v>
      </c>
    </row>
    <row r="74" spans="1:38" hidden="1" x14ac:dyDescent="0.25">
      <c r="B74" s="44"/>
      <c r="C74" s="44"/>
      <c r="D74" s="44"/>
      <c r="E74" s="44"/>
      <c r="F74" s="44"/>
      <c r="H74" s="44"/>
      <c r="I74" s="44"/>
      <c r="J74" s="44"/>
      <c r="K74" s="44"/>
      <c r="AI74" s="40">
        <f t="shared" si="6"/>
        <v>0</v>
      </c>
      <c r="AJ74">
        <f t="shared" si="7"/>
        <v>0</v>
      </c>
    </row>
    <row r="75" spans="1:38" hidden="1" x14ac:dyDescent="0.25">
      <c r="A75" s="40"/>
      <c r="B75" s="44"/>
      <c r="C75" s="44"/>
      <c r="D75" s="44"/>
      <c r="E75" s="44"/>
      <c r="F75" s="44"/>
      <c r="H75" s="44"/>
      <c r="I75" s="44"/>
      <c r="J75" s="44"/>
      <c r="K75" s="44"/>
      <c r="AI75" s="40">
        <f t="shared" si="6"/>
        <v>0</v>
      </c>
      <c r="AJ75">
        <f t="shared" si="7"/>
        <v>0</v>
      </c>
    </row>
    <row r="76" spans="1:38" hidden="1" x14ac:dyDescent="0.25">
      <c r="A76" s="40"/>
      <c r="B76" s="44"/>
      <c r="C76" s="44"/>
      <c r="D76" s="44"/>
      <c r="E76" s="44"/>
      <c r="F76" s="44"/>
      <c r="H76" s="44"/>
      <c r="I76" s="44"/>
      <c r="J76" s="44"/>
      <c r="K76" s="44"/>
      <c r="AI76" s="40">
        <f t="shared" si="6"/>
        <v>0</v>
      </c>
      <c r="AJ76">
        <f t="shared" si="7"/>
        <v>0</v>
      </c>
    </row>
    <row r="77" spans="1:38" hidden="1" x14ac:dyDescent="0.25">
      <c r="B77" s="44"/>
      <c r="C77" s="44"/>
      <c r="D77" s="44"/>
      <c r="E77" s="44"/>
      <c r="F77" s="44"/>
      <c r="H77" s="44"/>
      <c r="I77" s="44"/>
      <c r="J77" s="44"/>
      <c r="K77" s="44"/>
      <c r="AI77" s="40">
        <f t="shared" si="6"/>
        <v>0</v>
      </c>
      <c r="AJ77">
        <f t="shared" si="7"/>
        <v>0</v>
      </c>
    </row>
    <row r="78" spans="1:38" hidden="1" x14ac:dyDescent="0.25">
      <c r="A78" s="40"/>
      <c r="B78" s="44"/>
      <c r="C78" s="44"/>
      <c r="D78" s="44"/>
      <c r="E78" s="44"/>
      <c r="F78" s="44"/>
      <c r="H78" s="44"/>
      <c r="I78" s="44"/>
      <c r="J78" s="44"/>
      <c r="K78" s="44"/>
      <c r="AI78" s="40">
        <f t="shared" si="6"/>
        <v>0</v>
      </c>
      <c r="AJ78">
        <f t="shared" si="7"/>
        <v>0</v>
      </c>
    </row>
    <row r="79" spans="1:38" hidden="1" x14ac:dyDescent="0.25">
      <c r="A79" s="40"/>
      <c r="B79" s="44"/>
      <c r="C79" s="44"/>
      <c r="D79" s="44"/>
      <c r="E79" s="44"/>
      <c r="F79" s="44"/>
      <c r="H79" s="44"/>
      <c r="I79" s="44"/>
      <c r="J79" s="44"/>
      <c r="K79" s="44"/>
      <c r="AI79" s="40">
        <f t="shared" si="6"/>
        <v>0</v>
      </c>
      <c r="AJ79">
        <f t="shared" si="7"/>
        <v>0</v>
      </c>
    </row>
    <row r="80" spans="1:38" hidden="1" x14ac:dyDescent="0.25">
      <c r="A80" s="40"/>
      <c r="B80" s="44"/>
      <c r="C80" s="44"/>
      <c r="D80" s="44"/>
      <c r="E80" s="44"/>
      <c r="F80" s="44"/>
      <c r="H80" s="44"/>
      <c r="I80" s="44"/>
      <c r="J80" s="44"/>
      <c r="K80" s="44"/>
      <c r="AI80" s="40">
        <f t="shared" si="6"/>
        <v>0</v>
      </c>
      <c r="AJ80">
        <f t="shared" si="7"/>
        <v>0</v>
      </c>
    </row>
    <row r="81" spans="1:39" hidden="1" x14ac:dyDescent="0.25">
      <c r="A81" s="40"/>
      <c r="B81" s="44"/>
      <c r="C81" s="44"/>
      <c r="D81" s="44"/>
      <c r="E81" s="44"/>
      <c r="F81" s="44"/>
      <c r="H81" s="44"/>
      <c r="I81" s="44"/>
      <c r="J81" s="44"/>
      <c r="K81" s="44"/>
      <c r="AI81" s="40">
        <f t="shared" si="6"/>
        <v>0</v>
      </c>
      <c r="AJ81">
        <f t="shared" ref="AJ81:AJ90" si="10">COUNTIF($C$157:$C$188,C81)</f>
        <v>0</v>
      </c>
    </row>
    <row r="82" spans="1:39" hidden="1" x14ac:dyDescent="0.25">
      <c r="B82" s="44"/>
      <c r="C82" s="44"/>
      <c r="D82" s="44"/>
      <c r="E82" s="44"/>
      <c r="F82" s="44"/>
      <c r="H82" s="44"/>
      <c r="I82" s="44"/>
      <c r="J82" s="44"/>
      <c r="K82" s="44"/>
      <c r="AI82" s="40">
        <f t="shared" si="6"/>
        <v>0</v>
      </c>
      <c r="AJ82">
        <f t="shared" si="10"/>
        <v>0</v>
      </c>
    </row>
    <row r="83" spans="1:39" hidden="1" x14ac:dyDescent="0.25">
      <c r="A83" s="40"/>
      <c r="B83" s="44"/>
      <c r="C83" s="44"/>
      <c r="D83" s="44"/>
      <c r="E83" s="44"/>
      <c r="F83" s="44"/>
      <c r="H83" s="44"/>
      <c r="I83" s="44"/>
      <c r="J83" s="44"/>
      <c r="K83" s="44"/>
      <c r="AI83" s="40">
        <f t="shared" si="6"/>
        <v>0</v>
      </c>
      <c r="AJ83">
        <f t="shared" si="10"/>
        <v>0</v>
      </c>
    </row>
    <row r="84" spans="1:39" hidden="1" x14ac:dyDescent="0.25">
      <c r="B84" s="44"/>
      <c r="C84" s="44"/>
      <c r="D84" s="44"/>
      <c r="E84" s="44"/>
      <c r="F84" s="44"/>
      <c r="H84" s="44"/>
      <c r="I84" s="44"/>
      <c r="J84" s="44"/>
      <c r="K84" s="44"/>
      <c r="AI84" s="40">
        <f t="shared" si="6"/>
        <v>0</v>
      </c>
      <c r="AJ84">
        <f t="shared" si="10"/>
        <v>0</v>
      </c>
    </row>
    <row r="85" spans="1:39" hidden="1" x14ac:dyDescent="0.25">
      <c r="B85" s="44"/>
      <c r="C85" s="44"/>
      <c r="D85" s="44"/>
      <c r="E85" s="44"/>
      <c r="F85" s="44"/>
      <c r="H85" s="44"/>
      <c r="I85" s="44"/>
      <c r="J85" s="44"/>
      <c r="K85" s="44"/>
      <c r="AI85" s="40">
        <f t="shared" si="6"/>
        <v>0</v>
      </c>
      <c r="AJ85" s="40">
        <f t="shared" si="10"/>
        <v>0</v>
      </c>
    </row>
    <row r="86" spans="1:39" hidden="1" x14ac:dyDescent="0.25">
      <c r="B86" s="44"/>
      <c r="C86" s="44"/>
      <c r="D86" s="44"/>
      <c r="E86" s="44"/>
      <c r="F86" s="44"/>
      <c r="H86" s="44"/>
      <c r="I86" s="44"/>
      <c r="J86" s="44"/>
      <c r="K86" s="44"/>
      <c r="AI86" s="40">
        <f t="shared" si="6"/>
        <v>0</v>
      </c>
      <c r="AJ86" s="40">
        <f t="shared" si="10"/>
        <v>0</v>
      </c>
    </row>
    <row r="87" spans="1:39" hidden="1" x14ac:dyDescent="0.25">
      <c r="B87" s="44"/>
      <c r="C87" s="44"/>
      <c r="D87" s="44"/>
      <c r="E87" s="44"/>
      <c r="F87" s="44"/>
      <c r="H87" s="44"/>
      <c r="I87" s="44"/>
      <c r="J87" s="44"/>
      <c r="K87" s="44"/>
      <c r="AI87" s="40">
        <f t="shared" si="6"/>
        <v>0</v>
      </c>
      <c r="AJ87" s="40">
        <f t="shared" si="10"/>
        <v>0</v>
      </c>
    </row>
    <row r="88" spans="1:39" hidden="1" x14ac:dyDescent="0.25">
      <c r="B88" s="44"/>
      <c r="C88" s="44"/>
      <c r="D88" s="44"/>
      <c r="E88" s="44"/>
      <c r="F88" s="44"/>
      <c r="H88" s="44"/>
      <c r="I88" s="44"/>
      <c r="J88" s="44"/>
      <c r="K88" s="44"/>
      <c r="AI88" s="40">
        <f t="shared" si="6"/>
        <v>0</v>
      </c>
      <c r="AJ88" s="40">
        <f t="shared" si="10"/>
        <v>0</v>
      </c>
    </row>
    <row r="89" spans="1:39" hidden="1" x14ac:dyDescent="0.25">
      <c r="B89" s="44"/>
      <c r="C89" s="44"/>
      <c r="D89" s="44"/>
      <c r="E89" s="44"/>
      <c r="F89" s="44"/>
      <c r="H89" s="44"/>
      <c r="I89" s="44"/>
      <c r="J89" s="44"/>
      <c r="K89" s="44"/>
      <c r="AI89" s="40">
        <f t="shared" si="6"/>
        <v>0</v>
      </c>
      <c r="AJ89" s="40">
        <f t="shared" si="10"/>
        <v>0</v>
      </c>
    </row>
    <row r="90" spans="1:39" x14ac:dyDescent="0.25">
      <c r="B90" s="44"/>
      <c r="C90" s="44"/>
      <c r="D90" s="44"/>
      <c r="E90" s="44"/>
      <c r="F90" s="44"/>
      <c r="H90" s="44"/>
      <c r="I90" s="44"/>
      <c r="J90" s="44"/>
      <c r="K90" s="44"/>
      <c r="AI90" s="40">
        <f t="shared" si="6"/>
        <v>0</v>
      </c>
      <c r="AJ90" s="40">
        <f t="shared" si="10"/>
        <v>0</v>
      </c>
    </row>
    <row r="91" spans="1:39" ht="15.75" thickBot="1" x14ac:dyDescent="0.3">
      <c r="B91" s="44"/>
      <c r="C91" s="44"/>
      <c r="D91" s="44"/>
      <c r="E91" s="44"/>
      <c r="F91" s="44"/>
      <c r="H91" s="44"/>
      <c r="I91" s="44"/>
      <c r="J91" s="44"/>
      <c r="K91" s="44"/>
      <c r="AI91" s="40"/>
      <c r="AJ91" s="40"/>
    </row>
    <row r="92" spans="1:39" x14ac:dyDescent="0.25">
      <c r="B92" s="72" t="s">
        <v>1573</v>
      </c>
      <c r="C92" s="73"/>
      <c r="D92" s="74"/>
      <c r="E92" s="74"/>
      <c r="F92" s="44"/>
      <c r="H92" s="44"/>
      <c r="I92" s="44"/>
      <c r="J92" s="44"/>
      <c r="K92" s="44"/>
      <c r="AI92" s="40"/>
      <c r="AJ92" s="40"/>
      <c r="AK92" t="s">
        <v>394</v>
      </c>
      <c r="AL92" s="1">
        <f>AVERAGE(AL2:AL72)</f>
        <v>318.85507246376812</v>
      </c>
      <c r="AM92" t="s">
        <v>1796</v>
      </c>
    </row>
    <row r="93" spans="1:39" x14ac:dyDescent="0.25">
      <c r="B93" s="75" t="s">
        <v>1574</v>
      </c>
      <c r="D93" s="80">
        <v>769</v>
      </c>
      <c r="E93" s="76"/>
      <c r="F93" s="44"/>
      <c r="H93" s="44"/>
      <c r="I93" s="44"/>
      <c r="J93" s="44"/>
      <c r="K93" s="44"/>
      <c r="AI93" s="40"/>
      <c r="AJ93" s="40"/>
    </row>
    <row r="94" spans="1:39" x14ac:dyDescent="0.25">
      <c r="B94" s="77" t="s">
        <v>1575</v>
      </c>
      <c r="D94" s="81">
        <v>370</v>
      </c>
      <c r="E94" s="76"/>
      <c r="F94" s="44"/>
      <c r="H94" s="44"/>
      <c r="I94" s="44"/>
      <c r="J94" s="44"/>
      <c r="K94" s="44"/>
      <c r="AI94" s="40"/>
      <c r="AJ94" s="40"/>
    </row>
    <row r="95" spans="1:39" x14ac:dyDescent="0.25">
      <c r="B95" s="77" t="s">
        <v>1576</v>
      </c>
      <c r="D95" s="81">
        <v>655</v>
      </c>
      <c r="E95" s="76"/>
      <c r="F95" s="44"/>
      <c r="H95" s="44"/>
      <c r="I95" s="44"/>
      <c r="J95" s="44"/>
      <c r="K95" s="44"/>
      <c r="AI95" s="40"/>
      <c r="AJ95" s="40"/>
    </row>
    <row r="96" spans="1:39" x14ac:dyDescent="0.25">
      <c r="B96" s="77" t="s">
        <v>1577</v>
      </c>
      <c r="D96" s="81">
        <v>827</v>
      </c>
      <c r="E96" s="76"/>
      <c r="F96" s="44"/>
      <c r="H96" s="44"/>
      <c r="I96" s="44"/>
      <c r="J96" s="44"/>
      <c r="K96" s="44"/>
      <c r="AI96" s="40"/>
      <c r="AJ96" s="40"/>
    </row>
    <row r="97" spans="1:36" ht="15.75" thickBot="1" x14ac:dyDescent="0.3">
      <c r="A97" s="40"/>
      <c r="B97" s="82" t="s">
        <v>1163</v>
      </c>
      <c r="C97" s="60"/>
      <c r="D97" s="83">
        <f>SUM(D2:D96)</f>
        <v>11189</v>
      </c>
      <c r="E97" s="76"/>
      <c r="F97" s="44"/>
      <c r="H97" s="44"/>
      <c r="I97" s="44"/>
      <c r="J97" s="44"/>
      <c r="K97" s="44"/>
      <c r="AI97" s="40"/>
      <c r="AJ97" s="40"/>
    </row>
    <row r="98" spans="1:36" ht="15.75" thickBot="1" x14ac:dyDescent="0.3">
      <c r="B98" s="84" t="s">
        <v>1625</v>
      </c>
      <c r="C98" s="85"/>
      <c r="D98" s="86">
        <f>SUM(D93:D96)</f>
        <v>2621</v>
      </c>
      <c r="E98" s="87">
        <f>D98/D97</f>
        <v>0.23424792206631512</v>
      </c>
      <c r="H98" s="1"/>
      <c r="AI98" s="40"/>
      <c r="AJ98" s="40"/>
    </row>
    <row r="99" spans="1:36" x14ac:dyDescent="0.25">
      <c r="H99" s="1"/>
      <c r="AI99" s="40"/>
      <c r="AJ99" s="40"/>
    </row>
    <row r="100" spans="1:36" hidden="1" x14ac:dyDescent="0.25">
      <c r="H100" s="1"/>
      <c r="AI100" s="40"/>
      <c r="AJ100" s="40"/>
    </row>
    <row r="101" spans="1:36" hidden="1" x14ac:dyDescent="0.25">
      <c r="A101" s="40"/>
      <c r="H101" s="1"/>
      <c r="AI101" s="40"/>
      <c r="AJ101" s="40"/>
    </row>
    <row r="102" spans="1:36" hidden="1" x14ac:dyDescent="0.25">
      <c r="A102" s="40"/>
      <c r="H102" s="1"/>
      <c r="AI102" s="40"/>
      <c r="AJ102" s="40"/>
    </row>
    <row r="103" spans="1:36" hidden="1" x14ac:dyDescent="0.25">
      <c r="A103" s="40"/>
      <c r="H103" s="1"/>
      <c r="AI103" s="40"/>
      <c r="AJ103" s="40"/>
    </row>
    <row r="104" spans="1:36" hidden="1" x14ac:dyDescent="0.25">
      <c r="A104" s="40"/>
      <c r="H104" s="1"/>
      <c r="AI104" s="40"/>
      <c r="AJ104" s="40"/>
    </row>
    <row r="105" spans="1:36" hidden="1" x14ac:dyDescent="0.25">
      <c r="A105" s="40"/>
      <c r="H105" s="1"/>
      <c r="AI105" s="40"/>
      <c r="AJ105" s="40"/>
    </row>
    <row r="106" spans="1:36" hidden="1" x14ac:dyDescent="0.25">
      <c r="A106" s="40"/>
      <c r="H106" s="1"/>
      <c r="AI106" s="40"/>
      <c r="AJ106" s="40"/>
    </row>
    <row r="107" spans="1:36" hidden="1" x14ac:dyDescent="0.25">
      <c r="A107" s="40"/>
      <c r="H107" s="1"/>
      <c r="AI107" s="40"/>
      <c r="AJ107" s="40"/>
    </row>
    <row r="108" spans="1:36" hidden="1" x14ac:dyDescent="0.25">
      <c r="A108" s="40"/>
      <c r="H108" s="1"/>
      <c r="AI108" s="40"/>
      <c r="AJ108" s="40"/>
    </row>
    <row r="109" spans="1:36" hidden="1" x14ac:dyDescent="0.25">
      <c r="A109" s="40"/>
      <c r="H109" s="1"/>
      <c r="AI109" s="40"/>
      <c r="AJ109" s="40"/>
    </row>
    <row r="110" spans="1:36" hidden="1" x14ac:dyDescent="0.25">
      <c r="A110" s="40"/>
      <c r="H110" s="1"/>
      <c r="AI110" s="40"/>
      <c r="AJ110" s="40"/>
    </row>
    <row r="111" spans="1:36" hidden="1" x14ac:dyDescent="0.25">
      <c r="A111" s="40"/>
      <c r="H111" s="1"/>
      <c r="AI111" s="40"/>
      <c r="AJ111" s="40"/>
    </row>
    <row r="112" spans="1:36" hidden="1" x14ac:dyDescent="0.25">
      <c r="A112" s="40"/>
      <c r="H112" s="1"/>
      <c r="AI112" s="40"/>
      <c r="AJ112" s="40"/>
    </row>
    <row r="113" spans="1:36" hidden="1" x14ac:dyDescent="0.25">
      <c r="A113" s="40"/>
      <c r="H113" s="1"/>
      <c r="AI113" s="40"/>
      <c r="AJ113" s="40"/>
    </row>
    <row r="114" spans="1:36" hidden="1" x14ac:dyDescent="0.25">
      <c r="A114" s="40"/>
      <c r="H114" s="1"/>
      <c r="AI114" s="40"/>
      <c r="AJ114" s="40"/>
    </row>
    <row r="115" spans="1:36" hidden="1" x14ac:dyDescent="0.25">
      <c r="A115" s="40"/>
      <c r="H115" s="1"/>
      <c r="AI115" s="40"/>
      <c r="AJ115" s="40"/>
    </row>
    <row r="116" spans="1:36" hidden="1" x14ac:dyDescent="0.25">
      <c r="A116" s="40"/>
      <c r="H116" s="1"/>
      <c r="AI116" s="40"/>
      <c r="AJ116" s="40"/>
    </row>
    <row r="117" spans="1:36" hidden="1" x14ac:dyDescent="0.25">
      <c r="A117" s="40"/>
      <c r="H117" s="1"/>
      <c r="AI117" s="40"/>
      <c r="AJ117" s="40"/>
    </row>
    <row r="118" spans="1:36" hidden="1" x14ac:dyDescent="0.25">
      <c r="A118" s="40"/>
      <c r="H118" s="1"/>
      <c r="AI118" s="40"/>
      <c r="AJ118" s="40"/>
    </row>
    <row r="119" spans="1:36" hidden="1" x14ac:dyDescent="0.25">
      <c r="A119" s="40"/>
      <c r="H119" s="1"/>
      <c r="AI119" s="40"/>
      <c r="AJ119" s="40"/>
    </row>
    <row r="120" spans="1:36" hidden="1" x14ac:dyDescent="0.25">
      <c r="A120" s="40"/>
      <c r="H120" s="1"/>
      <c r="AI120" s="40"/>
      <c r="AJ120" s="40"/>
    </row>
    <row r="121" spans="1:36" hidden="1" x14ac:dyDescent="0.25">
      <c r="A121" s="40"/>
      <c r="H121" s="1"/>
      <c r="AI121" s="40"/>
      <c r="AJ121" s="40"/>
    </row>
    <row r="122" spans="1:36" hidden="1" x14ac:dyDescent="0.25">
      <c r="A122" s="40"/>
      <c r="H122" s="1"/>
      <c r="AI122" s="40"/>
      <c r="AJ122" s="40"/>
    </row>
    <row r="123" spans="1:36" hidden="1" x14ac:dyDescent="0.25">
      <c r="A123" s="40"/>
      <c r="H123" s="1"/>
      <c r="AI123" s="40"/>
      <c r="AJ123" s="40"/>
    </row>
    <row r="124" spans="1:36" hidden="1" x14ac:dyDescent="0.25">
      <c r="A124" s="40"/>
      <c r="H124" s="1"/>
      <c r="AI124" s="40"/>
      <c r="AJ124" s="40"/>
    </row>
    <row r="125" spans="1:36" hidden="1" x14ac:dyDescent="0.25">
      <c r="A125" s="40"/>
      <c r="H125" s="1"/>
      <c r="AI125" s="40"/>
      <c r="AJ125" s="40"/>
    </row>
    <row r="126" spans="1:36" hidden="1" x14ac:dyDescent="0.25">
      <c r="A126" s="40"/>
      <c r="H126" s="1"/>
      <c r="AI126" s="40"/>
      <c r="AJ126" s="40"/>
    </row>
    <row r="127" spans="1:36" hidden="1" x14ac:dyDescent="0.25">
      <c r="A127" s="40"/>
      <c r="D127" s="17">
        <f>SUM(D93:D96)</f>
        <v>2621</v>
      </c>
      <c r="E127">
        <f>D127/D97</f>
        <v>0.23424792206631512</v>
      </c>
      <c r="H127" s="1"/>
      <c r="AI127" s="40"/>
      <c r="AJ127" s="40"/>
    </row>
    <row r="128" spans="1:36" hidden="1" x14ac:dyDescent="0.25">
      <c r="A128" s="40"/>
      <c r="H128" s="1"/>
      <c r="AI128" s="40"/>
      <c r="AJ128" s="40"/>
    </row>
    <row r="129" spans="1:36" hidden="1" x14ac:dyDescent="0.25">
      <c r="A129" s="40"/>
      <c r="H129" s="1"/>
      <c r="AI129" s="40"/>
      <c r="AJ129" s="40"/>
    </row>
    <row r="130" spans="1:36" hidden="1" x14ac:dyDescent="0.25">
      <c r="A130" s="40"/>
      <c r="H130" s="1"/>
      <c r="AI130" s="40"/>
      <c r="AJ130" s="40"/>
    </row>
    <row r="131" spans="1:36" hidden="1" x14ac:dyDescent="0.25">
      <c r="A131" s="40"/>
      <c r="H131" s="1"/>
      <c r="AI131" s="40"/>
      <c r="AJ131" s="40"/>
    </row>
    <row r="132" spans="1:36" hidden="1" x14ac:dyDescent="0.25">
      <c r="A132" s="40"/>
      <c r="H132" s="1"/>
      <c r="AI132" s="40"/>
      <c r="AJ132" s="40"/>
    </row>
    <row r="133" spans="1:36" hidden="1" x14ac:dyDescent="0.25">
      <c r="A133" s="40"/>
      <c r="H133" s="1"/>
      <c r="AI133" s="40"/>
      <c r="AJ133" s="40"/>
    </row>
    <row r="134" spans="1:36" x14ac:dyDescent="0.25">
      <c r="A134" s="40"/>
      <c r="H134" s="1"/>
      <c r="AI134" s="40"/>
      <c r="AJ134" s="40"/>
    </row>
    <row r="135" spans="1:36" x14ac:dyDescent="0.25">
      <c r="H135" s="1"/>
      <c r="AI135" s="40"/>
      <c r="AJ135" s="40"/>
    </row>
    <row r="136" spans="1:36" x14ac:dyDescent="0.25">
      <c r="A136" s="40"/>
      <c r="H136" s="1"/>
      <c r="I136" s="134" t="s">
        <v>1701</v>
      </c>
      <c r="J136" s="134"/>
      <c r="K136" s="134"/>
      <c r="AI136" s="40"/>
      <c r="AJ136" s="40"/>
    </row>
    <row r="137" spans="1:36" hidden="1" x14ac:dyDescent="0.25">
      <c r="A137" s="40"/>
      <c r="H137" s="1"/>
      <c r="AI137" s="40"/>
      <c r="AJ137" s="40"/>
    </row>
    <row r="138" spans="1:36" hidden="1" x14ac:dyDescent="0.25">
      <c r="A138" s="40"/>
      <c r="H138" s="1"/>
      <c r="AI138" s="40"/>
      <c r="AJ138" s="40"/>
    </row>
    <row r="139" spans="1:36" hidden="1" x14ac:dyDescent="0.25">
      <c r="B139" s="2"/>
      <c r="H139" s="1"/>
      <c r="AI139" s="40"/>
      <c r="AJ139" s="40"/>
    </row>
    <row r="140" spans="1:36" hidden="1" x14ac:dyDescent="0.25">
      <c r="B140" s="2"/>
      <c r="H140" s="1"/>
      <c r="AI140" s="40"/>
      <c r="AJ140" s="40"/>
    </row>
    <row r="141" spans="1:36" hidden="1" x14ac:dyDescent="0.25">
      <c r="B141" s="2"/>
      <c r="H141" s="1"/>
      <c r="AI141" s="40"/>
      <c r="AJ141" s="40"/>
    </row>
    <row r="142" spans="1:36" hidden="1" x14ac:dyDescent="0.25">
      <c r="B142" s="2"/>
      <c r="H142" s="1"/>
      <c r="AI142" s="40"/>
      <c r="AJ142" s="40"/>
    </row>
    <row r="143" spans="1:36" hidden="1" x14ac:dyDescent="0.25">
      <c r="B143" s="2"/>
      <c r="H143" s="1"/>
      <c r="AI143" s="40"/>
      <c r="AJ143" s="40"/>
    </row>
    <row r="144" spans="1:36" hidden="1" x14ac:dyDescent="0.25">
      <c r="B144" s="2"/>
      <c r="H144" s="1"/>
      <c r="AI144" s="40"/>
      <c r="AJ144" s="40"/>
    </row>
    <row r="145" spans="1:36" hidden="1" x14ac:dyDescent="0.25">
      <c r="B145" s="2"/>
      <c r="H145" s="1"/>
      <c r="AI145" s="40"/>
      <c r="AJ145" s="40"/>
    </row>
    <row r="146" spans="1:36" hidden="1" x14ac:dyDescent="0.25">
      <c r="B146" s="2"/>
      <c r="H146" s="1"/>
    </row>
    <row r="148" spans="1:36" x14ac:dyDescent="0.25">
      <c r="C148" s="5" t="s">
        <v>150</v>
      </c>
      <c r="D148" s="6" t="s">
        <v>91</v>
      </c>
      <c r="E148" s="6" t="s">
        <v>130</v>
      </c>
      <c r="F148" s="6"/>
      <c r="G148" s="7" t="s">
        <v>395</v>
      </c>
      <c r="I148" s="13" t="s">
        <v>124</v>
      </c>
      <c r="J148" s="14"/>
      <c r="K148" s="14"/>
      <c r="L148" s="14" t="s">
        <v>135</v>
      </c>
      <c r="M148" s="14" t="s">
        <v>378</v>
      </c>
      <c r="N148" s="15" t="s">
        <v>130</v>
      </c>
      <c r="P148" s="13"/>
      <c r="Q148" s="14"/>
      <c r="R148" s="14"/>
      <c r="S148" s="14"/>
      <c r="T148" s="15"/>
    </row>
    <row r="149" spans="1:36" x14ac:dyDescent="0.25">
      <c r="C149" s="8" t="s">
        <v>129</v>
      </c>
      <c r="D149" s="1">
        <f>SUM(M149:M152,T149:T151)</f>
        <v>1669</v>
      </c>
      <c r="E149">
        <f>SUM(D2:D96)</f>
        <v>11189</v>
      </c>
      <c r="G149" s="23">
        <f>E149/D149</f>
        <v>6.7040143798681848</v>
      </c>
      <c r="I149" s="8" t="s">
        <v>133</v>
      </c>
      <c r="L149" s="17">
        <f>COUNTIF(K2:K146,"&lt;3")+COUNTIF(X2:X146,"&lt;3")+COUNTIF(R2:R146,"&lt;3")</f>
        <v>4</v>
      </c>
      <c r="M149" s="17">
        <f>SUMIF(K2:K146,"&lt;3",H2:H146)+SUMIF(R2:R146,"&lt;3",O2:O146)+SUMIF(X2:X146,"&lt;3",U2:U146)</f>
        <v>91</v>
      </c>
      <c r="N149" s="138">
        <f>SUMIF(K2:K146,"&lt;3",D2:D146)</f>
        <v>224</v>
      </c>
      <c r="P149" s="8"/>
      <c r="T149" s="9"/>
    </row>
    <row r="150" spans="1:36" x14ac:dyDescent="0.25">
      <c r="C150" s="8" t="s">
        <v>125</v>
      </c>
      <c r="D150">
        <f>COUNT(D2:D146)</f>
        <v>78</v>
      </c>
      <c r="G150" s="9"/>
      <c r="I150" s="8" t="s">
        <v>132</v>
      </c>
      <c r="L150" s="17">
        <f>COUNTIF(K2:K146,"&lt;4")+COUNTIF(X2:X146,"&lt;4")+COUNTIF(R2:R146,"&lt;4")-L149</f>
        <v>12</v>
      </c>
      <c r="M150" s="17">
        <f>SUMIF(K2:K146,"&lt;4",H2:H146)+SUMIF(R2:R146,"&lt;4",O2:O146)+SUMIF(X2:X146,"&lt;4",U2:U146)-M149</f>
        <v>74</v>
      </c>
      <c r="N150" s="138">
        <f>SUMIF(K2:K146,"&lt;4",D2:D146)-N149</f>
        <v>123</v>
      </c>
      <c r="P150" s="8"/>
      <c r="T150" s="9"/>
    </row>
    <row r="151" spans="1:36" x14ac:dyDescent="0.25">
      <c r="C151" s="8" t="s">
        <v>386</v>
      </c>
      <c r="D151">
        <f>COUNTIF(E2:E146,"AOM5000")</f>
        <v>57</v>
      </c>
      <c r="E151">
        <f>SUMIF(E2:E90,"AOM5000",D2:D90)</f>
        <v>7190</v>
      </c>
      <c r="F151" t="s">
        <v>396</v>
      </c>
      <c r="G151" s="21">
        <f>AVERAGEIF(E2:E146,"AOM5000",F2:F146)</f>
        <v>21.591836734693878</v>
      </c>
      <c r="I151" s="8" t="s">
        <v>134</v>
      </c>
      <c r="L151" s="17">
        <f>COUNTIF(K2:K146,"&lt;5")+COUNTIF(X2:X146,"&lt;5")+COUNTIF(R2:R146,"&lt;5")-L150-L149</f>
        <v>49</v>
      </c>
      <c r="M151" s="17">
        <f>SUMIF(K2:K146,"&lt;5",H2:H146)+SUMIF(R2:R146,"&lt;5",O2:O146)+SUMIF(X2:X146,"&lt;5",U2:U146)-M150-M149</f>
        <v>1089</v>
      </c>
      <c r="N151" s="138">
        <f>SUMIF(K2:K146,"&lt;5",D2:D146)-N150-N149</f>
        <v>4962</v>
      </c>
      <c r="P151" s="8"/>
      <c r="T151" s="9"/>
    </row>
    <row r="152" spans="1:36" x14ac:dyDescent="0.25">
      <c r="C152" s="8" t="s">
        <v>387</v>
      </c>
      <c r="D152">
        <f>COUNTIF(E2:E146,"AOM4000")</f>
        <v>7</v>
      </c>
      <c r="E152">
        <f>SUMIF(E2:E89,"AOM4000",D2:D89)</f>
        <v>568</v>
      </c>
      <c r="F152" t="s">
        <v>397</v>
      </c>
      <c r="G152" s="21">
        <f>AVERAGEIF(E2:E146,"AOM4000",F2:F146)</f>
        <v>14.5</v>
      </c>
      <c r="I152" s="8" t="s">
        <v>1717</v>
      </c>
      <c r="L152" s="17">
        <f>COUNTIF(K2:K146,"&lt;7")+COUNTIF(X2:X146,"&lt;7")+COUNTIF(R2:R146,"&lt;7")-L151-L150-L149</f>
        <v>16</v>
      </c>
      <c r="M152" s="17">
        <f>SUMIF(K3:K147,"&lt;7",H3:H147)+SUMIF(R3:R147,"&lt;7",O3:O147)+SUMIF(X3:X147,"&lt;7",U3:U147)-M151-M150-M149</f>
        <v>415</v>
      </c>
      <c r="N152" s="138">
        <f>SUMIF(K3:K147,"&lt;7",D3:D147)-N151-N150-N149</f>
        <v>2588</v>
      </c>
      <c r="P152" s="8"/>
      <c r="T152" s="9"/>
    </row>
    <row r="153" spans="1:36" x14ac:dyDescent="0.25">
      <c r="C153" s="8" t="s">
        <v>390</v>
      </c>
      <c r="D153" s="18">
        <f>D151/(D152+D151)*100</f>
        <v>89.0625</v>
      </c>
      <c r="E153" s="18">
        <f>E151/(E152+E151)*100</f>
        <v>92.678525393142564</v>
      </c>
      <c r="G153" s="9"/>
      <c r="I153" s="8" t="s">
        <v>1698</v>
      </c>
      <c r="L153" s="17">
        <f>COUNTIF(K2:K146,"&lt;17")+COUNTIF(X2:X146,"&lt;17")+COUNTIF(R2:R146,"&lt;17")-L151-L150-L149-L152</f>
        <v>4</v>
      </c>
      <c r="M153" s="17">
        <f>SUMIF(K3:K147,"&lt;17",H3:H147)+SUMIF(R3:R147,"&lt;17",O3:O147)+SUMIF(X3:X147,"&lt;17",U3:U147)-M151-M150-M149-M152</f>
        <v>68</v>
      </c>
      <c r="N153" s="138">
        <f>SUMIF(K3:K147,"&lt;17",D3:D147)-N151-N150-N149-N152</f>
        <v>650</v>
      </c>
      <c r="P153" s="8"/>
      <c r="T153" s="9"/>
    </row>
    <row r="154" spans="1:36" x14ac:dyDescent="0.25">
      <c r="C154" s="16" t="s">
        <v>128</v>
      </c>
      <c r="D154" s="22">
        <f>D151/D150*100</f>
        <v>73.076923076923066</v>
      </c>
      <c r="E154" s="22">
        <f>E151/E149*100</f>
        <v>64.259540620252025</v>
      </c>
      <c r="F154" s="11"/>
      <c r="G154" s="12"/>
      <c r="I154" s="8" t="s">
        <v>136</v>
      </c>
      <c r="L154">
        <f>COUNTA(L2:L146)</f>
        <v>16</v>
      </c>
      <c r="N154" s="9"/>
      <c r="P154" s="8"/>
      <c r="T154" s="9"/>
    </row>
    <row r="155" spans="1:36" x14ac:dyDescent="0.25">
      <c r="F155" t="s">
        <v>388</v>
      </c>
      <c r="I155" s="10"/>
      <c r="J155" s="11"/>
      <c r="K155" s="11"/>
      <c r="L155" s="11"/>
      <c r="M155" s="11"/>
      <c r="N155" s="12"/>
      <c r="P155" s="10"/>
      <c r="Q155" s="11"/>
      <c r="R155" s="11"/>
      <c r="S155" s="11"/>
      <c r="T155" s="12"/>
    </row>
    <row r="156" spans="1:36" ht="15.75" thickBot="1" x14ac:dyDescent="0.3">
      <c r="B156" t="s">
        <v>544</v>
      </c>
      <c r="C156" s="5" t="s">
        <v>149</v>
      </c>
      <c r="D156" s="6" t="s">
        <v>135</v>
      </c>
      <c r="E156" s="7" t="s">
        <v>130</v>
      </c>
      <c r="F156" s="5" t="s">
        <v>93</v>
      </c>
      <c r="G156" s="7" t="s">
        <v>94</v>
      </c>
    </row>
    <row r="157" spans="1:36" x14ac:dyDescent="0.25">
      <c r="A157">
        <f t="shared" ref="A157:A179" si="11">COUNTIF($C$157:$C$188,C157)</f>
        <v>1</v>
      </c>
      <c r="B157" s="18">
        <f>E157/$E$149*100</f>
        <v>16.793279113414961</v>
      </c>
      <c r="C157" s="8" t="s">
        <v>1247</v>
      </c>
      <c r="D157">
        <f t="shared" ref="D157:D188" si="12">COUNTIF(C$2:C$146,C157)</f>
        <v>10</v>
      </c>
      <c r="E157" s="9">
        <f t="shared" ref="E157:E188" si="13">SUMIF(C$2:C$146,C157,D$2:D$146)</f>
        <v>1879</v>
      </c>
      <c r="F157" s="8">
        <f t="shared" ref="F157:F188" si="14">SUMIFS($D$2:$D$146,$C$2:$C$146,C157,$E$2:$E$146,$F$156)</f>
        <v>0</v>
      </c>
      <c r="G157" s="9">
        <f t="shared" ref="G157:G188" si="15">SUMIFS($D$2:$D$146,$C$2:$C$146,C157,$E$2:$E$146,$G$156)</f>
        <v>1879</v>
      </c>
      <c r="H157">
        <f>E157-F157-G157</f>
        <v>0</v>
      </c>
      <c r="I157" s="116" t="s">
        <v>376</v>
      </c>
      <c r="J157" s="119"/>
      <c r="K157" s="117" t="s">
        <v>377</v>
      </c>
      <c r="M157" s="116" t="s">
        <v>376</v>
      </c>
      <c r="N157" s="117" t="s">
        <v>377</v>
      </c>
    </row>
    <row r="158" spans="1:36" x14ac:dyDescent="0.25">
      <c r="A158">
        <f t="shared" si="11"/>
        <v>1</v>
      </c>
      <c r="B158" s="18">
        <f t="shared" ref="B158:B179" si="16">E158/$E$149*100</f>
        <v>0</v>
      </c>
      <c r="C158" s="8" t="s">
        <v>142</v>
      </c>
      <c r="D158">
        <f t="shared" si="12"/>
        <v>0</v>
      </c>
      <c r="E158" s="9">
        <f t="shared" si="13"/>
        <v>0</v>
      </c>
      <c r="F158" s="8">
        <f t="shared" si="14"/>
        <v>0</v>
      </c>
      <c r="G158" s="9">
        <f t="shared" si="15"/>
        <v>0</v>
      </c>
      <c r="H158">
        <f>E158-F158-G158</f>
        <v>0</v>
      </c>
      <c r="I158" s="77" t="s">
        <v>113</v>
      </c>
      <c r="K158" s="120">
        <f t="shared" ref="K158:K175" si="17">SUMIF(I$2:I$146,I158,H$2:H$146)+SUMIF(P$2:P$146,I158,O$2:O$146)+SUMIF(V$2:V$146,I158,U$2:U$146)+SUMIF(AB$2:AB$146,I158,AA$2:AA$146)</f>
        <v>2</v>
      </c>
      <c r="M158" s="77" t="s">
        <v>949</v>
      </c>
      <c r="N158" s="76">
        <f>SUMIF($I$2:$I$72,M158&amp;"*",$H$2:$H$72)+SUMIF($P$2:$P$72,M158&amp;"*",$O$2:$O$72)+SUMIF($V$2:$V$72,M158&amp;"*",$U$2:$U$72)+SUMIF($AB$2:$AB$72,M158&amp;"*",$AA$2:$AA$72)</f>
        <v>2</v>
      </c>
    </row>
    <row r="159" spans="1:36" x14ac:dyDescent="0.25">
      <c r="A159">
        <f t="shared" si="11"/>
        <v>1</v>
      </c>
      <c r="B159" s="18">
        <f t="shared" si="16"/>
        <v>0.70605058539637144</v>
      </c>
      <c r="C159" t="s">
        <v>605</v>
      </c>
      <c r="D159">
        <f t="shared" si="12"/>
        <v>2</v>
      </c>
      <c r="E159" s="9">
        <f t="shared" si="13"/>
        <v>79</v>
      </c>
      <c r="F159" s="8">
        <f t="shared" si="14"/>
        <v>0</v>
      </c>
      <c r="G159" s="9">
        <f t="shared" si="15"/>
        <v>79</v>
      </c>
      <c r="H159">
        <f t="shared" ref="H159:H183" si="18">E159-F159-G159</f>
        <v>0</v>
      </c>
      <c r="I159" s="77" t="s">
        <v>114</v>
      </c>
      <c r="K159" s="120">
        <f t="shared" si="17"/>
        <v>8</v>
      </c>
      <c r="M159" s="77" t="s">
        <v>950</v>
      </c>
      <c r="N159" s="76">
        <f t="shared" ref="N159:N170" si="19">SUMIF($I$2:$I$72,M159&amp;"*",$H$2:$H$72)+SUMIF($P$2:$P$72,M159&amp;"*",$O$2:$O$72)+SUMIF($V$2:$V$72,M159&amp;"*",$U$2:$U$72)+SUMIF($AB$2:$AB$72,M159&amp;"*",$AA$2:$AA$72)</f>
        <v>8</v>
      </c>
    </row>
    <row r="160" spans="1:36" x14ac:dyDescent="0.25">
      <c r="A160">
        <f t="shared" si="11"/>
        <v>1</v>
      </c>
      <c r="B160" s="18">
        <f t="shared" si="16"/>
        <v>1.0367325051389757</v>
      </c>
      <c r="C160" s="8" t="s">
        <v>138</v>
      </c>
      <c r="D160">
        <f t="shared" si="12"/>
        <v>2</v>
      </c>
      <c r="E160" s="9">
        <f t="shared" si="13"/>
        <v>116</v>
      </c>
      <c r="F160" s="8">
        <f t="shared" si="14"/>
        <v>0</v>
      </c>
      <c r="G160" s="9">
        <f t="shared" si="15"/>
        <v>116</v>
      </c>
      <c r="H160">
        <f t="shared" si="18"/>
        <v>0</v>
      </c>
      <c r="I160" s="77" t="s">
        <v>119</v>
      </c>
      <c r="K160" s="120">
        <f t="shared" si="17"/>
        <v>66</v>
      </c>
      <c r="M160" s="77" t="s">
        <v>951</v>
      </c>
      <c r="N160" s="76">
        <f t="shared" si="19"/>
        <v>66</v>
      </c>
    </row>
    <row r="161" spans="1:14" x14ac:dyDescent="0.25">
      <c r="A161">
        <f t="shared" si="11"/>
        <v>1</v>
      </c>
      <c r="B161" s="18">
        <f t="shared" si="16"/>
        <v>0.93842166413441763</v>
      </c>
      <c r="C161" s="8" t="s">
        <v>137</v>
      </c>
      <c r="D161">
        <f t="shared" si="12"/>
        <v>2</v>
      </c>
      <c r="E161" s="9">
        <f t="shared" si="13"/>
        <v>105</v>
      </c>
      <c r="F161" s="8">
        <f t="shared" si="14"/>
        <v>0</v>
      </c>
      <c r="G161" s="9">
        <f t="shared" si="15"/>
        <v>0</v>
      </c>
      <c r="H161">
        <f t="shared" si="18"/>
        <v>105</v>
      </c>
      <c r="I161" s="77" t="s">
        <v>112</v>
      </c>
      <c r="K161" s="120">
        <f t="shared" si="17"/>
        <v>2</v>
      </c>
      <c r="M161" s="77" t="s">
        <v>952</v>
      </c>
      <c r="N161" s="76">
        <f t="shared" si="19"/>
        <v>2</v>
      </c>
    </row>
    <row r="162" spans="1:14" x14ac:dyDescent="0.25">
      <c r="A162">
        <f t="shared" si="11"/>
        <v>1</v>
      </c>
      <c r="B162" s="18">
        <f t="shared" si="16"/>
        <v>1.6444722495307891</v>
      </c>
      <c r="C162" s="8" t="s">
        <v>140</v>
      </c>
      <c r="D162">
        <f t="shared" si="12"/>
        <v>3</v>
      </c>
      <c r="E162" s="9">
        <f t="shared" si="13"/>
        <v>184</v>
      </c>
      <c r="F162" s="8">
        <f t="shared" si="14"/>
        <v>0</v>
      </c>
      <c r="G162" s="9">
        <f t="shared" si="15"/>
        <v>184</v>
      </c>
      <c r="H162">
        <f t="shared" si="18"/>
        <v>0</v>
      </c>
      <c r="I162" s="77" t="s">
        <v>115</v>
      </c>
      <c r="K162" s="120">
        <f t="shared" si="17"/>
        <v>13</v>
      </c>
      <c r="M162" s="77" t="s">
        <v>954</v>
      </c>
      <c r="N162" s="76">
        <f t="shared" si="19"/>
        <v>49</v>
      </c>
    </row>
    <row r="163" spans="1:14" x14ac:dyDescent="0.25">
      <c r="A163">
        <f t="shared" si="11"/>
        <v>1</v>
      </c>
      <c r="B163" s="18">
        <f t="shared" si="16"/>
        <v>0.53624095093395296</v>
      </c>
      <c r="C163" t="s">
        <v>1541</v>
      </c>
      <c r="D163">
        <f t="shared" si="12"/>
        <v>2</v>
      </c>
      <c r="E163" s="9">
        <f t="shared" si="13"/>
        <v>60</v>
      </c>
      <c r="F163" s="8">
        <f t="shared" si="14"/>
        <v>0</v>
      </c>
      <c r="G163" s="9">
        <f t="shared" si="15"/>
        <v>60</v>
      </c>
      <c r="H163">
        <f t="shared" si="18"/>
        <v>0</v>
      </c>
      <c r="I163" s="77" t="s">
        <v>1156</v>
      </c>
      <c r="K163" s="120">
        <f t="shared" si="17"/>
        <v>36</v>
      </c>
      <c r="M163" s="77" t="s">
        <v>955</v>
      </c>
      <c r="N163" s="76">
        <f t="shared" si="19"/>
        <v>23</v>
      </c>
    </row>
    <row r="164" spans="1:14" x14ac:dyDescent="0.25">
      <c r="A164">
        <f t="shared" si="11"/>
        <v>1</v>
      </c>
      <c r="B164" s="18">
        <f t="shared" si="16"/>
        <v>5.1657878273304139</v>
      </c>
      <c r="C164" s="8" t="s">
        <v>146</v>
      </c>
      <c r="D164">
        <f t="shared" si="12"/>
        <v>11</v>
      </c>
      <c r="E164" s="9">
        <f t="shared" si="13"/>
        <v>578</v>
      </c>
      <c r="F164" s="8">
        <f t="shared" si="14"/>
        <v>82</v>
      </c>
      <c r="G164" s="9">
        <f t="shared" si="15"/>
        <v>496</v>
      </c>
      <c r="H164">
        <f t="shared" si="18"/>
        <v>0</v>
      </c>
      <c r="I164" s="77" t="s">
        <v>574</v>
      </c>
      <c r="K164" s="120">
        <f t="shared" si="17"/>
        <v>23</v>
      </c>
      <c r="M164" s="77" t="s">
        <v>956</v>
      </c>
      <c r="N164" s="76">
        <f t="shared" si="19"/>
        <v>25</v>
      </c>
    </row>
    <row r="165" spans="1:14" x14ac:dyDescent="0.25">
      <c r="A165">
        <f t="shared" si="11"/>
        <v>1</v>
      </c>
      <c r="B165" s="18">
        <f t="shared" si="16"/>
        <v>2.4130842792027885</v>
      </c>
      <c r="C165" t="s">
        <v>27</v>
      </c>
      <c r="D165">
        <f t="shared" si="12"/>
        <v>3</v>
      </c>
      <c r="E165" s="9">
        <f t="shared" si="13"/>
        <v>270</v>
      </c>
      <c r="F165" s="8">
        <f t="shared" si="14"/>
        <v>0</v>
      </c>
      <c r="G165" s="9">
        <f t="shared" si="15"/>
        <v>270</v>
      </c>
      <c r="H165">
        <f t="shared" si="18"/>
        <v>0</v>
      </c>
      <c r="I165" s="77" t="s">
        <v>109</v>
      </c>
      <c r="K165" s="120">
        <f t="shared" si="17"/>
        <v>25</v>
      </c>
      <c r="M165" s="77" t="s">
        <v>957</v>
      </c>
      <c r="N165" s="76">
        <f t="shared" si="19"/>
        <v>190</v>
      </c>
    </row>
    <row r="166" spans="1:14" x14ac:dyDescent="0.25">
      <c r="A166">
        <f t="shared" si="11"/>
        <v>1</v>
      </c>
      <c r="B166" s="18">
        <f t="shared" si="16"/>
        <v>0</v>
      </c>
      <c r="C166" s="8" t="s">
        <v>1440</v>
      </c>
      <c r="D166">
        <f t="shared" si="12"/>
        <v>0</v>
      </c>
      <c r="E166" s="9">
        <f t="shared" si="13"/>
        <v>0</v>
      </c>
      <c r="F166" s="8">
        <f t="shared" si="14"/>
        <v>0</v>
      </c>
      <c r="G166" s="9">
        <f t="shared" si="15"/>
        <v>0</v>
      </c>
      <c r="H166">
        <f t="shared" si="18"/>
        <v>0</v>
      </c>
      <c r="I166" s="77" t="s">
        <v>108</v>
      </c>
      <c r="K166" s="120">
        <f t="shared" si="17"/>
        <v>11</v>
      </c>
      <c r="M166" s="77" t="s">
        <v>958</v>
      </c>
      <c r="N166" s="76">
        <f t="shared" si="19"/>
        <v>911</v>
      </c>
    </row>
    <row r="167" spans="1:14" x14ac:dyDescent="0.25">
      <c r="A167">
        <f t="shared" si="11"/>
        <v>1</v>
      </c>
      <c r="B167" s="18">
        <f t="shared" si="16"/>
        <v>9.6880865135400835</v>
      </c>
      <c r="C167" s="8" t="s">
        <v>144</v>
      </c>
      <c r="D167">
        <f t="shared" si="12"/>
        <v>3</v>
      </c>
      <c r="E167" s="9">
        <f t="shared" si="13"/>
        <v>1084</v>
      </c>
      <c r="F167" s="8">
        <f t="shared" si="14"/>
        <v>0</v>
      </c>
      <c r="G167" s="9">
        <f t="shared" si="15"/>
        <v>1008</v>
      </c>
      <c r="H167">
        <f t="shared" si="18"/>
        <v>76</v>
      </c>
      <c r="I167" s="77" t="s">
        <v>121</v>
      </c>
      <c r="K167" s="120">
        <f t="shared" si="17"/>
        <v>63</v>
      </c>
      <c r="M167" s="77" t="s">
        <v>1626</v>
      </c>
      <c r="N167" s="76">
        <f t="shared" si="19"/>
        <v>15</v>
      </c>
    </row>
    <row r="168" spans="1:14" x14ac:dyDescent="0.25">
      <c r="A168">
        <f t="shared" si="11"/>
        <v>1</v>
      </c>
      <c r="B168" s="18">
        <f t="shared" si="16"/>
        <v>1.6265975511663242</v>
      </c>
      <c r="C168" s="8" t="s">
        <v>162</v>
      </c>
      <c r="D168">
        <f t="shared" si="12"/>
        <v>2</v>
      </c>
      <c r="E168" s="9">
        <f t="shared" si="13"/>
        <v>182</v>
      </c>
      <c r="F168" s="8">
        <f t="shared" si="14"/>
        <v>0</v>
      </c>
      <c r="G168" s="9">
        <f t="shared" si="15"/>
        <v>182</v>
      </c>
      <c r="H168">
        <f t="shared" si="18"/>
        <v>0</v>
      </c>
      <c r="I168" s="77" t="s">
        <v>1559</v>
      </c>
      <c r="K168" s="120">
        <f t="shared" si="17"/>
        <v>116</v>
      </c>
      <c r="M168" s="77" t="s">
        <v>1627</v>
      </c>
      <c r="N168" s="76">
        <f t="shared" si="19"/>
        <v>392</v>
      </c>
    </row>
    <row r="169" spans="1:14" x14ac:dyDescent="0.25">
      <c r="A169">
        <f t="shared" si="11"/>
        <v>1</v>
      </c>
      <c r="B169" s="18">
        <f t="shared" si="16"/>
        <v>16.945214049512913</v>
      </c>
      <c r="C169" s="8" t="s">
        <v>141</v>
      </c>
      <c r="D169">
        <f t="shared" si="12"/>
        <v>7</v>
      </c>
      <c r="E169" s="9">
        <f t="shared" si="13"/>
        <v>1896</v>
      </c>
      <c r="F169" s="8">
        <f t="shared" si="14"/>
        <v>261</v>
      </c>
      <c r="G169" s="9">
        <f t="shared" si="15"/>
        <v>1635</v>
      </c>
      <c r="H169">
        <f t="shared" si="18"/>
        <v>0</v>
      </c>
      <c r="I169" s="77" t="s">
        <v>619</v>
      </c>
      <c r="K169" s="120">
        <f t="shared" si="17"/>
        <v>139</v>
      </c>
      <c r="M169" s="77" t="s">
        <v>1628</v>
      </c>
      <c r="N169" s="76">
        <f t="shared" si="19"/>
        <v>6</v>
      </c>
    </row>
    <row r="170" spans="1:14" ht="15.75" thickBot="1" x14ac:dyDescent="0.3">
      <c r="A170">
        <f t="shared" si="11"/>
        <v>1</v>
      </c>
      <c r="B170" s="18">
        <f t="shared" si="16"/>
        <v>0</v>
      </c>
      <c r="C170" t="s">
        <v>45</v>
      </c>
      <c r="D170">
        <f t="shared" si="12"/>
        <v>0</v>
      </c>
      <c r="E170" s="9">
        <f t="shared" si="13"/>
        <v>0</v>
      </c>
      <c r="F170" s="8">
        <f t="shared" si="14"/>
        <v>0</v>
      </c>
      <c r="G170" s="9">
        <f t="shared" si="15"/>
        <v>0</v>
      </c>
      <c r="H170">
        <f t="shared" si="18"/>
        <v>0</v>
      </c>
      <c r="I170" s="77" t="s">
        <v>1400</v>
      </c>
      <c r="K170" s="120">
        <f t="shared" si="17"/>
        <v>742</v>
      </c>
      <c r="M170" s="77" t="s">
        <v>1629</v>
      </c>
      <c r="N170" s="76">
        <f t="shared" si="19"/>
        <v>62</v>
      </c>
    </row>
    <row r="171" spans="1:14" ht="15.75" thickBot="1" x14ac:dyDescent="0.3">
      <c r="A171">
        <f t="shared" si="11"/>
        <v>1</v>
      </c>
      <c r="B171" s="18">
        <f t="shared" si="16"/>
        <v>5.4607203503440882</v>
      </c>
      <c r="C171" t="s">
        <v>1140</v>
      </c>
      <c r="D171">
        <f t="shared" si="12"/>
        <v>3</v>
      </c>
      <c r="E171" s="9">
        <f t="shared" si="13"/>
        <v>611</v>
      </c>
      <c r="F171" s="8">
        <f t="shared" si="14"/>
        <v>21</v>
      </c>
      <c r="G171" s="9">
        <f t="shared" si="15"/>
        <v>295</v>
      </c>
      <c r="H171">
        <f t="shared" si="18"/>
        <v>295</v>
      </c>
      <c r="I171" s="121" t="s">
        <v>1664</v>
      </c>
      <c r="K171" s="120">
        <f t="shared" si="17"/>
        <v>30</v>
      </c>
      <c r="M171" s="123"/>
      <c r="N171" s="124">
        <f>SUM(N158:N170)</f>
        <v>1751</v>
      </c>
    </row>
    <row r="172" spans="1:14" x14ac:dyDescent="0.25">
      <c r="A172">
        <f t="shared" si="11"/>
        <v>1</v>
      </c>
      <c r="B172" s="18">
        <f t="shared" si="16"/>
        <v>0.8937349182232549</v>
      </c>
      <c r="C172" s="8" t="s">
        <v>175</v>
      </c>
      <c r="D172">
        <f t="shared" si="12"/>
        <v>1</v>
      </c>
      <c r="E172" s="9">
        <f t="shared" si="13"/>
        <v>100</v>
      </c>
      <c r="F172" s="8">
        <f t="shared" si="14"/>
        <v>100</v>
      </c>
      <c r="G172" s="9">
        <f t="shared" si="15"/>
        <v>0</v>
      </c>
      <c r="H172">
        <f t="shared" si="18"/>
        <v>0</v>
      </c>
      <c r="I172" s="77" t="s">
        <v>1565</v>
      </c>
      <c r="K172" s="120">
        <f t="shared" si="17"/>
        <v>15</v>
      </c>
      <c r="N172" s="8"/>
    </row>
    <row r="173" spans="1:14" x14ac:dyDescent="0.25">
      <c r="A173">
        <f t="shared" si="11"/>
        <v>1</v>
      </c>
      <c r="B173" s="18">
        <f t="shared" si="16"/>
        <v>0.82223612476539454</v>
      </c>
      <c r="C173" s="8" t="s">
        <v>852</v>
      </c>
      <c r="D173">
        <f t="shared" si="12"/>
        <v>2</v>
      </c>
      <c r="E173" s="9">
        <f t="shared" si="13"/>
        <v>92</v>
      </c>
      <c r="F173" s="8">
        <f t="shared" si="14"/>
        <v>0</v>
      </c>
      <c r="G173" s="9">
        <f t="shared" si="15"/>
        <v>92</v>
      </c>
      <c r="H173">
        <f t="shared" si="18"/>
        <v>0</v>
      </c>
      <c r="I173" s="77" t="s">
        <v>1486</v>
      </c>
      <c r="K173" s="120">
        <f t="shared" si="17"/>
        <v>392</v>
      </c>
      <c r="N173" s="8"/>
    </row>
    <row r="174" spans="1:14" x14ac:dyDescent="0.25">
      <c r="A174">
        <f t="shared" si="11"/>
        <v>1</v>
      </c>
      <c r="B174" s="18">
        <f t="shared" si="16"/>
        <v>0.8132987755831621</v>
      </c>
      <c r="C174" s="8" t="s">
        <v>206</v>
      </c>
      <c r="D174">
        <f t="shared" si="12"/>
        <v>3</v>
      </c>
      <c r="E174" s="9">
        <f t="shared" si="13"/>
        <v>91</v>
      </c>
      <c r="F174" s="8">
        <f t="shared" si="14"/>
        <v>0</v>
      </c>
      <c r="G174" s="9">
        <f t="shared" si="15"/>
        <v>91</v>
      </c>
      <c r="H174">
        <f t="shared" si="18"/>
        <v>0</v>
      </c>
      <c r="I174" s="77" t="s">
        <v>1545</v>
      </c>
      <c r="K174" s="120">
        <f t="shared" si="17"/>
        <v>6</v>
      </c>
      <c r="N174" s="8"/>
    </row>
    <row r="175" spans="1:14" ht="15.75" thickBot="1" x14ac:dyDescent="0.3">
      <c r="A175">
        <f t="shared" si="11"/>
        <v>1</v>
      </c>
      <c r="B175" s="18">
        <f t="shared" si="16"/>
        <v>0.6613638394852086</v>
      </c>
      <c r="C175" s="8" t="s">
        <v>1616</v>
      </c>
      <c r="D175">
        <f t="shared" si="12"/>
        <v>1</v>
      </c>
      <c r="E175" s="9">
        <f t="shared" si="13"/>
        <v>74</v>
      </c>
      <c r="F175" s="8">
        <f t="shared" si="14"/>
        <v>0</v>
      </c>
      <c r="G175" s="9">
        <f t="shared" si="15"/>
        <v>74</v>
      </c>
      <c r="H175">
        <f t="shared" si="18"/>
        <v>0</v>
      </c>
      <c r="I175" s="118" t="s">
        <v>1481</v>
      </c>
      <c r="J175" s="60"/>
      <c r="K175" s="120">
        <f t="shared" si="17"/>
        <v>62</v>
      </c>
      <c r="N175" s="8"/>
    </row>
    <row r="176" spans="1:14" x14ac:dyDescent="0.25">
      <c r="A176">
        <f t="shared" si="11"/>
        <v>1</v>
      </c>
      <c r="B176" s="18">
        <f t="shared" si="16"/>
        <v>0.32174457056037181</v>
      </c>
      <c r="C176" s="8" t="s">
        <v>148</v>
      </c>
      <c r="D176">
        <f t="shared" si="12"/>
        <v>1</v>
      </c>
      <c r="E176" s="9">
        <f t="shared" si="13"/>
        <v>36</v>
      </c>
      <c r="F176" s="8">
        <f t="shared" si="14"/>
        <v>0</v>
      </c>
      <c r="G176" s="9">
        <f t="shared" si="15"/>
        <v>36</v>
      </c>
      <c r="H176">
        <f t="shared" si="18"/>
        <v>0</v>
      </c>
      <c r="K176" s="1">
        <f>SUM(K158:K175)</f>
        <v>1751</v>
      </c>
    </row>
    <row r="177" spans="1:13" x14ac:dyDescent="0.25">
      <c r="A177">
        <f t="shared" si="11"/>
        <v>1</v>
      </c>
      <c r="B177" s="18">
        <f t="shared" si="16"/>
        <v>1.4835999642506033</v>
      </c>
      <c r="C177" s="8" t="s">
        <v>166</v>
      </c>
      <c r="D177">
        <f t="shared" si="12"/>
        <v>2</v>
      </c>
      <c r="E177" s="9">
        <f t="shared" si="13"/>
        <v>166</v>
      </c>
      <c r="F177" s="8">
        <f t="shared" si="14"/>
        <v>104</v>
      </c>
      <c r="G177" s="9">
        <f t="shared" si="15"/>
        <v>0</v>
      </c>
      <c r="H177">
        <f t="shared" si="18"/>
        <v>62</v>
      </c>
    </row>
    <row r="178" spans="1:13" x14ac:dyDescent="0.25">
      <c r="A178">
        <f t="shared" si="11"/>
        <v>1</v>
      </c>
      <c r="B178" s="18">
        <f t="shared" si="16"/>
        <v>1.8857806774510679</v>
      </c>
      <c r="C178" s="8" t="s">
        <v>165</v>
      </c>
      <c r="D178">
        <f t="shared" si="12"/>
        <v>3</v>
      </c>
      <c r="E178" s="9">
        <f t="shared" si="13"/>
        <v>211</v>
      </c>
      <c r="F178" s="8">
        <f t="shared" si="14"/>
        <v>0</v>
      </c>
      <c r="G178" s="9">
        <f t="shared" si="15"/>
        <v>175</v>
      </c>
      <c r="H178">
        <f t="shared" si="18"/>
        <v>36</v>
      </c>
    </row>
    <row r="179" spans="1:13" x14ac:dyDescent="0.25">
      <c r="A179">
        <f t="shared" si="11"/>
        <v>1</v>
      </c>
      <c r="B179" s="18">
        <f t="shared" si="16"/>
        <v>0.38430601483599963</v>
      </c>
      <c r="C179" s="8" t="s">
        <v>1186</v>
      </c>
      <c r="D179">
        <f t="shared" si="12"/>
        <v>1</v>
      </c>
      <c r="E179" s="9">
        <f t="shared" si="13"/>
        <v>43</v>
      </c>
      <c r="F179" s="8">
        <f t="shared" si="14"/>
        <v>0</v>
      </c>
      <c r="G179" s="9">
        <f t="shared" si="15"/>
        <v>43</v>
      </c>
      <c r="H179">
        <f t="shared" si="18"/>
        <v>0</v>
      </c>
    </row>
    <row r="180" spans="1:13" x14ac:dyDescent="0.25">
      <c r="A180">
        <f>COUNTIF($C$157:$C$188,C180)</f>
        <v>1</v>
      </c>
      <c r="B180" s="18">
        <f>E180/$E$149*100</f>
        <v>0.65242649030297617</v>
      </c>
      <c r="C180" s="8" t="s">
        <v>161</v>
      </c>
      <c r="D180">
        <f t="shared" si="12"/>
        <v>1</v>
      </c>
      <c r="E180" s="9">
        <f t="shared" si="13"/>
        <v>73</v>
      </c>
      <c r="F180" s="8">
        <f t="shared" si="14"/>
        <v>0</v>
      </c>
      <c r="G180" s="9">
        <f t="shared" si="15"/>
        <v>73</v>
      </c>
      <c r="H180">
        <f t="shared" si="18"/>
        <v>0</v>
      </c>
    </row>
    <row r="181" spans="1:13" x14ac:dyDescent="0.25">
      <c r="A181">
        <f>COUNTIF($C$157:$C$188,C181)</f>
        <v>1</v>
      </c>
      <c r="B181" s="18">
        <f>E181/$E$149*100</f>
        <v>0.35749396728930199</v>
      </c>
      <c r="C181" s="8" t="s">
        <v>163</v>
      </c>
      <c r="D181">
        <f t="shared" si="12"/>
        <v>1</v>
      </c>
      <c r="E181" s="9">
        <f t="shared" si="13"/>
        <v>40</v>
      </c>
      <c r="F181" s="8">
        <f t="shared" si="14"/>
        <v>0</v>
      </c>
      <c r="G181" s="9">
        <f t="shared" si="15"/>
        <v>40</v>
      </c>
      <c r="H181">
        <f t="shared" si="18"/>
        <v>0</v>
      </c>
    </row>
    <row r="182" spans="1:13" x14ac:dyDescent="0.25">
      <c r="A182">
        <f>COUNTIF($C$157:$C$188,C182)</f>
        <v>1</v>
      </c>
      <c r="B182" s="18">
        <f>E182/$E$149*100</f>
        <v>4.8082938600411111</v>
      </c>
      <c r="C182" s="8" t="s">
        <v>318</v>
      </c>
      <c r="D182">
        <f t="shared" si="12"/>
        <v>4</v>
      </c>
      <c r="E182" s="9">
        <f t="shared" si="13"/>
        <v>538</v>
      </c>
      <c r="F182" s="8">
        <f t="shared" si="14"/>
        <v>0</v>
      </c>
      <c r="G182" s="9">
        <f t="shared" si="15"/>
        <v>302</v>
      </c>
      <c r="H182">
        <f t="shared" si="18"/>
        <v>236</v>
      </c>
      <c r="M182" s="17">
        <f>K176-SUM(H2:H78)-SUM(O2:O142)-SUM(U2:U78)</f>
        <v>1</v>
      </c>
    </row>
    <row r="183" spans="1:13" x14ac:dyDescent="0.25">
      <c r="A183">
        <f>COUNTIF($C$157:$C$188,C183)</f>
        <v>1</v>
      </c>
      <c r="B183" s="18">
        <f>E183/$E$149*100</f>
        <v>0</v>
      </c>
      <c r="C183" s="8" t="s">
        <v>527</v>
      </c>
      <c r="D183">
        <f t="shared" si="12"/>
        <v>0</v>
      </c>
      <c r="E183" s="9">
        <f t="shared" si="13"/>
        <v>0</v>
      </c>
      <c r="F183" s="8">
        <f t="shared" si="14"/>
        <v>0</v>
      </c>
      <c r="G183" s="9">
        <f t="shared" si="15"/>
        <v>0</v>
      </c>
      <c r="H183">
        <f t="shared" si="18"/>
        <v>0</v>
      </c>
    </row>
    <row r="184" spans="1:13" x14ac:dyDescent="0.25">
      <c r="C184" t="s">
        <v>526</v>
      </c>
      <c r="D184">
        <f t="shared" si="12"/>
        <v>1</v>
      </c>
      <c r="E184" s="9">
        <f t="shared" si="13"/>
        <v>60</v>
      </c>
      <c r="F184" s="8">
        <f t="shared" si="14"/>
        <v>0</v>
      </c>
      <c r="G184" s="9">
        <f t="shared" si="15"/>
        <v>60</v>
      </c>
    </row>
    <row r="185" spans="1:13" x14ac:dyDescent="0.25">
      <c r="C185" t="s">
        <v>1465</v>
      </c>
      <c r="D185">
        <f t="shared" si="12"/>
        <v>0</v>
      </c>
      <c r="E185" s="9">
        <f t="shared" si="13"/>
        <v>0</v>
      </c>
      <c r="F185" s="8">
        <f t="shared" si="14"/>
        <v>0</v>
      </c>
      <c r="G185" s="9">
        <f t="shared" si="15"/>
        <v>0</v>
      </c>
    </row>
    <row r="186" spans="1:13" x14ac:dyDescent="0.25">
      <c r="B186" s="18"/>
      <c r="C186" s="8" t="s">
        <v>147</v>
      </c>
      <c r="D186">
        <f t="shared" si="12"/>
        <v>0</v>
      </c>
      <c r="E186" s="9">
        <f t="shared" si="13"/>
        <v>0</v>
      </c>
      <c r="F186" s="8">
        <f t="shared" si="14"/>
        <v>0</v>
      </c>
      <c r="G186" s="9">
        <f t="shared" si="15"/>
        <v>0</v>
      </c>
    </row>
    <row r="187" spans="1:13" x14ac:dyDescent="0.25">
      <c r="B187" s="18"/>
      <c r="C187" s="8" t="s">
        <v>449</v>
      </c>
      <c r="D187">
        <f t="shared" si="12"/>
        <v>0</v>
      </c>
      <c r="E187" s="9">
        <f t="shared" si="13"/>
        <v>0</v>
      </c>
      <c r="F187" s="8">
        <f t="shared" si="14"/>
        <v>0</v>
      </c>
      <c r="G187" s="9">
        <f t="shared" si="15"/>
        <v>0</v>
      </c>
    </row>
    <row r="188" spans="1:13" x14ac:dyDescent="0.25">
      <c r="B188" s="18"/>
      <c r="C188" s="10" t="s">
        <v>320</v>
      </c>
      <c r="D188">
        <f t="shared" si="12"/>
        <v>0</v>
      </c>
      <c r="E188" s="9">
        <f t="shared" si="13"/>
        <v>0</v>
      </c>
      <c r="F188" s="8">
        <f t="shared" si="14"/>
        <v>0</v>
      </c>
      <c r="G188" s="9">
        <f t="shared" si="15"/>
        <v>0</v>
      </c>
    </row>
    <row r="189" spans="1:13" x14ac:dyDescent="0.25">
      <c r="B189" s="18">
        <f>E189/$E$149*100</f>
        <v>76.575207793368477</v>
      </c>
      <c r="E189" s="9">
        <f>SUM(E157:E188)</f>
        <v>8568</v>
      </c>
      <c r="F189" s="13">
        <f>SUM(F157:F188)</f>
        <v>568</v>
      </c>
      <c r="G189" s="15">
        <f>SUM(G157:G188)</f>
        <v>7190</v>
      </c>
    </row>
    <row r="190" spans="1:13" x14ac:dyDescent="0.25">
      <c r="B190" s="18">
        <f>E190/$E$149*100</f>
        <v>23.424792206631512</v>
      </c>
      <c r="E190" s="9">
        <f>E149-E189</f>
        <v>2621</v>
      </c>
      <c r="F190" s="10" t="s">
        <v>389</v>
      </c>
      <c r="G190" s="12">
        <f>E149-F189-G189</f>
        <v>3431</v>
      </c>
    </row>
    <row r="192" spans="1:13" x14ac:dyDescent="0.25">
      <c r="C192" s="13"/>
      <c r="D192" s="14" t="s">
        <v>93</v>
      </c>
      <c r="E192" s="15" t="s">
        <v>94</v>
      </c>
    </row>
    <row r="193" spans="2:7" x14ac:dyDescent="0.25">
      <c r="C193" s="8" t="s">
        <v>402</v>
      </c>
      <c r="D193">
        <f>SUMIFS($D$2:$D$146,$E$2:$E$146,D$192,$F$2:$F$146,"&lt;5.1")</f>
        <v>0</v>
      </c>
      <c r="E193" s="9">
        <f>SUMIFS($D$2:$D$135,$E$2:$E$135,E$192,$F$2:$F$135,"&lt;5.1")</f>
        <v>0</v>
      </c>
      <c r="F193" s="3">
        <f>SUMIFS(D2:D135,E2:E135,E192,F2:F135,"&lt;5,1")</f>
        <v>194</v>
      </c>
      <c r="G193" s="3"/>
    </row>
    <row r="194" spans="2:7" x14ac:dyDescent="0.25">
      <c r="C194" s="29" t="s">
        <v>403</v>
      </c>
      <c r="D194">
        <f>SUMIFS($D$2:$D$146,$E$2:$E$146,D$192,$F$2:$F$146,"&lt;10.1")-D193</f>
        <v>0</v>
      </c>
      <c r="E194" s="9">
        <f>SUMIFS($D$2:$D$146,$E$2:$E$146,E$192,$F$2:$F$146,"&lt;10.1")-E193</f>
        <v>0</v>
      </c>
      <c r="G194" s="18"/>
    </row>
    <row r="195" spans="2:7" x14ac:dyDescent="0.25">
      <c r="C195" s="29" t="s">
        <v>404</v>
      </c>
      <c r="D195">
        <f>SUMIFS($D$2:$D$146,$E$2:$E$146,D$192,$F$2:$F$146,"&lt;15.1")-D194-D193</f>
        <v>0</v>
      </c>
      <c r="E195" s="9">
        <f>SUMIFS($D$2:$D$146,$E$2:$E$146,E$192,$F$2:$F$146,"&lt;15.1")-E194-E193</f>
        <v>0</v>
      </c>
    </row>
    <row r="196" spans="2:7" x14ac:dyDescent="0.25">
      <c r="C196" s="29" t="s">
        <v>102</v>
      </c>
      <c r="D196">
        <f>SUMIFS($D$2:$D$146,$E$2:$E$146,D$192,$F$2:$F$146,"&lt;20.1")-D195-D194-D193</f>
        <v>0</v>
      </c>
      <c r="E196" s="9">
        <f>SUMIFS($D$2:$D$146,$E$2:$E$146,E$192,$F$2:$F$146,"&lt;20.1")-E195-E194-E193</f>
        <v>0</v>
      </c>
      <c r="G196" s="18"/>
    </row>
    <row r="197" spans="2:7" x14ac:dyDescent="0.25">
      <c r="C197" s="8" t="s">
        <v>405</v>
      </c>
      <c r="D197">
        <f>SUMIFS($D$2:$D$146,$E$2:$E$146,D$192,$F$2:$F$146,"&lt;40.1")-D196-D195-D194-D193</f>
        <v>0</v>
      </c>
      <c r="E197" s="9">
        <f>SUMIFS($D$2:$D$146,$E$2:$E$146,E$192,$F$2:$F$146,"&lt;40.1")-E196-E195-E194-E193</f>
        <v>0</v>
      </c>
      <c r="G197" s="18"/>
    </row>
    <row r="198" spans="2:7" x14ac:dyDescent="0.25">
      <c r="C198" s="10" t="s">
        <v>406</v>
      </c>
      <c r="D198" s="11">
        <f>E152-SUM(D193:D197)</f>
        <v>568</v>
      </c>
      <c r="E198" s="12">
        <f>E151-SUM(E193:E197)</f>
        <v>7190</v>
      </c>
    </row>
    <row r="199" spans="2:7" x14ac:dyDescent="0.25">
      <c r="C199" s="25"/>
      <c r="D199" s="18"/>
      <c r="E199" s="18"/>
    </row>
    <row r="200" spans="2:7" x14ac:dyDescent="0.25">
      <c r="B200" s="3" t="s">
        <v>1495</v>
      </c>
      <c r="C200" t="s">
        <v>1492</v>
      </c>
      <c r="E200" s="24">
        <f>AVERAGE(F2:F135)</f>
        <v>20.696428571428573</v>
      </c>
    </row>
    <row r="201" spans="2:7" x14ac:dyDescent="0.25">
      <c r="C201" t="s">
        <v>1499</v>
      </c>
      <c r="E201" s="24">
        <f>SUMPRODUCT(F2:F135,D2:D135)/SUM(D2:D113)</f>
        <v>6.1513660546421853</v>
      </c>
    </row>
    <row r="203" spans="2:7" x14ac:dyDescent="0.25">
      <c r="B203" s="3" t="s">
        <v>1496</v>
      </c>
      <c r="C203" t="s">
        <v>1491</v>
      </c>
      <c r="E203" s="24">
        <f>AVERAGE(J2:J135)</f>
        <v>145.85915492957747</v>
      </c>
    </row>
    <row r="204" spans="2:7" x14ac:dyDescent="0.25">
      <c r="C204" t="s">
        <v>1493</v>
      </c>
      <c r="E204" s="24">
        <f>SUMPRODUCT(J2:J135,D2:D135)/SUM(D2:D113)</f>
        <v>52.004520180807233</v>
      </c>
    </row>
    <row r="205" spans="2:7" x14ac:dyDescent="0.25">
      <c r="C205" t="s">
        <v>1494</v>
      </c>
      <c r="E205" s="24">
        <f>SUMPRODUCT(J2:J135,H2:H135)/SUM(H2:H113)</f>
        <v>149.29066985645932</v>
      </c>
    </row>
    <row r="207" spans="2:7" x14ac:dyDescent="0.25">
      <c r="B207" s="3" t="s">
        <v>1497</v>
      </c>
      <c r="C207" t="s">
        <v>1498</v>
      </c>
      <c r="E207" s="24">
        <f>AVERAGE(K2:K135)</f>
        <v>4.9154929577464772</v>
      </c>
    </row>
    <row r="208" spans="2:7" x14ac:dyDescent="0.25">
      <c r="C208" t="s">
        <v>1493</v>
      </c>
      <c r="E208" s="24">
        <f>SUMPRODUCT(K2:K135,D2:D135)/SUM(D2:D113)</f>
        <v>1.8051562062482498</v>
      </c>
    </row>
    <row r="209" spans="2:8" x14ac:dyDescent="0.25">
      <c r="C209" t="s">
        <v>1500</v>
      </c>
      <c r="E209" s="24">
        <f>SUMPRODUCT(K2:K135,H2:H135)/SUM(H2:H113)</f>
        <v>4.9308612440191384</v>
      </c>
    </row>
    <row r="212" spans="2:8" x14ac:dyDescent="0.25">
      <c r="B212" s="36" t="s">
        <v>1643</v>
      </c>
      <c r="C212" s="97" t="s">
        <v>149</v>
      </c>
      <c r="D212" s="37" t="s">
        <v>1644</v>
      </c>
      <c r="E212" s="37" t="s">
        <v>130</v>
      </c>
      <c r="F212" s="38" t="s">
        <v>1645</v>
      </c>
    </row>
    <row r="213" spans="2:8" x14ac:dyDescent="0.25">
      <c r="B213" s="13" t="s">
        <v>1638</v>
      </c>
      <c r="C213" s="14" t="s">
        <v>137</v>
      </c>
      <c r="D213" s="14">
        <f>COUNTIF(C$2:C$132,C213)</f>
        <v>2</v>
      </c>
      <c r="E213" s="14">
        <f>SUMIF(C$2:C$132,C213,D$2:D$132)</f>
        <v>105</v>
      </c>
      <c r="F213" s="15">
        <f>SUMIF(C$2:C$132,C213,O$2:O$132)+SUMIF(C$2:C$132,C213,U$2:U$132)+SUMIF(C$2:C$132,C213,H$2:H$132)</f>
        <v>38</v>
      </c>
    </row>
    <row r="214" spans="2:8" x14ac:dyDescent="0.25">
      <c r="B214" s="8" t="s">
        <v>1638</v>
      </c>
      <c r="C214" t="s">
        <v>605</v>
      </c>
      <c r="D214">
        <f t="shared" ref="D214:D236" si="20">COUNTIF(C$2:C$132,C214)</f>
        <v>2</v>
      </c>
      <c r="E214">
        <f t="shared" ref="E214:E236" si="21">SUMIF(C$2:C$132,C214,D$2:D$132)</f>
        <v>79</v>
      </c>
      <c r="F214" s="9">
        <f t="shared" ref="F214:F236" si="22">SUMIF(C$2:C$132,C214,O$2:O$132)+SUMIF(C$2:C$132,C214,U$2:U$132)+SUMIF(C$2:C$132,C214,H$2:H$132)</f>
        <v>20</v>
      </c>
    </row>
    <row r="215" spans="2:8" x14ac:dyDescent="0.25">
      <c r="B215" s="8" t="s">
        <v>1638</v>
      </c>
      <c r="C215" t="s">
        <v>1140</v>
      </c>
      <c r="D215">
        <f t="shared" si="20"/>
        <v>3</v>
      </c>
      <c r="E215">
        <f t="shared" si="21"/>
        <v>611</v>
      </c>
      <c r="F215" s="9">
        <f t="shared" si="22"/>
        <v>67</v>
      </c>
    </row>
    <row r="216" spans="2:8" x14ac:dyDescent="0.25">
      <c r="B216" s="10" t="s">
        <v>1638</v>
      </c>
      <c r="C216" s="11" t="s">
        <v>175</v>
      </c>
      <c r="D216" s="11">
        <f t="shared" si="20"/>
        <v>1</v>
      </c>
      <c r="E216" s="11">
        <f t="shared" si="21"/>
        <v>100</v>
      </c>
      <c r="F216" s="12">
        <f t="shared" si="22"/>
        <v>24</v>
      </c>
      <c r="G216">
        <f>SUM(E213:E216)</f>
        <v>895</v>
      </c>
      <c r="H216" s="34">
        <f>G216/E$237</f>
        <v>0.10445845004668534</v>
      </c>
    </row>
    <row r="217" spans="2:8" x14ac:dyDescent="0.25">
      <c r="B217" s="13" t="s">
        <v>1641</v>
      </c>
      <c r="C217" s="14" t="s">
        <v>144</v>
      </c>
      <c r="D217" s="14">
        <f t="shared" si="20"/>
        <v>3</v>
      </c>
      <c r="E217" s="14">
        <f t="shared" si="21"/>
        <v>1084</v>
      </c>
      <c r="F217" s="15">
        <f t="shared" si="22"/>
        <v>182</v>
      </c>
    </row>
    <row r="218" spans="2:8" x14ac:dyDescent="0.25">
      <c r="B218" s="10" t="s">
        <v>1641</v>
      </c>
      <c r="C218" s="11" t="s">
        <v>1186</v>
      </c>
      <c r="D218" s="11">
        <f t="shared" si="20"/>
        <v>1</v>
      </c>
      <c r="E218" s="11">
        <f t="shared" si="21"/>
        <v>43</v>
      </c>
      <c r="F218" s="12">
        <f t="shared" si="22"/>
        <v>10</v>
      </c>
      <c r="G218">
        <f>SUM(E217:E218)</f>
        <v>1127</v>
      </c>
      <c r="H218" s="34">
        <f>G218/E$237</f>
        <v>0.13153594771241831</v>
      </c>
    </row>
    <row r="219" spans="2:8" x14ac:dyDescent="0.25">
      <c r="B219" s="13" t="s">
        <v>1639</v>
      </c>
      <c r="C219" s="14" t="s">
        <v>163</v>
      </c>
      <c r="D219" s="14">
        <f t="shared" si="20"/>
        <v>1</v>
      </c>
      <c r="E219" s="14">
        <f t="shared" si="21"/>
        <v>40</v>
      </c>
      <c r="F219" s="15">
        <f t="shared" si="22"/>
        <v>11</v>
      </c>
    </row>
    <row r="220" spans="2:8" x14ac:dyDescent="0.25">
      <c r="B220" s="8" t="s">
        <v>1639</v>
      </c>
      <c r="C220" t="s">
        <v>1541</v>
      </c>
      <c r="D220">
        <f t="shared" si="20"/>
        <v>2</v>
      </c>
      <c r="E220">
        <f t="shared" si="21"/>
        <v>60</v>
      </c>
      <c r="F220" s="9">
        <f t="shared" si="22"/>
        <v>14</v>
      </c>
    </row>
    <row r="221" spans="2:8" x14ac:dyDescent="0.25">
      <c r="B221" s="8" t="s">
        <v>1639</v>
      </c>
      <c r="C221" t="s">
        <v>318</v>
      </c>
      <c r="D221">
        <f t="shared" si="20"/>
        <v>4</v>
      </c>
      <c r="E221">
        <f t="shared" si="21"/>
        <v>538</v>
      </c>
      <c r="F221" s="9">
        <f t="shared" si="22"/>
        <v>90</v>
      </c>
    </row>
    <row r="222" spans="2:8" x14ac:dyDescent="0.25">
      <c r="B222" s="8" t="s">
        <v>1639</v>
      </c>
      <c r="C222" t="s">
        <v>206</v>
      </c>
      <c r="D222">
        <f t="shared" si="20"/>
        <v>3</v>
      </c>
      <c r="E222">
        <f t="shared" si="21"/>
        <v>91</v>
      </c>
      <c r="F222" s="9">
        <f t="shared" si="22"/>
        <v>13</v>
      </c>
    </row>
    <row r="223" spans="2:8" x14ac:dyDescent="0.25">
      <c r="B223" s="8" t="s">
        <v>1639</v>
      </c>
      <c r="C223" t="s">
        <v>138</v>
      </c>
      <c r="D223">
        <f t="shared" si="20"/>
        <v>2</v>
      </c>
      <c r="E223">
        <f t="shared" si="21"/>
        <v>116</v>
      </c>
      <c r="F223" s="9">
        <f t="shared" si="22"/>
        <v>20</v>
      </c>
    </row>
    <row r="224" spans="2:8" x14ac:dyDescent="0.25">
      <c r="B224" s="8" t="s">
        <v>1639</v>
      </c>
      <c r="C224" t="s">
        <v>162</v>
      </c>
      <c r="D224">
        <f t="shared" si="20"/>
        <v>2</v>
      </c>
      <c r="E224">
        <f t="shared" si="21"/>
        <v>182</v>
      </c>
      <c r="F224" s="9">
        <f t="shared" si="22"/>
        <v>30</v>
      </c>
    </row>
    <row r="225" spans="2:8" x14ac:dyDescent="0.25">
      <c r="B225" s="8" t="s">
        <v>1639</v>
      </c>
      <c r="C225" t="s">
        <v>526</v>
      </c>
      <c r="D225">
        <f t="shared" si="20"/>
        <v>1</v>
      </c>
      <c r="E225">
        <f t="shared" si="21"/>
        <v>60</v>
      </c>
      <c r="F225" s="9">
        <f t="shared" si="22"/>
        <v>10</v>
      </c>
    </row>
    <row r="226" spans="2:8" x14ac:dyDescent="0.25">
      <c r="B226" s="8" t="s">
        <v>1639</v>
      </c>
      <c r="C226" t="s">
        <v>148</v>
      </c>
      <c r="D226">
        <f t="shared" si="20"/>
        <v>1</v>
      </c>
      <c r="E226">
        <f t="shared" si="21"/>
        <v>36</v>
      </c>
      <c r="F226" s="9">
        <f t="shared" si="22"/>
        <v>8</v>
      </c>
    </row>
    <row r="227" spans="2:8" x14ac:dyDescent="0.25">
      <c r="B227" s="8" t="s">
        <v>1639</v>
      </c>
      <c r="C227" t="s">
        <v>146</v>
      </c>
      <c r="D227">
        <f t="shared" si="20"/>
        <v>11</v>
      </c>
      <c r="E227">
        <f t="shared" si="21"/>
        <v>578</v>
      </c>
      <c r="F227" s="9">
        <f t="shared" si="22"/>
        <v>138</v>
      </c>
    </row>
    <row r="228" spans="2:8" x14ac:dyDescent="0.25">
      <c r="B228" s="8" t="s">
        <v>1639</v>
      </c>
      <c r="C228" t="s">
        <v>1616</v>
      </c>
      <c r="D228">
        <f t="shared" si="20"/>
        <v>1</v>
      </c>
      <c r="E228">
        <f t="shared" si="21"/>
        <v>74</v>
      </c>
      <c r="F228" s="9">
        <f t="shared" si="22"/>
        <v>12</v>
      </c>
    </row>
    <row r="229" spans="2:8" x14ac:dyDescent="0.25">
      <c r="B229" s="8" t="s">
        <v>1639</v>
      </c>
      <c r="C229" t="s">
        <v>161</v>
      </c>
      <c r="D229">
        <f t="shared" si="20"/>
        <v>1</v>
      </c>
      <c r="E229">
        <f t="shared" si="21"/>
        <v>73</v>
      </c>
      <c r="F229" s="9">
        <f t="shared" si="22"/>
        <v>33</v>
      </c>
    </row>
    <row r="230" spans="2:8" x14ac:dyDescent="0.25">
      <c r="B230" s="8" t="s">
        <v>1639</v>
      </c>
      <c r="C230" t="s">
        <v>852</v>
      </c>
      <c r="D230">
        <f t="shared" si="20"/>
        <v>2</v>
      </c>
      <c r="E230">
        <f t="shared" si="21"/>
        <v>92</v>
      </c>
      <c r="F230" s="9">
        <f t="shared" si="22"/>
        <v>21</v>
      </c>
    </row>
    <row r="231" spans="2:8" x14ac:dyDescent="0.25">
      <c r="B231" s="8" t="s">
        <v>1639</v>
      </c>
      <c r="C231" t="s">
        <v>166</v>
      </c>
      <c r="D231">
        <f t="shared" si="20"/>
        <v>2</v>
      </c>
      <c r="E231">
        <f t="shared" si="21"/>
        <v>166</v>
      </c>
      <c r="F231" s="9">
        <f t="shared" si="22"/>
        <v>37</v>
      </c>
    </row>
    <row r="232" spans="2:8" x14ac:dyDescent="0.25">
      <c r="B232" s="8" t="s">
        <v>1639</v>
      </c>
      <c r="C232" t="s">
        <v>140</v>
      </c>
      <c r="D232">
        <f t="shared" si="20"/>
        <v>3</v>
      </c>
      <c r="E232">
        <f t="shared" si="21"/>
        <v>184</v>
      </c>
      <c r="F232" s="9">
        <f t="shared" si="22"/>
        <v>35</v>
      </c>
    </row>
    <row r="233" spans="2:8" x14ac:dyDescent="0.25">
      <c r="B233" s="10" t="s">
        <v>1639</v>
      </c>
      <c r="C233" s="11" t="s">
        <v>165</v>
      </c>
      <c r="D233" s="11">
        <f t="shared" si="20"/>
        <v>3</v>
      </c>
      <c r="E233" s="11">
        <f t="shared" si="21"/>
        <v>211</v>
      </c>
      <c r="F233" s="12">
        <f t="shared" si="22"/>
        <v>47</v>
      </c>
      <c r="G233">
        <f>SUM(E219:E233)</f>
        <v>2501</v>
      </c>
      <c r="H233" s="34">
        <f>G233/E$237</f>
        <v>0.29190009337068162</v>
      </c>
    </row>
    <row r="234" spans="2:8" x14ac:dyDescent="0.25">
      <c r="B234" s="32" t="s">
        <v>1419</v>
      </c>
      <c r="C234" s="95" t="s">
        <v>1247</v>
      </c>
      <c r="D234" s="95">
        <f t="shared" si="20"/>
        <v>10</v>
      </c>
      <c r="E234" s="95">
        <f t="shared" si="21"/>
        <v>1879</v>
      </c>
      <c r="F234" s="98">
        <f t="shared" si="22"/>
        <v>408</v>
      </c>
      <c r="G234">
        <f>E234</f>
        <v>1879</v>
      </c>
      <c r="H234" s="34">
        <f>G234/E$237</f>
        <v>0.21930438842203548</v>
      </c>
    </row>
    <row r="235" spans="2:8" x14ac:dyDescent="0.25">
      <c r="B235" s="13" t="s">
        <v>1640</v>
      </c>
      <c r="C235" s="14" t="s">
        <v>27</v>
      </c>
      <c r="D235" s="14">
        <f t="shared" si="20"/>
        <v>3</v>
      </c>
      <c r="E235" s="14">
        <f t="shared" si="21"/>
        <v>270</v>
      </c>
      <c r="F235" s="15">
        <f t="shared" si="22"/>
        <v>61</v>
      </c>
    </row>
    <row r="236" spans="2:8" x14ac:dyDescent="0.25">
      <c r="B236" s="10" t="s">
        <v>1640</v>
      </c>
      <c r="C236" s="11" t="s">
        <v>141</v>
      </c>
      <c r="D236" s="11">
        <f t="shared" si="20"/>
        <v>7</v>
      </c>
      <c r="E236" s="11">
        <f t="shared" si="21"/>
        <v>1896</v>
      </c>
      <c r="F236" s="12">
        <f t="shared" si="22"/>
        <v>421</v>
      </c>
      <c r="G236">
        <f>E236+E235</f>
        <v>2166</v>
      </c>
      <c r="H236" s="34">
        <f>G236/E$237</f>
        <v>0.25280112044817926</v>
      </c>
    </row>
    <row r="237" spans="2:8" x14ac:dyDescent="0.25">
      <c r="E237">
        <f>SUM(E213:E236)</f>
        <v>8568</v>
      </c>
    </row>
    <row r="264" spans="5:5" x14ac:dyDescent="0.25">
      <c r="E264" s="17"/>
    </row>
    <row r="265" spans="5:5" ht="20.25" customHeight="1" x14ac:dyDescent="0.25"/>
  </sheetData>
  <sortState xmlns:xlrd2="http://schemas.microsoft.com/office/spreadsheetml/2017/richdata2" ref="I158:K175">
    <sortCondition ref="I158:I175"/>
  </sortState>
  <phoneticPr fontId="6" type="noConversion"/>
  <conditionalFormatting sqref="AK2:AK72 AI2:AJ82">
    <cfRule type="cellIs" dxfId="2" priority="1" operator="equal">
      <formula>1</formula>
    </cfRule>
  </conditionalFormatting>
  <pageMargins left="0.7" right="0.7" top="0.75" bottom="0.75" header="0.3" footer="0.3"/>
  <pageSetup paperSize="9" orientation="portrait" r:id="rId1"/>
  <headerFooter>
    <oddFooter>&amp;L&amp;1#&amp;"Arial"&amp;8&amp;KD5DAD9</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AC9B3-2260-4F33-BC9D-AB53750273A2}">
  <dimension ref="A1:AK241"/>
  <sheetViews>
    <sheetView zoomScaleNormal="100" workbookViewId="0">
      <pane xSplit="4" ySplit="1" topLeftCell="E136" activePane="bottomRight" state="frozen"/>
      <selection pane="topRight" activeCell="E1" sqref="E1"/>
      <selection pane="bottomLeft" activeCell="A2" sqref="A2"/>
      <selection pane="bottomRight" activeCell="F1" sqref="F1"/>
    </sheetView>
  </sheetViews>
  <sheetFormatPr defaultRowHeight="15" x14ac:dyDescent="0.25"/>
  <cols>
    <col min="2" max="3" width="13.7109375" customWidth="1"/>
    <col min="4" max="4" width="10.7109375" customWidth="1"/>
    <col min="5" max="5" width="13.7109375" customWidth="1"/>
    <col min="6" max="6" width="8.28515625" customWidth="1"/>
    <col min="7" max="7" width="13.7109375" customWidth="1"/>
    <col min="8" max="8" width="8" customWidth="1"/>
    <col min="9" max="9" width="13.7109375" customWidth="1"/>
    <col min="10" max="10" width="6" bestFit="1" customWidth="1"/>
    <col min="11" max="11" width="7.85546875" customWidth="1"/>
    <col min="12" max="12" width="12" bestFit="1" customWidth="1"/>
    <col min="13" max="13" width="11" customWidth="1"/>
    <col min="14" max="14" width="8.7109375" customWidth="1"/>
    <col min="15" max="15" width="4.140625" customWidth="1"/>
    <col min="16" max="16" width="15.140625" customWidth="1"/>
    <col min="17" max="17" width="6" bestFit="1" customWidth="1"/>
    <col min="18" max="18" width="4.7109375" bestFit="1" customWidth="1"/>
    <col min="19" max="19" width="10.7109375" customWidth="1"/>
    <col min="20" max="20" width="9" customWidth="1"/>
    <col min="21" max="21" width="4.42578125" customWidth="1"/>
    <col min="22" max="22" width="13.28515625" bestFit="1" customWidth="1"/>
    <col min="23" max="23" width="5" customWidth="1"/>
    <col min="24" max="24" width="6.5703125" customWidth="1"/>
    <col min="29" max="29" width="3" customWidth="1"/>
    <col min="30" max="30" width="3.42578125" customWidth="1"/>
  </cols>
  <sheetData>
    <row r="1" spans="2:37" x14ac:dyDescent="0.25">
      <c r="B1" s="3" t="s">
        <v>86</v>
      </c>
      <c r="C1" s="3" t="s">
        <v>87</v>
      </c>
      <c r="D1" s="3" t="s">
        <v>88</v>
      </c>
      <c r="E1" s="3" t="s">
        <v>98</v>
      </c>
      <c r="F1" s="3" t="s">
        <v>100</v>
      </c>
      <c r="G1" s="3" t="s">
        <v>89</v>
      </c>
      <c r="H1" s="3" t="s">
        <v>91</v>
      </c>
      <c r="I1" s="3" t="s">
        <v>90</v>
      </c>
      <c r="J1" s="3" t="s">
        <v>131</v>
      </c>
      <c r="K1" s="3" t="s">
        <v>130</v>
      </c>
      <c r="L1" s="3" t="s">
        <v>103</v>
      </c>
      <c r="M1" s="3" t="s">
        <v>101</v>
      </c>
      <c r="N1" s="3" t="s">
        <v>107</v>
      </c>
      <c r="O1" s="3" t="s">
        <v>91</v>
      </c>
      <c r="P1" s="3" t="s">
        <v>105</v>
      </c>
      <c r="Q1" s="3" t="s">
        <v>131</v>
      </c>
      <c r="R1" s="3" t="s">
        <v>130</v>
      </c>
      <c r="S1" s="3" t="s">
        <v>103</v>
      </c>
      <c r="T1" s="3" t="s">
        <v>101</v>
      </c>
      <c r="U1" s="3" t="s">
        <v>91</v>
      </c>
      <c r="V1" s="3" t="s">
        <v>105</v>
      </c>
      <c r="W1" s="3" t="s">
        <v>131</v>
      </c>
      <c r="X1" s="3" t="s">
        <v>130</v>
      </c>
      <c r="Z1" s="3" t="s">
        <v>601</v>
      </c>
      <c r="AA1" s="3" t="s">
        <v>1630</v>
      </c>
      <c r="AB1" s="3" t="s">
        <v>1631</v>
      </c>
      <c r="AC1" s="3" t="s">
        <v>1632</v>
      </c>
      <c r="AD1" s="3" t="s">
        <v>1633</v>
      </c>
      <c r="AF1" s="3" t="s">
        <v>1794</v>
      </c>
    </row>
    <row r="2" spans="2:37" x14ac:dyDescent="0.25">
      <c r="B2" t="s">
        <v>1432</v>
      </c>
      <c r="C2" t="s">
        <v>165</v>
      </c>
      <c r="D2">
        <v>36</v>
      </c>
      <c r="E2" t="s">
        <v>94</v>
      </c>
      <c r="G2" t="s">
        <v>1359</v>
      </c>
      <c r="H2" s="1">
        <v>10</v>
      </c>
      <c r="I2" t="s">
        <v>112</v>
      </c>
      <c r="J2">
        <v>112</v>
      </c>
      <c r="K2">
        <v>3.6</v>
      </c>
      <c r="L2" t="s">
        <v>566</v>
      </c>
      <c r="AA2">
        <v>3</v>
      </c>
      <c r="AB2">
        <v>2022</v>
      </c>
      <c r="AC2">
        <f t="shared" ref="AC2:AC7" si="0">COUNTIF($I$146:$I$176,I2)</f>
        <v>1</v>
      </c>
      <c r="AD2">
        <f t="shared" ref="AD2:AD7" si="1">COUNTIF($C$145:$C$176,C2)</f>
        <v>1</v>
      </c>
      <c r="AE2">
        <f>COUNTIF($C$213:$C$245,C2)</f>
        <v>1</v>
      </c>
      <c r="AF2">
        <f>_xlfn.DAYS(DATE(AB2,AA2*3-2,1),DATE(RIGHT(B2,4),MID(B2,4,2),LEFT(B2,2)))</f>
        <v>513</v>
      </c>
    </row>
    <row r="3" spans="2:37" x14ac:dyDescent="0.25">
      <c r="B3" t="s">
        <v>1432</v>
      </c>
      <c r="C3" t="s">
        <v>162</v>
      </c>
      <c r="D3">
        <v>75</v>
      </c>
      <c r="E3" t="s">
        <v>94</v>
      </c>
      <c r="F3">
        <v>20</v>
      </c>
      <c r="G3" t="s">
        <v>1441</v>
      </c>
      <c r="H3" s="1">
        <v>21</v>
      </c>
      <c r="I3" t="s">
        <v>108</v>
      </c>
      <c r="J3">
        <v>136</v>
      </c>
      <c r="K3">
        <v>3.6</v>
      </c>
      <c r="L3" t="s">
        <v>566</v>
      </c>
      <c r="AA3">
        <v>1</v>
      </c>
      <c r="AB3">
        <v>2022</v>
      </c>
      <c r="AC3">
        <f t="shared" si="0"/>
        <v>1</v>
      </c>
      <c r="AD3">
        <f t="shared" si="1"/>
        <v>1</v>
      </c>
      <c r="AE3">
        <f t="shared" ref="AE3:AE66" si="2">COUNTIF($C$213:$C$245,C3)</f>
        <v>1</v>
      </c>
      <c r="AF3">
        <f t="shared" ref="AF3:AF66" si="3">_xlfn.DAYS(DATE(AB3,AA3*3-2,1),DATE(RIGHT(B3,4),MID(B3,4,2),LEFT(B3,2)))</f>
        <v>332</v>
      </c>
    </row>
    <row r="4" spans="2:37" x14ac:dyDescent="0.25">
      <c r="B4" t="s">
        <v>1433</v>
      </c>
      <c r="C4" t="s">
        <v>161</v>
      </c>
      <c r="D4">
        <v>30</v>
      </c>
      <c r="E4" t="s">
        <v>94</v>
      </c>
      <c r="F4">
        <v>10</v>
      </c>
      <c r="H4" s="1">
        <v>15</v>
      </c>
      <c r="I4" t="s">
        <v>110</v>
      </c>
      <c r="J4">
        <v>110</v>
      </c>
      <c r="K4">
        <v>2</v>
      </c>
      <c r="S4" s="4"/>
      <c r="AA4">
        <v>1</v>
      </c>
      <c r="AB4">
        <v>2022</v>
      </c>
      <c r="AC4">
        <f t="shared" si="0"/>
        <v>1</v>
      </c>
      <c r="AD4">
        <f t="shared" si="1"/>
        <v>1</v>
      </c>
      <c r="AE4">
        <f t="shared" si="2"/>
        <v>1</v>
      </c>
      <c r="AF4">
        <f t="shared" si="3"/>
        <v>331</v>
      </c>
    </row>
    <row r="5" spans="2:37" x14ac:dyDescent="0.25">
      <c r="B5" t="s">
        <v>1434</v>
      </c>
      <c r="C5" t="s">
        <v>146</v>
      </c>
      <c r="D5">
        <v>29</v>
      </c>
      <c r="E5" t="s">
        <v>93</v>
      </c>
      <c r="F5">
        <v>10</v>
      </c>
      <c r="H5" s="1">
        <v>8</v>
      </c>
      <c r="I5" t="s">
        <v>108</v>
      </c>
      <c r="J5">
        <v>136</v>
      </c>
      <c r="K5">
        <v>3.6</v>
      </c>
      <c r="L5" t="s">
        <v>566</v>
      </c>
      <c r="AA5">
        <v>4</v>
      </c>
      <c r="AB5">
        <v>2021</v>
      </c>
      <c r="AC5">
        <f t="shared" si="0"/>
        <v>1</v>
      </c>
      <c r="AD5">
        <f t="shared" si="1"/>
        <v>1</v>
      </c>
      <c r="AE5">
        <f t="shared" si="2"/>
        <v>1</v>
      </c>
      <c r="AF5">
        <f t="shared" si="3"/>
        <v>235</v>
      </c>
    </row>
    <row r="6" spans="2:37" x14ac:dyDescent="0.25">
      <c r="B6" t="s">
        <v>1435</v>
      </c>
      <c r="C6" t="s">
        <v>69</v>
      </c>
      <c r="D6">
        <v>126</v>
      </c>
      <c r="E6" t="s">
        <v>94</v>
      </c>
      <c r="F6">
        <v>20</v>
      </c>
      <c r="G6" t="s">
        <v>541</v>
      </c>
      <c r="H6" s="1">
        <v>21</v>
      </c>
      <c r="I6" t="s">
        <v>1404</v>
      </c>
      <c r="J6">
        <v>162</v>
      </c>
      <c r="K6">
        <v>6</v>
      </c>
      <c r="AA6">
        <v>2</v>
      </c>
      <c r="AB6">
        <v>2022</v>
      </c>
      <c r="AC6">
        <f t="shared" si="0"/>
        <v>1</v>
      </c>
      <c r="AD6">
        <f t="shared" si="1"/>
        <v>1</v>
      </c>
      <c r="AE6">
        <f t="shared" si="2"/>
        <v>1</v>
      </c>
      <c r="AF6">
        <f t="shared" si="3"/>
        <v>396</v>
      </c>
    </row>
    <row r="7" spans="2:37" x14ac:dyDescent="0.25">
      <c r="B7" t="s">
        <v>1435</v>
      </c>
      <c r="C7" t="s">
        <v>140</v>
      </c>
      <c r="D7">
        <v>67</v>
      </c>
      <c r="E7" t="s">
        <v>94</v>
      </c>
      <c r="F7">
        <v>30</v>
      </c>
      <c r="G7" t="s">
        <v>1442</v>
      </c>
      <c r="H7" s="1">
        <v>12</v>
      </c>
      <c r="I7" t="s">
        <v>1220</v>
      </c>
      <c r="J7">
        <v>162</v>
      </c>
      <c r="K7">
        <v>6.5</v>
      </c>
      <c r="AA7">
        <v>2</v>
      </c>
      <c r="AB7">
        <v>2022</v>
      </c>
      <c r="AC7">
        <f t="shared" si="0"/>
        <v>1</v>
      </c>
      <c r="AD7">
        <f t="shared" si="1"/>
        <v>1</v>
      </c>
      <c r="AE7">
        <f t="shared" si="2"/>
        <v>1</v>
      </c>
      <c r="AF7">
        <f t="shared" si="3"/>
        <v>396</v>
      </c>
    </row>
    <row r="8" spans="2:37" x14ac:dyDescent="0.25">
      <c r="B8" t="s">
        <v>1436</v>
      </c>
      <c r="C8" t="s">
        <v>161</v>
      </c>
      <c r="D8">
        <v>56</v>
      </c>
      <c r="E8" t="s">
        <v>94</v>
      </c>
      <c r="F8">
        <v>20</v>
      </c>
      <c r="G8" t="s">
        <v>1443</v>
      </c>
      <c r="H8" s="1">
        <v>16</v>
      </c>
      <c r="I8" t="s">
        <v>109</v>
      </c>
      <c r="J8">
        <v>126</v>
      </c>
      <c r="K8">
        <v>3.5</v>
      </c>
      <c r="L8" t="s">
        <v>1406</v>
      </c>
      <c r="AA8">
        <v>1</v>
      </c>
      <c r="AB8">
        <v>2022</v>
      </c>
      <c r="AC8">
        <f t="shared" ref="AC8:AC39" si="4">COUNTIF($I$146:$I$176,I8)</f>
        <v>1</v>
      </c>
      <c r="AD8">
        <f t="shared" ref="AD8:AD39" si="5">COUNTIF($C$145:$C$176,C8)</f>
        <v>1</v>
      </c>
      <c r="AE8">
        <f t="shared" si="2"/>
        <v>1</v>
      </c>
      <c r="AF8">
        <f t="shared" si="3"/>
        <v>290</v>
      </c>
    </row>
    <row r="9" spans="2:37" x14ac:dyDescent="0.25">
      <c r="B9" t="s">
        <v>1437</v>
      </c>
      <c r="C9" t="s">
        <v>605</v>
      </c>
      <c r="D9">
        <v>47</v>
      </c>
      <c r="E9" t="s">
        <v>94</v>
      </c>
      <c r="F9">
        <v>20</v>
      </c>
      <c r="G9" t="s">
        <v>1444</v>
      </c>
      <c r="H9" s="1">
        <v>13</v>
      </c>
      <c r="I9" t="s">
        <v>114</v>
      </c>
      <c r="J9">
        <v>105</v>
      </c>
      <c r="K9">
        <v>3.6</v>
      </c>
      <c r="L9" t="s">
        <v>566</v>
      </c>
      <c r="AA9">
        <v>1</v>
      </c>
      <c r="AB9">
        <v>2022</v>
      </c>
      <c r="AC9">
        <f t="shared" si="4"/>
        <v>1</v>
      </c>
      <c r="AD9">
        <f t="shared" si="5"/>
        <v>1</v>
      </c>
      <c r="AE9">
        <f t="shared" si="2"/>
        <v>1</v>
      </c>
      <c r="AF9">
        <f t="shared" si="3"/>
        <v>283</v>
      </c>
    </row>
    <row r="10" spans="2:37" x14ac:dyDescent="0.25">
      <c r="B10" t="s">
        <v>1438</v>
      </c>
      <c r="C10" t="s">
        <v>138</v>
      </c>
      <c r="D10">
        <v>39</v>
      </c>
      <c r="E10" t="s">
        <v>94</v>
      </c>
      <c r="F10">
        <v>20</v>
      </c>
      <c r="G10" t="s">
        <v>1445</v>
      </c>
      <c r="H10" s="1">
        <v>7</v>
      </c>
      <c r="I10" t="s">
        <v>1234</v>
      </c>
      <c r="J10">
        <v>150</v>
      </c>
      <c r="K10">
        <v>5.6</v>
      </c>
      <c r="M10">
        <v>169</v>
      </c>
      <c r="AA10">
        <v>2</v>
      </c>
      <c r="AB10">
        <v>2022</v>
      </c>
      <c r="AC10">
        <f t="shared" si="4"/>
        <v>1</v>
      </c>
      <c r="AD10">
        <f t="shared" si="5"/>
        <v>1</v>
      </c>
      <c r="AE10">
        <f t="shared" si="2"/>
        <v>1</v>
      </c>
      <c r="AF10">
        <f t="shared" si="3"/>
        <v>372</v>
      </c>
    </row>
    <row r="11" spans="2:37" x14ac:dyDescent="0.25">
      <c r="B11" t="s">
        <v>1439</v>
      </c>
      <c r="C11" t="s">
        <v>605</v>
      </c>
      <c r="D11">
        <v>43</v>
      </c>
      <c r="E11" t="s">
        <v>94</v>
      </c>
      <c r="H11" s="1">
        <v>9</v>
      </c>
      <c r="I11" t="s">
        <v>115</v>
      </c>
      <c r="J11">
        <v>117</v>
      </c>
      <c r="K11">
        <v>3.6</v>
      </c>
      <c r="L11" t="s">
        <v>566</v>
      </c>
      <c r="M11">
        <v>94</v>
      </c>
      <c r="O11">
        <v>3</v>
      </c>
      <c r="P11" t="s">
        <v>114</v>
      </c>
      <c r="Q11">
        <v>105</v>
      </c>
      <c r="R11">
        <v>3.6</v>
      </c>
      <c r="S11" t="s">
        <v>566</v>
      </c>
      <c r="T11">
        <v>94</v>
      </c>
      <c r="AA11">
        <v>1</v>
      </c>
      <c r="AB11">
        <v>2022</v>
      </c>
      <c r="AC11">
        <f t="shared" si="4"/>
        <v>1</v>
      </c>
      <c r="AD11">
        <f t="shared" si="5"/>
        <v>1</v>
      </c>
      <c r="AE11">
        <f t="shared" si="2"/>
        <v>1</v>
      </c>
      <c r="AF11">
        <f t="shared" si="3"/>
        <v>276</v>
      </c>
    </row>
    <row r="12" spans="2:37" x14ac:dyDescent="0.25">
      <c r="B12" t="s">
        <v>1439</v>
      </c>
      <c r="C12" t="s">
        <v>162</v>
      </c>
      <c r="D12">
        <v>30</v>
      </c>
      <c r="E12" t="s">
        <v>94</v>
      </c>
      <c r="H12" s="1">
        <v>7</v>
      </c>
      <c r="I12" t="s">
        <v>1156</v>
      </c>
      <c r="J12">
        <v>117</v>
      </c>
      <c r="K12">
        <v>4.3</v>
      </c>
      <c r="L12" t="s">
        <v>1405</v>
      </c>
      <c r="M12">
        <v>76.5</v>
      </c>
      <c r="AA12">
        <v>2</v>
      </c>
      <c r="AB12">
        <v>2023</v>
      </c>
      <c r="AC12">
        <f t="shared" si="4"/>
        <v>1</v>
      </c>
      <c r="AD12">
        <f t="shared" si="5"/>
        <v>1</v>
      </c>
      <c r="AE12">
        <f t="shared" si="2"/>
        <v>1</v>
      </c>
      <c r="AF12">
        <f t="shared" si="3"/>
        <v>731</v>
      </c>
    </row>
    <row r="13" spans="2:37" x14ac:dyDescent="0.25">
      <c r="B13" t="s">
        <v>1439</v>
      </c>
      <c r="C13" t="s">
        <v>166</v>
      </c>
      <c r="D13">
        <v>50</v>
      </c>
      <c r="E13" t="s">
        <v>93</v>
      </c>
      <c r="F13">
        <v>20</v>
      </c>
      <c r="H13" s="1">
        <v>12</v>
      </c>
      <c r="I13" t="s">
        <v>619</v>
      </c>
      <c r="J13">
        <v>150</v>
      </c>
      <c r="K13">
        <v>4</v>
      </c>
      <c r="L13" t="s">
        <v>1356</v>
      </c>
      <c r="AA13">
        <v>3</v>
      </c>
      <c r="AB13">
        <v>2021</v>
      </c>
      <c r="AC13">
        <f t="shared" si="4"/>
        <v>1</v>
      </c>
      <c r="AD13">
        <f t="shared" si="5"/>
        <v>1</v>
      </c>
      <c r="AE13">
        <f t="shared" si="2"/>
        <v>1</v>
      </c>
      <c r="AF13">
        <f t="shared" si="3"/>
        <v>92</v>
      </c>
    </row>
    <row r="14" spans="2:37" x14ac:dyDescent="0.25">
      <c r="B14" t="s">
        <v>1439</v>
      </c>
      <c r="C14" t="s">
        <v>318</v>
      </c>
      <c r="D14">
        <v>90</v>
      </c>
      <c r="E14" t="s">
        <v>94</v>
      </c>
      <c r="F14">
        <v>25</v>
      </c>
      <c r="H14" s="1">
        <v>7</v>
      </c>
      <c r="I14" t="s">
        <v>1404</v>
      </c>
      <c r="J14">
        <v>162</v>
      </c>
      <c r="K14">
        <v>6</v>
      </c>
      <c r="AA14">
        <v>3</v>
      </c>
      <c r="AB14">
        <v>2022</v>
      </c>
      <c r="AC14">
        <f t="shared" si="4"/>
        <v>1</v>
      </c>
      <c r="AD14">
        <f t="shared" si="5"/>
        <v>1</v>
      </c>
      <c r="AE14">
        <f t="shared" si="2"/>
        <v>1</v>
      </c>
      <c r="AF14">
        <f t="shared" si="3"/>
        <v>457</v>
      </c>
      <c r="AJ14" t="s">
        <v>1646</v>
      </c>
    </row>
    <row r="15" spans="2:37" x14ac:dyDescent="0.25">
      <c r="B15" t="s">
        <v>1439</v>
      </c>
      <c r="C15" t="s">
        <v>605</v>
      </c>
      <c r="D15">
        <v>42</v>
      </c>
      <c r="E15" t="s">
        <v>94</v>
      </c>
      <c r="F15">
        <v>20</v>
      </c>
      <c r="G15" t="s">
        <v>1446</v>
      </c>
      <c r="H15" s="1">
        <v>10</v>
      </c>
      <c r="I15" t="s">
        <v>1156</v>
      </c>
      <c r="J15">
        <v>117</v>
      </c>
      <c r="K15">
        <v>4.2</v>
      </c>
      <c r="L15" t="s">
        <v>651</v>
      </c>
      <c r="M15">
        <v>94</v>
      </c>
      <c r="AA15">
        <v>1</v>
      </c>
      <c r="AB15">
        <v>2023</v>
      </c>
      <c r="AC15">
        <f t="shared" si="4"/>
        <v>1</v>
      </c>
      <c r="AD15">
        <f t="shared" si="5"/>
        <v>1</v>
      </c>
      <c r="AE15">
        <f t="shared" si="2"/>
        <v>1</v>
      </c>
      <c r="AF15">
        <f t="shared" si="3"/>
        <v>641</v>
      </c>
      <c r="AK15">
        <v>2023</v>
      </c>
    </row>
    <row r="16" spans="2:37" x14ac:dyDescent="0.25">
      <c r="B16" t="s">
        <v>1439</v>
      </c>
      <c r="C16" t="s">
        <v>148</v>
      </c>
      <c r="D16">
        <v>102</v>
      </c>
      <c r="E16" t="s">
        <v>94</v>
      </c>
      <c r="F16">
        <v>10</v>
      </c>
      <c r="G16" t="s">
        <v>1447</v>
      </c>
      <c r="H16" s="1">
        <v>12</v>
      </c>
      <c r="I16" t="s">
        <v>619</v>
      </c>
      <c r="J16">
        <v>150</v>
      </c>
      <c r="K16">
        <v>4.2</v>
      </c>
      <c r="O16">
        <v>3</v>
      </c>
      <c r="P16" t="s">
        <v>1404</v>
      </c>
      <c r="Q16">
        <v>162</v>
      </c>
      <c r="R16">
        <v>6</v>
      </c>
      <c r="AA16">
        <v>2</v>
      </c>
      <c r="AB16">
        <v>2022</v>
      </c>
      <c r="AC16">
        <f t="shared" si="4"/>
        <v>1</v>
      </c>
      <c r="AD16">
        <f t="shared" si="5"/>
        <v>1</v>
      </c>
      <c r="AE16">
        <f t="shared" si="2"/>
        <v>1</v>
      </c>
      <c r="AF16">
        <f t="shared" si="3"/>
        <v>366</v>
      </c>
      <c r="AI16" t="s">
        <v>1156</v>
      </c>
      <c r="AK16" s="1">
        <v>10</v>
      </c>
    </row>
    <row r="17" spans="1:37" x14ac:dyDescent="0.25">
      <c r="B17" t="s">
        <v>1439</v>
      </c>
      <c r="C17" t="s">
        <v>176</v>
      </c>
      <c r="D17">
        <v>66</v>
      </c>
      <c r="E17" t="s">
        <v>93</v>
      </c>
      <c r="F17">
        <v>15</v>
      </c>
      <c r="H17" s="1">
        <v>11</v>
      </c>
      <c r="I17" t="s">
        <v>1404</v>
      </c>
      <c r="J17">
        <v>162</v>
      </c>
      <c r="K17">
        <v>6</v>
      </c>
      <c r="AC17">
        <f t="shared" si="4"/>
        <v>1</v>
      </c>
      <c r="AD17">
        <f t="shared" si="5"/>
        <v>1</v>
      </c>
      <c r="AE17">
        <f t="shared" si="2"/>
        <v>1</v>
      </c>
      <c r="AF17" t="e">
        <f t="shared" si="3"/>
        <v>#NUM!</v>
      </c>
      <c r="AI17" t="s">
        <v>619</v>
      </c>
      <c r="AK17" s="1">
        <v>20</v>
      </c>
    </row>
    <row r="18" spans="1:37" x14ac:dyDescent="0.25">
      <c r="B18" s="40" t="s">
        <v>1439</v>
      </c>
      <c r="C18" t="s">
        <v>1247</v>
      </c>
      <c r="D18">
        <v>77</v>
      </c>
      <c r="E18" t="s">
        <v>93</v>
      </c>
      <c r="H18" s="1">
        <v>24</v>
      </c>
      <c r="I18" t="s">
        <v>110</v>
      </c>
      <c r="J18">
        <v>110</v>
      </c>
      <c r="K18">
        <v>2</v>
      </c>
      <c r="O18">
        <v>16</v>
      </c>
      <c r="P18" t="s">
        <v>119</v>
      </c>
      <c r="Q18">
        <v>110</v>
      </c>
      <c r="R18">
        <v>2.2000000000000002</v>
      </c>
      <c r="AA18">
        <v>2</v>
      </c>
      <c r="AB18">
        <v>2021</v>
      </c>
      <c r="AC18">
        <f t="shared" si="4"/>
        <v>1</v>
      </c>
      <c r="AD18">
        <f t="shared" si="5"/>
        <v>1</v>
      </c>
      <c r="AE18">
        <f t="shared" si="2"/>
        <v>1</v>
      </c>
      <c r="AF18">
        <f t="shared" si="3"/>
        <v>1</v>
      </c>
      <c r="AI18" t="s">
        <v>619</v>
      </c>
      <c r="AK18" s="1">
        <v>81</v>
      </c>
    </row>
    <row r="19" spans="1:37" s="11" customFormat="1" x14ac:dyDescent="0.25">
      <c r="A19" s="41">
        <f>SUM(D2:D19)</f>
        <v>1060</v>
      </c>
      <c r="B19" s="11" t="s">
        <v>1439</v>
      </c>
      <c r="C19" s="11" t="s">
        <v>1247</v>
      </c>
      <c r="D19" s="11">
        <v>55</v>
      </c>
      <c r="E19" s="11" t="s">
        <v>94</v>
      </c>
      <c r="F19" s="11">
        <v>20</v>
      </c>
      <c r="H19" s="28">
        <v>24</v>
      </c>
      <c r="I19" s="11" t="s">
        <v>574</v>
      </c>
      <c r="J19" s="11">
        <v>120</v>
      </c>
      <c r="K19" s="11">
        <v>2.2000000000000002</v>
      </c>
      <c r="O19" s="11">
        <v>4</v>
      </c>
      <c r="P19" s="11" t="s">
        <v>110</v>
      </c>
      <c r="AA19" s="11">
        <v>3</v>
      </c>
      <c r="AB19" s="11">
        <v>2021</v>
      </c>
      <c r="AC19" s="11">
        <f t="shared" si="4"/>
        <v>1</v>
      </c>
      <c r="AD19" s="11">
        <f t="shared" si="5"/>
        <v>1</v>
      </c>
      <c r="AE19">
        <f t="shared" si="2"/>
        <v>1</v>
      </c>
      <c r="AF19">
        <f t="shared" si="3"/>
        <v>92</v>
      </c>
      <c r="AI19" t="s">
        <v>1481</v>
      </c>
      <c r="AK19" s="1">
        <v>50</v>
      </c>
    </row>
    <row r="20" spans="1:37" x14ac:dyDescent="0.25">
      <c r="B20" t="s">
        <v>1448</v>
      </c>
      <c r="C20" t="s">
        <v>163</v>
      </c>
      <c r="D20">
        <v>25</v>
      </c>
      <c r="E20" t="s">
        <v>94</v>
      </c>
      <c r="F20">
        <v>20</v>
      </c>
      <c r="G20" t="s">
        <v>1466</v>
      </c>
      <c r="H20" s="1">
        <v>6</v>
      </c>
      <c r="I20" t="s">
        <v>1156</v>
      </c>
      <c r="J20">
        <v>117</v>
      </c>
      <c r="K20">
        <v>4.2</v>
      </c>
      <c r="M20">
        <v>91.5</v>
      </c>
      <c r="AC20">
        <f t="shared" si="4"/>
        <v>1</v>
      </c>
      <c r="AD20">
        <f t="shared" si="5"/>
        <v>1</v>
      </c>
      <c r="AE20">
        <f t="shared" si="2"/>
        <v>1</v>
      </c>
      <c r="AF20" t="e">
        <f t="shared" si="3"/>
        <v>#NUM!</v>
      </c>
      <c r="AI20" s="46" t="s">
        <v>1400</v>
      </c>
      <c r="AK20" s="44">
        <v>22</v>
      </c>
    </row>
    <row r="21" spans="1:37" x14ac:dyDescent="0.25">
      <c r="A21" s="40"/>
      <c r="B21" t="s">
        <v>1449</v>
      </c>
      <c r="C21" t="s">
        <v>146</v>
      </c>
      <c r="D21">
        <v>30</v>
      </c>
      <c r="E21" t="s">
        <v>94</v>
      </c>
      <c r="F21">
        <v>21</v>
      </c>
      <c r="G21" t="s">
        <v>1467</v>
      </c>
      <c r="H21" s="1">
        <v>5</v>
      </c>
      <c r="I21" t="s">
        <v>1404</v>
      </c>
      <c r="J21">
        <v>162</v>
      </c>
      <c r="K21">
        <v>6</v>
      </c>
      <c r="O21" s="40"/>
      <c r="P21" s="40"/>
      <c r="Q21" s="40"/>
      <c r="R21" s="40"/>
      <c r="S21" s="40"/>
      <c r="T21" s="40"/>
      <c r="U21" s="40"/>
      <c r="V21" s="40"/>
      <c r="W21" s="40"/>
      <c r="X21" s="40"/>
      <c r="Y21" s="40"/>
      <c r="Z21" s="40"/>
      <c r="AA21" s="40">
        <v>4</v>
      </c>
      <c r="AB21" s="40">
        <v>2021</v>
      </c>
      <c r="AC21" s="40">
        <f t="shared" si="4"/>
        <v>1</v>
      </c>
      <c r="AD21">
        <f t="shared" si="5"/>
        <v>1</v>
      </c>
      <c r="AE21">
        <f t="shared" si="2"/>
        <v>1</v>
      </c>
      <c r="AF21">
        <f t="shared" si="3"/>
        <v>151</v>
      </c>
      <c r="AI21" s="44" t="s">
        <v>1404</v>
      </c>
      <c r="AK21" s="44">
        <v>7</v>
      </c>
    </row>
    <row r="22" spans="1:37" x14ac:dyDescent="0.25">
      <c r="A22" s="40"/>
      <c r="B22" t="s">
        <v>1449</v>
      </c>
      <c r="C22" t="s">
        <v>140</v>
      </c>
      <c r="D22">
        <v>86</v>
      </c>
      <c r="E22" t="s">
        <v>94</v>
      </c>
      <c r="F22">
        <v>30</v>
      </c>
      <c r="G22" t="s">
        <v>68</v>
      </c>
      <c r="H22" s="1">
        <v>20</v>
      </c>
      <c r="I22" t="s">
        <v>619</v>
      </c>
      <c r="J22">
        <v>150</v>
      </c>
      <c r="K22">
        <v>4.3</v>
      </c>
      <c r="L22" t="s">
        <v>1405</v>
      </c>
      <c r="O22" s="40"/>
      <c r="P22" s="40"/>
      <c r="Q22" s="40"/>
      <c r="R22" s="40"/>
      <c r="S22" s="40"/>
      <c r="T22" s="40"/>
      <c r="U22" s="40"/>
      <c r="V22" s="40"/>
      <c r="W22" s="40"/>
      <c r="X22" s="40"/>
      <c r="Y22" s="40"/>
      <c r="Z22" s="40"/>
      <c r="AA22" s="40">
        <v>2</v>
      </c>
      <c r="AB22">
        <v>2023</v>
      </c>
      <c r="AC22" s="40">
        <f t="shared" si="4"/>
        <v>1</v>
      </c>
      <c r="AD22">
        <f t="shared" si="5"/>
        <v>1</v>
      </c>
      <c r="AE22">
        <f t="shared" si="2"/>
        <v>1</v>
      </c>
      <c r="AF22">
        <f t="shared" si="3"/>
        <v>698</v>
      </c>
      <c r="AI22" s="44" t="s">
        <v>1400</v>
      </c>
      <c r="AK22" s="44">
        <v>25</v>
      </c>
    </row>
    <row r="23" spans="1:37" x14ac:dyDescent="0.25">
      <c r="A23" s="40"/>
      <c r="B23" t="s">
        <v>1449</v>
      </c>
      <c r="C23" t="s">
        <v>1465</v>
      </c>
      <c r="D23">
        <v>59</v>
      </c>
      <c r="E23" t="s">
        <v>94</v>
      </c>
      <c r="F23">
        <v>20</v>
      </c>
      <c r="G23" t="s">
        <v>1468</v>
      </c>
      <c r="H23" s="1">
        <v>14</v>
      </c>
      <c r="I23" t="s">
        <v>121</v>
      </c>
      <c r="J23">
        <v>136</v>
      </c>
      <c r="K23">
        <v>4.2</v>
      </c>
      <c r="M23">
        <v>82</v>
      </c>
      <c r="O23" s="40"/>
      <c r="P23" s="40"/>
      <c r="Q23" s="40"/>
      <c r="R23" s="40"/>
      <c r="S23" s="40"/>
      <c r="T23" s="40"/>
      <c r="U23" s="40"/>
      <c r="V23" s="40"/>
      <c r="W23" s="40"/>
      <c r="X23" s="40"/>
      <c r="Y23" s="40"/>
      <c r="Z23" s="40"/>
      <c r="AA23" s="40">
        <v>2</v>
      </c>
      <c r="AB23" s="40">
        <v>2022</v>
      </c>
      <c r="AC23" s="40">
        <f t="shared" si="4"/>
        <v>1</v>
      </c>
      <c r="AD23">
        <f t="shared" si="5"/>
        <v>1</v>
      </c>
      <c r="AE23">
        <f t="shared" si="2"/>
        <v>1</v>
      </c>
      <c r="AF23">
        <f t="shared" si="3"/>
        <v>333</v>
      </c>
      <c r="AI23" s="44" t="s">
        <v>1400</v>
      </c>
      <c r="AK23" s="44">
        <v>55</v>
      </c>
    </row>
    <row r="24" spans="1:37" x14ac:dyDescent="0.25">
      <c r="B24" t="s">
        <v>1450</v>
      </c>
      <c r="C24" t="s">
        <v>318</v>
      </c>
      <c r="D24">
        <v>404</v>
      </c>
      <c r="E24" t="s">
        <v>94</v>
      </c>
      <c r="F24">
        <v>25</v>
      </c>
      <c r="G24" t="s">
        <v>1469</v>
      </c>
      <c r="H24" s="1">
        <v>63</v>
      </c>
      <c r="I24" t="s">
        <v>1404</v>
      </c>
      <c r="J24">
        <v>162</v>
      </c>
      <c r="K24">
        <v>6</v>
      </c>
      <c r="O24" s="40">
        <v>6</v>
      </c>
      <c r="P24" s="40" t="s">
        <v>619</v>
      </c>
      <c r="Q24" s="40">
        <v>150</v>
      </c>
      <c r="R24" s="40">
        <v>4.3</v>
      </c>
      <c r="S24" s="40" t="s">
        <v>1405</v>
      </c>
      <c r="T24" s="40"/>
      <c r="U24" s="40"/>
      <c r="V24" s="40"/>
      <c r="W24" s="40"/>
      <c r="X24" s="40"/>
      <c r="Y24" s="40"/>
      <c r="Z24" t="s">
        <v>1635</v>
      </c>
      <c r="AA24" s="40"/>
      <c r="AB24" s="40"/>
      <c r="AC24" s="40">
        <f t="shared" si="4"/>
        <v>1</v>
      </c>
      <c r="AD24">
        <f t="shared" si="5"/>
        <v>1</v>
      </c>
      <c r="AE24">
        <f t="shared" si="2"/>
        <v>1</v>
      </c>
      <c r="AF24" t="e">
        <f t="shared" si="3"/>
        <v>#NUM!</v>
      </c>
    </row>
    <row r="25" spans="1:37" x14ac:dyDescent="0.25">
      <c r="A25" s="40"/>
      <c r="B25" t="s">
        <v>1451</v>
      </c>
      <c r="C25" t="s">
        <v>141</v>
      </c>
      <c r="D25">
        <v>212</v>
      </c>
      <c r="E25" t="s">
        <v>94</v>
      </c>
      <c r="F25">
        <v>10</v>
      </c>
      <c r="G25" t="s">
        <v>1470</v>
      </c>
      <c r="H25" s="1">
        <v>47</v>
      </c>
      <c r="I25" t="s">
        <v>619</v>
      </c>
      <c r="J25">
        <v>150</v>
      </c>
      <c r="K25">
        <v>4.5</v>
      </c>
      <c r="L25" t="s">
        <v>1410</v>
      </c>
      <c r="O25" s="40"/>
      <c r="P25" s="40"/>
      <c r="Q25" s="40"/>
      <c r="R25" s="40"/>
      <c r="S25" s="40"/>
      <c r="T25" s="40"/>
      <c r="U25" s="40"/>
      <c r="V25" s="40"/>
      <c r="W25" s="40"/>
      <c r="X25" s="40"/>
      <c r="Y25" s="40"/>
      <c r="Z25" s="40"/>
      <c r="AA25" s="40">
        <v>3</v>
      </c>
      <c r="AB25" s="40">
        <v>2022</v>
      </c>
      <c r="AC25" s="40">
        <f t="shared" si="4"/>
        <v>1</v>
      </c>
      <c r="AD25">
        <f t="shared" si="5"/>
        <v>1</v>
      </c>
      <c r="AE25">
        <f t="shared" si="2"/>
        <v>1</v>
      </c>
      <c r="AF25">
        <f t="shared" si="3"/>
        <v>421</v>
      </c>
    </row>
    <row r="26" spans="1:37" x14ac:dyDescent="0.25">
      <c r="A26" s="40"/>
      <c r="B26" t="s">
        <v>1452</v>
      </c>
      <c r="C26" t="s">
        <v>144</v>
      </c>
      <c r="D26">
        <v>157</v>
      </c>
      <c r="E26" t="s">
        <v>94</v>
      </c>
      <c r="F26">
        <v>25</v>
      </c>
      <c r="G26" t="s">
        <v>1469</v>
      </c>
      <c r="H26" s="1">
        <v>28</v>
      </c>
      <c r="I26" t="s">
        <v>1220</v>
      </c>
      <c r="J26">
        <v>162</v>
      </c>
      <c r="K26">
        <v>5.6</v>
      </c>
      <c r="M26">
        <v>147</v>
      </c>
      <c r="O26" s="40"/>
      <c r="P26" s="40"/>
      <c r="Q26" s="40"/>
      <c r="R26" s="40"/>
      <c r="S26" s="40"/>
      <c r="T26" s="40"/>
      <c r="U26" s="40"/>
      <c r="V26" s="40"/>
      <c r="W26" s="40"/>
      <c r="X26" s="40"/>
      <c r="Y26" s="40"/>
      <c r="Z26" s="40"/>
      <c r="AA26" s="40">
        <v>1</v>
      </c>
      <c r="AB26" s="40">
        <v>2022</v>
      </c>
      <c r="AC26" s="40">
        <f t="shared" si="4"/>
        <v>1</v>
      </c>
      <c r="AD26">
        <f t="shared" si="5"/>
        <v>1</v>
      </c>
      <c r="AE26">
        <f t="shared" si="2"/>
        <v>1</v>
      </c>
      <c r="AF26">
        <f t="shared" si="3"/>
        <v>225</v>
      </c>
    </row>
    <row r="27" spans="1:37" x14ac:dyDescent="0.25">
      <c r="A27" s="40"/>
      <c r="B27" t="s">
        <v>1453</v>
      </c>
      <c r="C27" t="s">
        <v>605</v>
      </c>
      <c r="D27">
        <v>32</v>
      </c>
      <c r="E27" t="s">
        <v>94</v>
      </c>
      <c r="F27">
        <v>20</v>
      </c>
      <c r="G27" t="s">
        <v>1471</v>
      </c>
      <c r="H27" s="1">
        <v>9</v>
      </c>
      <c r="I27" t="s">
        <v>114</v>
      </c>
      <c r="J27">
        <v>105</v>
      </c>
      <c r="K27">
        <v>3.6</v>
      </c>
      <c r="L27" t="s">
        <v>566</v>
      </c>
      <c r="M27">
        <v>84</v>
      </c>
      <c r="O27" s="40"/>
      <c r="P27" s="40"/>
      <c r="Q27" s="40"/>
      <c r="R27" s="40"/>
      <c r="S27" s="40"/>
      <c r="T27" s="40"/>
      <c r="U27" s="40"/>
      <c r="V27" s="40"/>
      <c r="W27" s="40"/>
      <c r="X27" s="40"/>
      <c r="Y27" s="40"/>
      <c r="Z27" s="40"/>
      <c r="AA27" s="40">
        <v>2</v>
      </c>
      <c r="AB27" s="40">
        <v>2022</v>
      </c>
      <c r="AC27" s="40">
        <f t="shared" si="4"/>
        <v>1</v>
      </c>
      <c r="AD27">
        <f t="shared" si="5"/>
        <v>1</v>
      </c>
      <c r="AE27">
        <f t="shared" si="2"/>
        <v>1</v>
      </c>
      <c r="AF27">
        <f t="shared" si="3"/>
        <v>301</v>
      </c>
    </row>
    <row r="28" spans="1:37" x14ac:dyDescent="0.25">
      <c r="A28" s="40"/>
      <c r="B28" t="s">
        <v>1454</v>
      </c>
      <c r="C28" t="s">
        <v>137</v>
      </c>
      <c r="D28">
        <v>101</v>
      </c>
      <c r="E28" t="s">
        <v>94</v>
      </c>
      <c r="F28">
        <v>10</v>
      </c>
      <c r="G28" t="s">
        <v>1472</v>
      </c>
      <c r="H28" s="1">
        <v>46</v>
      </c>
      <c r="I28" t="s">
        <v>574</v>
      </c>
      <c r="J28">
        <v>120</v>
      </c>
      <c r="K28">
        <v>2.2000000000000002</v>
      </c>
      <c r="O28" s="40"/>
      <c r="P28" s="40"/>
      <c r="Q28" s="40"/>
      <c r="R28" s="40"/>
      <c r="S28" s="40"/>
      <c r="T28" s="40"/>
      <c r="U28" s="40"/>
      <c r="V28" s="40"/>
      <c r="W28" s="40"/>
      <c r="X28" s="40"/>
      <c r="Y28" s="40"/>
      <c r="Z28" s="40"/>
      <c r="AA28" s="40">
        <v>4</v>
      </c>
      <c r="AB28" s="40">
        <v>2021</v>
      </c>
      <c r="AC28" s="40">
        <f t="shared" si="4"/>
        <v>1</v>
      </c>
      <c r="AD28">
        <f t="shared" si="5"/>
        <v>1</v>
      </c>
      <c r="AE28">
        <f t="shared" si="2"/>
        <v>1</v>
      </c>
      <c r="AF28">
        <f t="shared" si="3"/>
        <v>112</v>
      </c>
    </row>
    <row r="29" spans="1:37" x14ac:dyDescent="0.25">
      <c r="A29" s="40"/>
      <c r="B29" t="s">
        <v>1454</v>
      </c>
      <c r="C29" t="s">
        <v>161</v>
      </c>
      <c r="D29">
        <v>108</v>
      </c>
      <c r="E29" t="s">
        <v>93</v>
      </c>
      <c r="F29">
        <v>20</v>
      </c>
      <c r="G29" t="s">
        <v>1473</v>
      </c>
      <c r="H29" s="1">
        <v>52</v>
      </c>
      <c r="I29" t="s">
        <v>113</v>
      </c>
      <c r="J29">
        <v>100</v>
      </c>
      <c r="K29">
        <v>2</v>
      </c>
      <c r="O29" s="40">
        <v>2</v>
      </c>
      <c r="P29" s="40" t="s">
        <v>244</v>
      </c>
      <c r="Q29" s="40">
        <v>90</v>
      </c>
      <c r="R29" s="40">
        <v>2</v>
      </c>
      <c r="S29" s="40"/>
      <c r="T29" s="40"/>
      <c r="U29" s="40"/>
      <c r="V29" s="40"/>
      <c r="W29" s="40"/>
      <c r="X29" s="40"/>
      <c r="Y29" s="40"/>
      <c r="Z29" s="40"/>
      <c r="AA29" s="40"/>
      <c r="AB29" s="40">
        <v>2021</v>
      </c>
      <c r="AC29" s="40">
        <f t="shared" si="4"/>
        <v>1</v>
      </c>
      <c r="AD29">
        <f t="shared" si="5"/>
        <v>1</v>
      </c>
      <c r="AE29">
        <f t="shared" si="2"/>
        <v>1</v>
      </c>
      <c r="AF29">
        <f t="shared" si="3"/>
        <v>-253</v>
      </c>
    </row>
    <row r="30" spans="1:37" x14ac:dyDescent="0.25">
      <c r="A30" s="40"/>
      <c r="B30" t="s">
        <v>1455</v>
      </c>
      <c r="C30" t="s">
        <v>318</v>
      </c>
      <c r="D30">
        <v>102</v>
      </c>
      <c r="E30" t="s">
        <v>94</v>
      </c>
      <c r="F30">
        <v>30</v>
      </c>
      <c r="G30" t="s">
        <v>1474</v>
      </c>
      <c r="H30" s="1">
        <v>17</v>
      </c>
      <c r="I30" t="s">
        <v>1404</v>
      </c>
      <c r="J30">
        <v>162</v>
      </c>
      <c r="K30">
        <v>6</v>
      </c>
      <c r="O30" s="40"/>
      <c r="P30" s="40"/>
      <c r="Q30" s="40"/>
      <c r="R30" s="40"/>
      <c r="S30" s="40"/>
      <c r="T30" s="40"/>
      <c r="U30" s="40"/>
      <c r="V30" s="40"/>
      <c r="W30" s="40"/>
      <c r="X30" s="40"/>
      <c r="Y30" s="40"/>
      <c r="Z30" s="40"/>
      <c r="AA30" s="40">
        <v>2</v>
      </c>
      <c r="AB30" s="40">
        <v>2022</v>
      </c>
      <c r="AC30" s="40">
        <f t="shared" si="4"/>
        <v>1</v>
      </c>
      <c r="AD30">
        <f t="shared" si="5"/>
        <v>1</v>
      </c>
      <c r="AE30">
        <f t="shared" si="2"/>
        <v>1</v>
      </c>
      <c r="AF30">
        <f t="shared" si="3"/>
        <v>291</v>
      </c>
    </row>
    <row r="31" spans="1:37" x14ac:dyDescent="0.25">
      <c r="A31" s="40"/>
      <c r="B31" t="s">
        <v>1456</v>
      </c>
      <c r="C31" t="s">
        <v>69</v>
      </c>
      <c r="D31">
        <v>372</v>
      </c>
      <c r="E31" t="s">
        <v>94</v>
      </c>
      <c r="F31">
        <v>20</v>
      </c>
      <c r="G31" t="s">
        <v>1475</v>
      </c>
      <c r="H31" s="1">
        <v>62</v>
      </c>
      <c r="I31" t="s">
        <v>1404</v>
      </c>
      <c r="J31">
        <v>162</v>
      </c>
      <c r="K31">
        <v>6</v>
      </c>
      <c r="M31">
        <v>125</v>
      </c>
      <c r="O31" s="40"/>
      <c r="P31" s="40"/>
      <c r="Q31" s="40"/>
      <c r="R31" s="40"/>
      <c r="S31" s="40"/>
      <c r="T31" s="40"/>
      <c r="U31" s="40"/>
      <c r="V31" s="40"/>
      <c r="W31" s="40"/>
      <c r="X31" s="40"/>
      <c r="Y31" s="40"/>
      <c r="Z31" s="40"/>
      <c r="AA31" s="40">
        <v>3</v>
      </c>
      <c r="AB31" s="94">
        <v>2022</v>
      </c>
      <c r="AC31" s="40">
        <f t="shared" si="4"/>
        <v>1</v>
      </c>
      <c r="AD31">
        <f t="shared" si="5"/>
        <v>1</v>
      </c>
      <c r="AE31">
        <f t="shared" si="2"/>
        <v>1</v>
      </c>
      <c r="AF31">
        <f t="shared" si="3"/>
        <v>380</v>
      </c>
    </row>
    <row r="32" spans="1:37" x14ac:dyDescent="0.25">
      <c r="A32" s="40"/>
      <c r="B32" t="s">
        <v>1456</v>
      </c>
      <c r="C32" t="s">
        <v>141</v>
      </c>
      <c r="D32">
        <v>348</v>
      </c>
      <c r="E32" t="s">
        <v>94</v>
      </c>
      <c r="F32">
        <v>5</v>
      </c>
      <c r="H32" s="1">
        <v>81</v>
      </c>
      <c r="I32" t="s">
        <v>619</v>
      </c>
      <c r="J32">
        <v>150</v>
      </c>
      <c r="K32">
        <v>4.3</v>
      </c>
      <c r="L32" t="s">
        <v>1405</v>
      </c>
      <c r="O32" s="40"/>
      <c r="P32" s="40"/>
      <c r="Q32" s="40"/>
      <c r="R32" s="40"/>
      <c r="S32" s="40"/>
      <c r="T32" s="40"/>
      <c r="U32" s="40"/>
      <c r="V32" s="40"/>
      <c r="W32" s="40"/>
      <c r="X32" s="40"/>
      <c r="Y32" s="40"/>
      <c r="Z32" s="40"/>
      <c r="AA32" s="40"/>
      <c r="AB32">
        <v>2023</v>
      </c>
      <c r="AC32" s="40">
        <f t="shared" si="4"/>
        <v>1</v>
      </c>
      <c r="AD32">
        <f t="shared" si="5"/>
        <v>1</v>
      </c>
      <c r="AE32">
        <f t="shared" si="2"/>
        <v>1</v>
      </c>
      <c r="AF32">
        <f t="shared" si="3"/>
        <v>472</v>
      </c>
    </row>
    <row r="33" spans="1:32" x14ac:dyDescent="0.25">
      <c r="A33" s="40"/>
      <c r="B33" t="s">
        <v>1457</v>
      </c>
      <c r="C33" t="s">
        <v>147</v>
      </c>
      <c r="D33">
        <v>46</v>
      </c>
      <c r="E33" t="s">
        <v>93</v>
      </c>
      <c r="F33">
        <v>20</v>
      </c>
      <c r="G33" t="s">
        <v>1476</v>
      </c>
      <c r="H33" s="1">
        <v>11</v>
      </c>
      <c r="I33" t="s">
        <v>121</v>
      </c>
      <c r="J33">
        <v>136</v>
      </c>
      <c r="K33">
        <v>4.2</v>
      </c>
      <c r="M33">
        <v>132</v>
      </c>
      <c r="O33" s="40"/>
      <c r="P33" s="40"/>
      <c r="Q33" s="40"/>
      <c r="R33" s="40"/>
      <c r="S33" s="40"/>
      <c r="T33" s="40"/>
      <c r="U33" s="40"/>
      <c r="V33" s="40"/>
      <c r="W33" s="40"/>
      <c r="X33" s="40"/>
      <c r="Y33" s="40"/>
      <c r="Z33" s="40"/>
      <c r="AA33" s="40">
        <v>2</v>
      </c>
      <c r="AB33" s="40">
        <v>2022</v>
      </c>
      <c r="AC33" s="40">
        <f t="shared" si="4"/>
        <v>1</v>
      </c>
      <c r="AD33">
        <f t="shared" si="5"/>
        <v>1</v>
      </c>
      <c r="AE33">
        <f t="shared" si="2"/>
        <v>1</v>
      </c>
      <c r="AF33">
        <f t="shared" si="3"/>
        <v>287</v>
      </c>
    </row>
    <row r="34" spans="1:32" x14ac:dyDescent="0.25">
      <c r="B34" t="s">
        <v>1458</v>
      </c>
      <c r="C34" t="s">
        <v>206</v>
      </c>
      <c r="D34">
        <v>122</v>
      </c>
      <c r="E34" t="s">
        <v>94</v>
      </c>
      <c r="F34">
        <v>20</v>
      </c>
      <c r="G34" t="s">
        <v>1477</v>
      </c>
      <c r="H34" s="1">
        <v>30</v>
      </c>
      <c r="I34" t="s">
        <v>619</v>
      </c>
      <c r="J34">
        <v>150</v>
      </c>
      <c r="K34">
        <v>4</v>
      </c>
      <c r="L34" t="s">
        <v>1356</v>
      </c>
      <c r="AA34">
        <v>2</v>
      </c>
      <c r="AB34">
        <v>2022</v>
      </c>
      <c r="AC34" s="40">
        <f t="shared" si="4"/>
        <v>1</v>
      </c>
      <c r="AD34">
        <f t="shared" si="5"/>
        <v>1</v>
      </c>
      <c r="AE34">
        <f t="shared" si="2"/>
        <v>1</v>
      </c>
      <c r="AF34">
        <f t="shared" si="3"/>
        <v>283</v>
      </c>
    </row>
    <row r="35" spans="1:32" x14ac:dyDescent="0.25">
      <c r="A35" s="40"/>
      <c r="B35" t="s">
        <v>1459</v>
      </c>
      <c r="C35" t="s">
        <v>449</v>
      </c>
      <c r="D35">
        <v>47</v>
      </c>
      <c r="E35" t="s">
        <v>94</v>
      </c>
      <c r="F35">
        <v>10</v>
      </c>
      <c r="H35" s="1">
        <v>12</v>
      </c>
      <c r="I35" t="s">
        <v>379</v>
      </c>
      <c r="Z35" t="s">
        <v>1479</v>
      </c>
      <c r="AA35">
        <v>3</v>
      </c>
      <c r="AB35">
        <v>2022</v>
      </c>
      <c r="AC35" s="40">
        <f t="shared" si="4"/>
        <v>1</v>
      </c>
      <c r="AD35">
        <f t="shared" si="5"/>
        <v>1</v>
      </c>
      <c r="AE35">
        <f t="shared" si="2"/>
        <v>1</v>
      </c>
      <c r="AF35">
        <f t="shared" si="3"/>
        <v>373</v>
      </c>
    </row>
    <row r="36" spans="1:32" x14ac:dyDescent="0.25">
      <c r="A36" s="40"/>
      <c r="B36" t="s">
        <v>1459</v>
      </c>
      <c r="C36" t="s">
        <v>1247</v>
      </c>
      <c r="D36">
        <v>145</v>
      </c>
      <c r="E36" t="s">
        <v>94</v>
      </c>
      <c r="F36">
        <v>20</v>
      </c>
      <c r="G36" t="s">
        <v>1478</v>
      </c>
      <c r="H36" s="1">
        <v>30</v>
      </c>
      <c r="I36" t="s">
        <v>574</v>
      </c>
      <c r="J36">
        <v>120</v>
      </c>
      <c r="K36">
        <v>2.2000000000000002</v>
      </c>
      <c r="O36">
        <v>30</v>
      </c>
      <c r="P36" t="s">
        <v>119</v>
      </c>
      <c r="Q36">
        <v>110</v>
      </c>
      <c r="R36">
        <v>2.2000000000000002</v>
      </c>
      <c r="U36">
        <v>6</v>
      </c>
      <c r="V36" t="s">
        <v>110</v>
      </c>
      <c r="W36">
        <v>110</v>
      </c>
      <c r="X36">
        <v>2</v>
      </c>
      <c r="Z36" t="s">
        <v>1479</v>
      </c>
      <c r="AA36">
        <v>3</v>
      </c>
      <c r="AB36">
        <v>2021</v>
      </c>
      <c r="AC36" s="40">
        <f t="shared" si="4"/>
        <v>1</v>
      </c>
      <c r="AD36">
        <f t="shared" si="5"/>
        <v>1</v>
      </c>
      <c r="AE36">
        <f t="shared" si="2"/>
        <v>1</v>
      </c>
      <c r="AF36">
        <f t="shared" si="3"/>
        <v>8</v>
      </c>
    </row>
    <row r="37" spans="1:32" x14ac:dyDescent="0.25">
      <c r="A37" s="40"/>
      <c r="B37" t="s">
        <v>1460</v>
      </c>
      <c r="C37" s="43" t="s">
        <v>138</v>
      </c>
      <c r="D37">
        <v>257</v>
      </c>
      <c r="E37" t="s">
        <v>881</v>
      </c>
      <c r="F37">
        <v>15</v>
      </c>
      <c r="H37" s="1">
        <v>27</v>
      </c>
      <c r="I37" t="s">
        <v>1481</v>
      </c>
      <c r="J37">
        <v>174</v>
      </c>
      <c r="K37">
        <v>9.5</v>
      </c>
      <c r="Z37" t="s">
        <v>1480</v>
      </c>
      <c r="AA37">
        <v>3</v>
      </c>
      <c r="AB37">
        <v>2022</v>
      </c>
      <c r="AC37" s="40">
        <f t="shared" si="4"/>
        <v>1</v>
      </c>
      <c r="AD37">
        <f t="shared" si="5"/>
        <v>1</v>
      </c>
      <c r="AE37">
        <f t="shared" si="2"/>
        <v>1</v>
      </c>
      <c r="AF37">
        <f t="shared" si="3"/>
        <v>372</v>
      </c>
    </row>
    <row r="38" spans="1:32" x14ac:dyDescent="0.25">
      <c r="A38" s="40"/>
      <c r="B38" t="s">
        <v>1461</v>
      </c>
      <c r="C38" t="s">
        <v>1247</v>
      </c>
      <c r="D38">
        <v>60</v>
      </c>
      <c r="E38" t="s">
        <v>94</v>
      </c>
      <c r="H38" s="1">
        <v>7</v>
      </c>
      <c r="I38" t="s">
        <v>1156</v>
      </c>
      <c r="J38">
        <v>117</v>
      </c>
      <c r="K38">
        <v>4.3</v>
      </c>
      <c r="L38" t="s">
        <v>1405</v>
      </c>
      <c r="O38">
        <v>8</v>
      </c>
      <c r="P38" t="s">
        <v>115</v>
      </c>
      <c r="Q38">
        <v>117</v>
      </c>
      <c r="R38">
        <v>3.6</v>
      </c>
      <c r="S38" t="s">
        <v>566</v>
      </c>
      <c r="Z38" t="s">
        <v>1479</v>
      </c>
      <c r="AA38">
        <v>4</v>
      </c>
      <c r="AB38">
        <v>2021</v>
      </c>
      <c r="AC38" s="40">
        <f t="shared" si="4"/>
        <v>1</v>
      </c>
      <c r="AD38">
        <f t="shared" si="5"/>
        <v>1</v>
      </c>
      <c r="AE38">
        <f t="shared" si="2"/>
        <v>1</v>
      </c>
      <c r="AF38">
        <f t="shared" si="3"/>
        <v>98</v>
      </c>
    </row>
    <row r="39" spans="1:32" x14ac:dyDescent="0.25">
      <c r="A39" s="40"/>
      <c r="B39" t="s">
        <v>1461</v>
      </c>
      <c r="C39" t="s">
        <v>1247</v>
      </c>
      <c r="D39">
        <v>31</v>
      </c>
      <c r="E39" t="s">
        <v>94</v>
      </c>
      <c r="F39">
        <v>20</v>
      </c>
      <c r="H39" s="1">
        <f>D39/K39</f>
        <v>14.09090909090909</v>
      </c>
      <c r="I39" t="s">
        <v>119</v>
      </c>
      <c r="J39">
        <v>110</v>
      </c>
      <c r="K39">
        <v>2.2000000000000002</v>
      </c>
      <c r="Z39" t="s">
        <v>406</v>
      </c>
      <c r="AA39">
        <v>3</v>
      </c>
      <c r="AB39">
        <v>2022</v>
      </c>
      <c r="AC39" s="40">
        <f t="shared" si="4"/>
        <v>1</v>
      </c>
      <c r="AD39">
        <f t="shared" si="5"/>
        <v>1</v>
      </c>
      <c r="AE39">
        <f t="shared" si="2"/>
        <v>1</v>
      </c>
      <c r="AF39">
        <f t="shared" si="3"/>
        <v>371</v>
      </c>
    </row>
    <row r="40" spans="1:32" x14ac:dyDescent="0.25">
      <c r="A40" s="40"/>
      <c r="B40" t="s">
        <v>1462</v>
      </c>
      <c r="C40" t="s">
        <v>166</v>
      </c>
      <c r="D40">
        <v>105</v>
      </c>
      <c r="G40" t="s">
        <v>1482</v>
      </c>
      <c r="H40" s="1">
        <v>23</v>
      </c>
      <c r="I40" t="s">
        <v>121</v>
      </c>
      <c r="J40">
        <v>136</v>
      </c>
      <c r="K40">
        <v>4.2</v>
      </c>
      <c r="O40">
        <v>2</v>
      </c>
      <c r="P40" t="s">
        <v>1156</v>
      </c>
      <c r="Q40">
        <v>117</v>
      </c>
      <c r="R40">
        <v>4.2</v>
      </c>
      <c r="AA40">
        <v>3</v>
      </c>
      <c r="AB40">
        <v>2022</v>
      </c>
      <c r="AC40" s="40">
        <f t="shared" ref="AC40:AC66" si="6">COUNTIF($I$146:$I$176,I40)</f>
        <v>1</v>
      </c>
      <c r="AD40">
        <f t="shared" ref="AD40:AD67" si="7">COUNTIF($C$145:$C$176,C40)</f>
        <v>1</v>
      </c>
      <c r="AE40">
        <f t="shared" si="2"/>
        <v>1</v>
      </c>
      <c r="AF40">
        <f t="shared" si="3"/>
        <v>367</v>
      </c>
    </row>
    <row r="41" spans="1:32" x14ac:dyDescent="0.25">
      <c r="B41" t="s">
        <v>1463</v>
      </c>
      <c r="C41" t="s">
        <v>1247</v>
      </c>
      <c r="D41">
        <v>219</v>
      </c>
      <c r="E41" t="s">
        <v>94</v>
      </c>
      <c r="F41">
        <v>20</v>
      </c>
      <c r="H41" s="1">
        <v>22</v>
      </c>
      <c r="I41" t="s">
        <v>619</v>
      </c>
      <c r="J41">
        <v>150</v>
      </c>
      <c r="K41">
        <v>4.3</v>
      </c>
      <c r="L41" t="s">
        <v>1405</v>
      </c>
      <c r="O41">
        <v>3</v>
      </c>
      <c r="P41" t="s">
        <v>121</v>
      </c>
      <c r="Q41">
        <v>136</v>
      </c>
      <c r="R41">
        <v>4.3</v>
      </c>
      <c r="S41" t="s">
        <v>1405</v>
      </c>
      <c r="AA41">
        <v>2</v>
      </c>
      <c r="AB41">
        <v>2022</v>
      </c>
      <c r="AC41" s="40">
        <f t="shared" si="6"/>
        <v>1</v>
      </c>
      <c r="AD41">
        <f t="shared" si="7"/>
        <v>1</v>
      </c>
      <c r="AE41">
        <f t="shared" si="2"/>
        <v>1</v>
      </c>
      <c r="AF41">
        <f t="shared" si="3"/>
        <v>275</v>
      </c>
    </row>
    <row r="42" spans="1:32" x14ac:dyDescent="0.25">
      <c r="A42" s="40"/>
      <c r="B42" t="s">
        <v>1463</v>
      </c>
      <c r="C42" s="43" t="s">
        <v>138</v>
      </c>
      <c r="D42">
        <v>476</v>
      </c>
      <c r="E42" t="s">
        <v>881</v>
      </c>
      <c r="F42">
        <v>10</v>
      </c>
      <c r="G42" t="s">
        <v>816</v>
      </c>
      <c r="H42" s="1">
        <v>50</v>
      </c>
      <c r="I42" t="s">
        <v>1481</v>
      </c>
      <c r="J42">
        <v>174</v>
      </c>
      <c r="K42">
        <v>9.5</v>
      </c>
      <c r="Z42" t="s">
        <v>1483</v>
      </c>
      <c r="AB42" s="93">
        <v>2024</v>
      </c>
      <c r="AC42" s="40">
        <f t="shared" si="6"/>
        <v>1</v>
      </c>
      <c r="AD42">
        <f t="shared" si="7"/>
        <v>1</v>
      </c>
      <c r="AE42">
        <f t="shared" si="2"/>
        <v>1</v>
      </c>
      <c r="AF42">
        <f t="shared" si="3"/>
        <v>823</v>
      </c>
    </row>
    <row r="43" spans="1:32" x14ac:dyDescent="0.25">
      <c r="B43" t="s">
        <v>1463</v>
      </c>
      <c r="C43" t="s">
        <v>605</v>
      </c>
      <c r="D43">
        <v>113</v>
      </c>
      <c r="E43" t="s">
        <v>94</v>
      </c>
      <c r="G43" t="s">
        <v>1484</v>
      </c>
      <c r="H43" s="1">
        <v>27</v>
      </c>
      <c r="I43" t="s">
        <v>1156</v>
      </c>
      <c r="J43">
        <v>117</v>
      </c>
      <c r="K43">
        <v>4.2</v>
      </c>
      <c r="M43" t="s">
        <v>1485</v>
      </c>
      <c r="AA43">
        <v>1</v>
      </c>
      <c r="AB43">
        <v>2022</v>
      </c>
      <c r="AC43" s="40">
        <f t="shared" si="6"/>
        <v>1</v>
      </c>
      <c r="AD43">
        <f t="shared" si="7"/>
        <v>1</v>
      </c>
      <c r="AE43">
        <f t="shared" si="2"/>
        <v>1</v>
      </c>
      <c r="AF43">
        <f t="shared" si="3"/>
        <v>185</v>
      </c>
    </row>
    <row r="44" spans="1:32" x14ac:dyDescent="0.25">
      <c r="A44" s="40"/>
      <c r="B44" t="s">
        <v>1463</v>
      </c>
      <c r="C44" t="s">
        <v>318</v>
      </c>
      <c r="D44">
        <v>192</v>
      </c>
      <c r="E44" t="s">
        <v>94</v>
      </c>
      <c r="F44">
        <v>20</v>
      </c>
      <c r="H44" s="1">
        <v>31</v>
      </c>
      <c r="I44" t="s">
        <v>1486</v>
      </c>
      <c r="J44">
        <v>162</v>
      </c>
      <c r="K44">
        <v>6.2</v>
      </c>
      <c r="AA44">
        <v>2</v>
      </c>
      <c r="AB44">
        <v>2022</v>
      </c>
      <c r="AC44" s="40">
        <f t="shared" si="6"/>
        <v>1</v>
      </c>
      <c r="AD44">
        <f t="shared" si="7"/>
        <v>1</v>
      </c>
      <c r="AE44">
        <f t="shared" si="2"/>
        <v>1</v>
      </c>
      <c r="AF44">
        <f t="shared" si="3"/>
        <v>275</v>
      </c>
    </row>
    <row r="45" spans="1:32" x14ac:dyDescent="0.25">
      <c r="A45" s="40"/>
      <c r="B45" t="s">
        <v>1463</v>
      </c>
      <c r="C45" t="s">
        <v>320</v>
      </c>
      <c r="D45">
        <v>35</v>
      </c>
      <c r="E45" t="s">
        <v>93</v>
      </c>
      <c r="F45">
        <v>20</v>
      </c>
      <c r="G45" t="s">
        <v>1487</v>
      </c>
      <c r="H45" s="1">
        <v>3</v>
      </c>
      <c r="I45" t="s">
        <v>1404</v>
      </c>
      <c r="J45">
        <v>162</v>
      </c>
      <c r="K45">
        <v>6</v>
      </c>
      <c r="O45">
        <v>2</v>
      </c>
      <c r="P45" t="s">
        <v>619</v>
      </c>
      <c r="Q45">
        <v>150</v>
      </c>
      <c r="R45">
        <v>4.3</v>
      </c>
      <c r="S45" t="s">
        <v>1405</v>
      </c>
      <c r="U45">
        <v>1</v>
      </c>
      <c r="V45" t="s">
        <v>619</v>
      </c>
      <c r="W45">
        <v>150</v>
      </c>
      <c r="X45">
        <v>4.2</v>
      </c>
      <c r="Z45" t="s">
        <v>1488</v>
      </c>
      <c r="AA45">
        <v>4</v>
      </c>
      <c r="AB45">
        <v>2021</v>
      </c>
      <c r="AC45" s="40">
        <f t="shared" si="6"/>
        <v>1</v>
      </c>
      <c r="AD45">
        <f t="shared" si="7"/>
        <v>1</v>
      </c>
      <c r="AE45">
        <f t="shared" si="2"/>
        <v>1</v>
      </c>
      <c r="AF45">
        <f t="shared" si="3"/>
        <v>93</v>
      </c>
    </row>
    <row r="46" spans="1:32" x14ac:dyDescent="0.25">
      <c r="A46" s="40"/>
      <c r="B46" t="s">
        <v>1463</v>
      </c>
      <c r="C46" t="s">
        <v>318</v>
      </c>
      <c r="D46">
        <v>126</v>
      </c>
      <c r="E46" t="s">
        <v>94</v>
      </c>
      <c r="G46" t="s">
        <v>1239</v>
      </c>
      <c r="H46" s="1">
        <v>21</v>
      </c>
      <c r="I46" t="s">
        <v>1404</v>
      </c>
      <c r="J46">
        <v>162</v>
      </c>
      <c r="K46">
        <v>6</v>
      </c>
      <c r="AA46">
        <v>2</v>
      </c>
      <c r="AB46">
        <v>2022</v>
      </c>
      <c r="AC46" s="40">
        <f t="shared" si="6"/>
        <v>1</v>
      </c>
      <c r="AD46">
        <f t="shared" si="7"/>
        <v>1</v>
      </c>
      <c r="AE46">
        <f t="shared" si="2"/>
        <v>1</v>
      </c>
      <c r="AF46">
        <f t="shared" si="3"/>
        <v>275</v>
      </c>
    </row>
    <row r="47" spans="1:32" x14ac:dyDescent="0.25">
      <c r="A47" s="40"/>
      <c r="B47" t="s">
        <v>1463</v>
      </c>
      <c r="C47" t="s">
        <v>852</v>
      </c>
      <c r="D47">
        <v>25</v>
      </c>
      <c r="E47" t="s">
        <v>93</v>
      </c>
      <c r="F47">
        <v>20</v>
      </c>
      <c r="G47" t="s">
        <v>1418</v>
      </c>
      <c r="H47" s="1">
        <v>6</v>
      </c>
      <c r="I47" t="s">
        <v>619</v>
      </c>
      <c r="J47">
        <v>150</v>
      </c>
      <c r="K47">
        <v>4.2</v>
      </c>
      <c r="AA47">
        <v>2</v>
      </c>
      <c r="AB47">
        <v>2022</v>
      </c>
      <c r="AC47" s="40">
        <f t="shared" si="6"/>
        <v>1</v>
      </c>
      <c r="AD47">
        <f t="shared" si="7"/>
        <v>1</v>
      </c>
      <c r="AE47">
        <f t="shared" si="2"/>
        <v>1</v>
      </c>
      <c r="AF47">
        <f t="shared" si="3"/>
        <v>275</v>
      </c>
    </row>
    <row r="48" spans="1:32" s="11" customFormat="1" x14ac:dyDescent="0.25">
      <c r="A48" s="41">
        <f>SUM(D20:D48)</f>
        <v>4127</v>
      </c>
      <c r="B48" s="11" t="s">
        <v>1463</v>
      </c>
      <c r="C48" s="11" t="s">
        <v>1247</v>
      </c>
      <c r="D48" s="11">
        <v>92</v>
      </c>
      <c r="E48" s="11" t="s">
        <v>94</v>
      </c>
      <c r="H48" s="28">
        <v>22</v>
      </c>
      <c r="I48" s="11" t="s">
        <v>619</v>
      </c>
      <c r="J48" s="11">
        <v>150</v>
      </c>
      <c r="K48" s="11">
        <v>4.2</v>
      </c>
      <c r="AA48" s="11">
        <v>2</v>
      </c>
      <c r="AB48" s="11">
        <v>2022</v>
      </c>
      <c r="AC48" s="41">
        <f t="shared" si="6"/>
        <v>1</v>
      </c>
      <c r="AD48" s="11">
        <f t="shared" si="7"/>
        <v>1</v>
      </c>
      <c r="AE48">
        <f t="shared" si="2"/>
        <v>1</v>
      </c>
      <c r="AF48">
        <f t="shared" si="3"/>
        <v>275</v>
      </c>
    </row>
    <row r="49" spans="1:32" x14ac:dyDescent="0.25">
      <c r="A49" s="40"/>
      <c r="B49" t="s">
        <v>1501</v>
      </c>
      <c r="C49" t="s">
        <v>162</v>
      </c>
      <c r="D49">
        <v>29</v>
      </c>
      <c r="E49" t="s">
        <v>94</v>
      </c>
      <c r="F49">
        <v>20</v>
      </c>
      <c r="H49" s="1">
        <v>8</v>
      </c>
      <c r="I49" t="s">
        <v>108</v>
      </c>
      <c r="J49">
        <v>136</v>
      </c>
      <c r="K49">
        <v>3.6</v>
      </c>
      <c r="L49" t="s">
        <v>566</v>
      </c>
      <c r="AA49">
        <v>3</v>
      </c>
      <c r="AB49">
        <v>2022</v>
      </c>
      <c r="AC49" s="40">
        <f t="shared" si="6"/>
        <v>1</v>
      </c>
      <c r="AD49">
        <f t="shared" si="7"/>
        <v>1</v>
      </c>
      <c r="AE49">
        <f t="shared" si="2"/>
        <v>1</v>
      </c>
      <c r="AF49">
        <f t="shared" si="3"/>
        <v>364</v>
      </c>
    </row>
    <row r="50" spans="1:32" x14ac:dyDescent="0.25">
      <c r="A50" s="40"/>
      <c r="B50" s="44" t="s">
        <v>1502</v>
      </c>
      <c r="C50" s="46" t="s">
        <v>144</v>
      </c>
      <c r="D50" s="44">
        <v>58</v>
      </c>
      <c r="E50" s="44" t="s">
        <v>94</v>
      </c>
      <c r="F50" s="44">
        <v>15</v>
      </c>
      <c r="H50" s="44">
        <v>16</v>
      </c>
      <c r="I50" s="44" t="s">
        <v>109</v>
      </c>
      <c r="J50" s="44">
        <v>126</v>
      </c>
      <c r="K50" s="44">
        <v>3.45</v>
      </c>
      <c r="L50" t="s">
        <v>566</v>
      </c>
      <c r="AA50">
        <v>2</v>
      </c>
      <c r="AB50">
        <v>2022</v>
      </c>
      <c r="AC50" s="40">
        <f t="shared" si="6"/>
        <v>1</v>
      </c>
      <c r="AD50">
        <f t="shared" si="7"/>
        <v>1</v>
      </c>
      <c r="AE50">
        <f t="shared" si="2"/>
        <v>1</v>
      </c>
      <c r="AF50">
        <f t="shared" si="3"/>
        <v>241</v>
      </c>
    </row>
    <row r="51" spans="1:32" x14ac:dyDescent="0.25">
      <c r="A51" s="40"/>
      <c r="B51" s="44" t="s">
        <v>1503</v>
      </c>
      <c r="C51" s="46" t="s">
        <v>318</v>
      </c>
      <c r="D51" s="44">
        <v>126</v>
      </c>
      <c r="E51" s="44" t="s">
        <v>94</v>
      </c>
      <c r="F51" s="44"/>
      <c r="H51" s="44">
        <v>21</v>
      </c>
      <c r="I51" s="44" t="s">
        <v>1404</v>
      </c>
      <c r="J51" s="44">
        <v>162</v>
      </c>
      <c r="K51" s="44">
        <v>6</v>
      </c>
      <c r="AA51">
        <v>1</v>
      </c>
      <c r="AB51">
        <v>2022</v>
      </c>
      <c r="AC51" s="40">
        <f t="shared" si="6"/>
        <v>1</v>
      </c>
      <c r="AD51">
        <f t="shared" si="7"/>
        <v>1</v>
      </c>
      <c r="AE51">
        <f t="shared" si="2"/>
        <v>1</v>
      </c>
      <c r="AF51">
        <f t="shared" si="3"/>
        <v>148</v>
      </c>
    </row>
    <row r="52" spans="1:32" x14ac:dyDescent="0.25">
      <c r="A52" s="40"/>
      <c r="B52" s="44" t="s">
        <v>1504</v>
      </c>
      <c r="C52" s="44" t="s">
        <v>161</v>
      </c>
      <c r="D52" s="44">
        <v>50</v>
      </c>
      <c r="E52" s="44" t="s">
        <v>94</v>
      </c>
      <c r="F52" s="44">
        <v>30</v>
      </c>
      <c r="G52" t="s">
        <v>1572</v>
      </c>
      <c r="H52" s="44">
        <v>7</v>
      </c>
      <c r="I52" s="44" t="s">
        <v>110</v>
      </c>
      <c r="J52" s="44">
        <v>110</v>
      </c>
      <c r="K52" s="44">
        <v>2</v>
      </c>
      <c r="O52">
        <v>10</v>
      </c>
      <c r="P52" t="s">
        <v>109</v>
      </c>
      <c r="Q52">
        <v>126</v>
      </c>
      <c r="R52">
        <v>3.45</v>
      </c>
      <c r="AA52">
        <v>3</v>
      </c>
      <c r="AB52">
        <v>2022</v>
      </c>
      <c r="AC52" s="40">
        <f t="shared" si="6"/>
        <v>1</v>
      </c>
      <c r="AD52">
        <f t="shared" si="7"/>
        <v>1</v>
      </c>
      <c r="AE52">
        <f t="shared" si="2"/>
        <v>1</v>
      </c>
      <c r="AF52">
        <f t="shared" si="3"/>
        <v>310</v>
      </c>
    </row>
    <row r="53" spans="1:32" x14ac:dyDescent="0.25">
      <c r="A53" s="40"/>
      <c r="B53" s="44" t="s">
        <v>1505</v>
      </c>
      <c r="C53" s="44" t="s">
        <v>144</v>
      </c>
      <c r="D53" s="44">
        <v>181</v>
      </c>
      <c r="E53" s="44" t="s">
        <v>94</v>
      </c>
      <c r="F53" s="44">
        <v>30</v>
      </c>
      <c r="H53" s="44">
        <v>43</v>
      </c>
      <c r="I53" s="44" t="s">
        <v>619</v>
      </c>
      <c r="J53" s="44">
        <v>150</v>
      </c>
      <c r="K53" s="44">
        <v>4.2</v>
      </c>
      <c r="AA53">
        <v>2</v>
      </c>
      <c r="AB53">
        <v>2022</v>
      </c>
      <c r="AC53" s="40">
        <f t="shared" si="6"/>
        <v>1</v>
      </c>
      <c r="AD53">
        <f t="shared" si="7"/>
        <v>1</v>
      </c>
      <c r="AE53">
        <f t="shared" si="2"/>
        <v>1</v>
      </c>
      <c r="AF53">
        <f t="shared" si="3"/>
        <v>213</v>
      </c>
    </row>
    <row r="54" spans="1:32" x14ac:dyDescent="0.25">
      <c r="A54" s="40"/>
      <c r="B54" s="44" t="s">
        <v>1506</v>
      </c>
      <c r="C54" s="44" t="s">
        <v>144</v>
      </c>
      <c r="D54" s="44">
        <v>396</v>
      </c>
      <c r="E54" s="44" t="s">
        <v>94</v>
      </c>
      <c r="F54" s="44">
        <v>30</v>
      </c>
      <c r="H54" s="44">
        <v>64</v>
      </c>
      <c r="I54" s="44" t="s">
        <v>1486</v>
      </c>
      <c r="J54" s="44">
        <v>162</v>
      </c>
      <c r="K54" s="44">
        <v>6.2</v>
      </c>
      <c r="AA54">
        <v>3</v>
      </c>
      <c r="AB54">
        <v>2022</v>
      </c>
      <c r="AC54" s="40">
        <f t="shared" si="6"/>
        <v>1</v>
      </c>
      <c r="AD54">
        <f t="shared" si="7"/>
        <v>1</v>
      </c>
      <c r="AE54">
        <f t="shared" si="2"/>
        <v>1</v>
      </c>
      <c r="AF54">
        <f t="shared" si="3"/>
        <v>303</v>
      </c>
    </row>
    <row r="55" spans="1:32" x14ac:dyDescent="0.25">
      <c r="B55" s="44" t="s">
        <v>1507</v>
      </c>
      <c r="C55" s="44" t="s">
        <v>1514</v>
      </c>
      <c r="D55" s="44">
        <v>189</v>
      </c>
      <c r="E55" s="44" t="s">
        <v>94</v>
      </c>
      <c r="F55" s="44">
        <v>10</v>
      </c>
      <c r="H55" s="44">
        <v>30</v>
      </c>
      <c r="I55" s="44" t="s">
        <v>1486</v>
      </c>
      <c r="J55" s="44">
        <v>162</v>
      </c>
      <c r="K55" s="44">
        <v>6.2</v>
      </c>
      <c r="L55" s="11"/>
      <c r="M55" s="11"/>
      <c r="N55" s="11"/>
      <c r="O55" s="11"/>
      <c r="P55" s="11"/>
      <c r="AA55">
        <v>2</v>
      </c>
      <c r="AB55">
        <v>2022</v>
      </c>
      <c r="AC55" s="40">
        <f t="shared" si="6"/>
        <v>1</v>
      </c>
      <c r="AD55">
        <f t="shared" si="7"/>
        <v>1</v>
      </c>
      <c r="AE55">
        <f t="shared" si="2"/>
        <v>1</v>
      </c>
      <c r="AF55">
        <f t="shared" si="3"/>
        <v>211</v>
      </c>
    </row>
    <row r="56" spans="1:32" x14ac:dyDescent="0.25">
      <c r="A56" s="40"/>
      <c r="B56" s="44" t="s">
        <v>1507</v>
      </c>
      <c r="C56" s="44" t="s">
        <v>1514</v>
      </c>
      <c r="D56" s="44">
        <v>101</v>
      </c>
      <c r="E56" s="44" t="s">
        <v>94</v>
      </c>
      <c r="F56" s="44"/>
      <c r="H56" s="44">
        <v>24</v>
      </c>
      <c r="I56" s="44" t="s">
        <v>619</v>
      </c>
      <c r="J56" s="44">
        <v>150</v>
      </c>
      <c r="K56" s="44">
        <v>4.2</v>
      </c>
      <c r="AA56">
        <v>3</v>
      </c>
      <c r="AB56">
        <v>2022</v>
      </c>
      <c r="AC56" s="40">
        <f t="shared" si="6"/>
        <v>1</v>
      </c>
      <c r="AD56">
        <f t="shared" si="7"/>
        <v>1</v>
      </c>
      <c r="AE56">
        <f t="shared" si="2"/>
        <v>1</v>
      </c>
      <c r="AF56">
        <f t="shared" si="3"/>
        <v>302</v>
      </c>
    </row>
    <row r="57" spans="1:32" x14ac:dyDescent="0.25">
      <c r="A57" s="40"/>
      <c r="B57" s="44" t="s">
        <v>1508</v>
      </c>
      <c r="C57" s="44" t="s">
        <v>1140</v>
      </c>
      <c r="D57" s="44">
        <v>50</v>
      </c>
      <c r="E57" s="44" t="s">
        <v>93</v>
      </c>
      <c r="F57" s="44"/>
      <c r="H57" s="44">
        <v>12</v>
      </c>
      <c r="I57" s="44" t="s">
        <v>121</v>
      </c>
      <c r="J57" s="44">
        <v>136</v>
      </c>
      <c r="K57" s="44">
        <v>4.2</v>
      </c>
      <c r="AA57">
        <v>2</v>
      </c>
      <c r="AB57">
        <v>2022</v>
      </c>
      <c r="AC57" s="40">
        <f t="shared" si="6"/>
        <v>1</v>
      </c>
      <c r="AD57">
        <f t="shared" si="7"/>
        <v>1</v>
      </c>
      <c r="AE57">
        <f t="shared" si="2"/>
        <v>1</v>
      </c>
      <c r="AF57">
        <f t="shared" si="3"/>
        <v>200</v>
      </c>
    </row>
    <row r="58" spans="1:32" x14ac:dyDescent="0.25">
      <c r="A58" s="40"/>
      <c r="B58" s="44" t="s">
        <v>1509</v>
      </c>
      <c r="C58" s="44" t="s">
        <v>161</v>
      </c>
      <c r="D58" s="44">
        <v>70</v>
      </c>
      <c r="E58" s="44" t="s">
        <v>94</v>
      </c>
      <c r="F58" s="44">
        <v>20</v>
      </c>
      <c r="H58" s="44">
        <v>34</v>
      </c>
      <c r="I58" s="44" t="s">
        <v>113</v>
      </c>
      <c r="J58" s="44">
        <v>100</v>
      </c>
      <c r="K58" s="44">
        <v>2</v>
      </c>
      <c r="L58" t="s">
        <v>1578</v>
      </c>
      <c r="AA58">
        <v>4</v>
      </c>
      <c r="AB58">
        <v>2022</v>
      </c>
      <c r="AC58" s="40">
        <f t="shared" si="6"/>
        <v>1</v>
      </c>
      <c r="AD58">
        <f t="shared" si="7"/>
        <v>1</v>
      </c>
      <c r="AE58">
        <f t="shared" si="2"/>
        <v>1</v>
      </c>
      <c r="AF58">
        <f t="shared" si="3"/>
        <v>380</v>
      </c>
    </row>
    <row r="59" spans="1:32" x14ac:dyDescent="0.25">
      <c r="A59" s="40"/>
      <c r="B59" s="44" t="s">
        <v>1509</v>
      </c>
      <c r="C59" s="44" t="s">
        <v>1514</v>
      </c>
      <c r="D59" s="44">
        <v>240</v>
      </c>
      <c r="E59" s="44" t="s">
        <v>94</v>
      </c>
      <c r="F59" s="44">
        <v>20</v>
      </c>
      <c r="H59" s="44">
        <v>109</v>
      </c>
      <c r="I59" s="44" t="s">
        <v>574</v>
      </c>
      <c r="J59" s="44">
        <v>120</v>
      </c>
      <c r="K59" s="44">
        <v>2.2000000000000002</v>
      </c>
      <c r="AA59">
        <v>4</v>
      </c>
      <c r="AB59">
        <v>2021</v>
      </c>
      <c r="AC59" s="40">
        <f t="shared" si="6"/>
        <v>1</v>
      </c>
      <c r="AD59">
        <f t="shared" si="7"/>
        <v>1</v>
      </c>
      <c r="AE59">
        <f t="shared" si="2"/>
        <v>1</v>
      </c>
      <c r="AF59">
        <f t="shared" si="3"/>
        <v>15</v>
      </c>
    </row>
    <row r="60" spans="1:32" x14ac:dyDescent="0.25">
      <c r="A60" s="40"/>
      <c r="B60" s="46" t="s">
        <v>1579</v>
      </c>
      <c r="C60" s="46" t="s">
        <v>137</v>
      </c>
      <c r="D60" s="44">
        <v>101</v>
      </c>
      <c r="E60" s="46" t="s">
        <v>94</v>
      </c>
      <c r="F60" s="44">
        <v>10</v>
      </c>
      <c r="G60" t="s">
        <v>1472</v>
      </c>
      <c r="H60" s="44">
        <v>46</v>
      </c>
      <c r="I60" s="46" t="s">
        <v>574</v>
      </c>
      <c r="J60" s="44">
        <v>120</v>
      </c>
      <c r="K60" s="44">
        <v>2.2000000000000002</v>
      </c>
      <c r="AA60">
        <v>1</v>
      </c>
      <c r="AB60">
        <v>2022</v>
      </c>
      <c r="AC60" s="40">
        <f t="shared" si="6"/>
        <v>1</v>
      </c>
      <c r="AD60">
        <f t="shared" si="7"/>
        <v>1</v>
      </c>
      <c r="AE60">
        <f t="shared" si="2"/>
        <v>1</v>
      </c>
      <c r="AF60">
        <f t="shared" si="3"/>
        <v>102</v>
      </c>
    </row>
    <row r="61" spans="1:32" x14ac:dyDescent="0.25">
      <c r="B61" s="44" t="s">
        <v>1510</v>
      </c>
      <c r="C61" s="44" t="s">
        <v>143</v>
      </c>
      <c r="D61" s="44">
        <v>253</v>
      </c>
      <c r="E61" s="44"/>
      <c r="F61" s="44"/>
      <c r="H61" s="44">
        <v>60</v>
      </c>
      <c r="I61" s="44" t="s">
        <v>1364</v>
      </c>
      <c r="J61" s="44">
        <v>126</v>
      </c>
      <c r="K61" s="44">
        <v>4.2</v>
      </c>
      <c r="AA61">
        <v>2</v>
      </c>
      <c r="AB61">
        <v>2022</v>
      </c>
      <c r="AC61" s="40">
        <f t="shared" si="6"/>
        <v>1</v>
      </c>
      <c r="AD61">
        <f t="shared" si="7"/>
        <v>1</v>
      </c>
      <c r="AE61">
        <f t="shared" si="2"/>
        <v>1</v>
      </c>
      <c r="AF61">
        <f t="shared" si="3"/>
        <v>186</v>
      </c>
    </row>
    <row r="62" spans="1:32" x14ac:dyDescent="0.25">
      <c r="A62" s="40"/>
      <c r="B62" s="44" t="s">
        <v>1510</v>
      </c>
      <c r="C62" s="44" t="s">
        <v>1514</v>
      </c>
      <c r="D62" s="44">
        <v>250</v>
      </c>
      <c r="E62" s="44" t="s">
        <v>94</v>
      </c>
      <c r="F62" s="44"/>
      <c r="H62" s="44">
        <v>60</v>
      </c>
      <c r="I62" s="44" t="s">
        <v>619</v>
      </c>
      <c r="J62" s="44">
        <v>150</v>
      </c>
      <c r="K62" s="44">
        <v>4.2</v>
      </c>
      <c r="AA62">
        <v>1</v>
      </c>
      <c r="AB62">
        <v>2022</v>
      </c>
      <c r="AC62" s="40">
        <f t="shared" si="6"/>
        <v>1</v>
      </c>
      <c r="AD62">
        <f t="shared" si="7"/>
        <v>1</v>
      </c>
      <c r="AE62">
        <f t="shared" si="2"/>
        <v>1</v>
      </c>
      <c r="AF62">
        <f t="shared" si="3"/>
        <v>96</v>
      </c>
    </row>
    <row r="63" spans="1:32" x14ac:dyDescent="0.25">
      <c r="A63" s="40"/>
      <c r="B63" s="44" t="s">
        <v>1511</v>
      </c>
      <c r="C63" s="44" t="s">
        <v>1514</v>
      </c>
      <c r="D63" s="44">
        <v>207</v>
      </c>
      <c r="E63" s="44" t="s">
        <v>94</v>
      </c>
      <c r="F63" s="44">
        <v>10</v>
      </c>
      <c r="H63" s="44">
        <v>46</v>
      </c>
      <c r="I63" s="44" t="s">
        <v>1400</v>
      </c>
      <c r="J63" s="44">
        <v>150</v>
      </c>
      <c r="K63" s="44">
        <v>4.5</v>
      </c>
      <c r="AA63">
        <v>2</v>
      </c>
      <c r="AB63">
        <v>2022</v>
      </c>
      <c r="AC63" s="40">
        <f t="shared" si="6"/>
        <v>1</v>
      </c>
      <c r="AD63">
        <f t="shared" si="7"/>
        <v>1</v>
      </c>
      <c r="AE63">
        <f t="shared" si="2"/>
        <v>1</v>
      </c>
      <c r="AF63">
        <f t="shared" si="3"/>
        <v>185</v>
      </c>
    </row>
    <row r="64" spans="1:32" x14ac:dyDescent="0.25">
      <c r="B64" s="44" t="s">
        <v>1512</v>
      </c>
      <c r="C64" s="44" t="s">
        <v>605</v>
      </c>
      <c r="D64" s="44">
        <v>59</v>
      </c>
      <c r="E64" s="44" t="s">
        <v>93</v>
      </c>
      <c r="F64" s="44"/>
      <c r="G64" t="s">
        <v>1534</v>
      </c>
      <c r="H64" s="44">
        <v>14</v>
      </c>
      <c r="I64" s="44" t="s">
        <v>1156</v>
      </c>
      <c r="J64" s="44">
        <v>117</v>
      </c>
      <c r="K64" s="44">
        <v>4.2</v>
      </c>
      <c r="AA64">
        <v>3</v>
      </c>
      <c r="AB64">
        <v>2022</v>
      </c>
      <c r="AC64" s="40">
        <f t="shared" si="6"/>
        <v>1</v>
      </c>
      <c r="AD64">
        <f t="shared" si="7"/>
        <v>1</v>
      </c>
      <c r="AE64">
        <f t="shared" si="2"/>
        <v>1</v>
      </c>
      <c r="AF64">
        <f t="shared" si="3"/>
        <v>274</v>
      </c>
    </row>
    <row r="65" spans="1:32" x14ac:dyDescent="0.25">
      <c r="A65" s="40"/>
      <c r="B65" s="44" t="s">
        <v>1512</v>
      </c>
      <c r="C65" s="44" t="s">
        <v>206</v>
      </c>
      <c r="D65" s="44">
        <v>65</v>
      </c>
      <c r="E65" s="44" t="s">
        <v>94</v>
      </c>
      <c r="F65" s="44">
        <v>20</v>
      </c>
      <c r="G65" t="s">
        <v>1533</v>
      </c>
      <c r="H65" s="44">
        <v>17</v>
      </c>
      <c r="I65" s="44" t="s">
        <v>109</v>
      </c>
      <c r="J65" s="44">
        <v>126</v>
      </c>
      <c r="K65" s="44">
        <v>3.8</v>
      </c>
      <c r="L65" t="s">
        <v>587</v>
      </c>
      <c r="AA65">
        <v>2</v>
      </c>
      <c r="AB65">
        <v>2022</v>
      </c>
      <c r="AC65" s="40">
        <f t="shared" si="6"/>
        <v>1</v>
      </c>
      <c r="AD65">
        <f t="shared" si="7"/>
        <v>1</v>
      </c>
      <c r="AE65">
        <f t="shared" si="2"/>
        <v>1</v>
      </c>
      <c r="AF65">
        <f t="shared" si="3"/>
        <v>183</v>
      </c>
    </row>
    <row r="66" spans="1:32" x14ac:dyDescent="0.25">
      <c r="A66" s="40"/>
      <c r="B66" s="44" t="s">
        <v>1512</v>
      </c>
      <c r="C66" s="44" t="s">
        <v>146</v>
      </c>
      <c r="D66" s="44">
        <v>42</v>
      </c>
      <c r="E66" s="44" t="s">
        <v>94</v>
      </c>
      <c r="F66" s="44"/>
      <c r="H66" s="44">
        <v>10</v>
      </c>
      <c r="I66" s="44" t="s">
        <v>121</v>
      </c>
      <c r="J66" s="44">
        <v>136</v>
      </c>
      <c r="K66" s="44">
        <v>4.2</v>
      </c>
      <c r="AA66">
        <v>3</v>
      </c>
      <c r="AB66">
        <v>2022</v>
      </c>
      <c r="AC66" s="40">
        <f t="shared" si="6"/>
        <v>1</v>
      </c>
      <c r="AD66">
        <f t="shared" si="7"/>
        <v>1</v>
      </c>
      <c r="AE66">
        <f t="shared" si="2"/>
        <v>1</v>
      </c>
      <c r="AF66">
        <f t="shared" si="3"/>
        <v>274</v>
      </c>
    </row>
    <row r="67" spans="1:32" x14ac:dyDescent="0.25">
      <c r="A67" s="40"/>
      <c r="B67" s="44" t="s">
        <v>1512</v>
      </c>
      <c r="C67" s="44" t="s">
        <v>141</v>
      </c>
      <c r="D67" s="44">
        <v>189</v>
      </c>
      <c r="E67" s="44" t="s">
        <v>94</v>
      </c>
      <c r="F67" s="44">
        <v>20</v>
      </c>
      <c r="G67" t="s">
        <v>1102</v>
      </c>
      <c r="H67" s="44">
        <v>42</v>
      </c>
      <c r="I67" s="44" t="s">
        <v>619</v>
      </c>
      <c r="J67" s="44">
        <v>150</v>
      </c>
      <c r="K67" s="44">
        <v>4.5</v>
      </c>
      <c r="L67" t="s">
        <v>1410</v>
      </c>
      <c r="AA67">
        <v>3</v>
      </c>
      <c r="AB67">
        <v>2023</v>
      </c>
      <c r="AC67" s="40">
        <f t="shared" ref="AC67:AC85" si="8">COUNTIF($I$146:$I$176,I67)</f>
        <v>1</v>
      </c>
      <c r="AD67">
        <f t="shared" si="7"/>
        <v>1</v>
      </c>
      <c r="AE67">
        <f t="shared" ref="AE67:AE85" si="9">COUNTIF($C$213:$C$245,C67)</f>
        <v>1</v>
      </c>
      <c r="AF67">
        <f t="shared" ref="AF67:AF85" si="10">_xlfn.DAYS(DATE(AB67,AA67*3-2,1),DATE(RIGHT(B67,4),MID(B67,4,2),LEFT(B67,2)))</f>
        <v>639</v>
      </c>
    </row>
    <row r="68" spans="1:32" x14ac:dyDescent="0.25">
      <c r="A68" s="40"/>
      <c r="B68" s="44" t="s">
        <v>1512</v>
      </c>
      <c r="C68" s="44" t="s">
        <v>45</v>
      </c>
      <c r="D68" s="44">
        <v>151</v>
      </c>
      <c r="E68" s="44" t="s">
        <v>94</v>
      </c>
      <c r="F68" s="44"/>
      <c r="G68" t="s">
        <v>1532</v>
      </c>
      <c r="H68" s="44">
        <v>35</v>
      </c>
      <c r="I68" s="44" t="s">
        <v>619</v>
      </c>
      <c r="J68" s="44">
        <v>150</v>
      </c>
      <c r="K68" s="44">
        <v>4.3</v>
      </c>
      <c r="L68" t="s">
        <v>1405</v>
      </c>
      <c r="AA68">
        <v>2</v>
      </c>
      <c r="AB68">
        <v>2022</v>
      </c>
      <c r="AC68" s="40">
        <f t="shared" si="8"/>
        <v>1</v>
      </c>
      <c r="AD68">
        <f t="shared" ref="AD68:AD72" si="11">COUNTIF($C$145:$C$176,C68)</f>
        <v>1</v>
      </c>
      <c r="AE68">
        <f t="shared" si="9"/>
        <v>1</v>
      </c>
      <c r="AF68">
        <f t="shared" si="10"/>
        <v>183</v>
      </c>
    </row>
    <row r="69" spans="1:32" x14ac:dyDescent="0.25">
      <c r="B69" s="44" t="s">
        <v>1512</v>
      </c>
      <c r="C69" s="44" t="s">
        <v>1514</v>
      </c>
      <c r="D69" s="44">
        <v>63</v>
      </c>
      <c r="E69" s="44" t="s">
        <v>94</v>
      </c>
      <c r="F69" s="44">
        <v>20</v>
      </c>
      <c r="H69" s="44">
        <v>15</v>
      </c>
      <c r="I69" s="44" t="s">
        <v>1156</v>
      </c>
      <c r="J69" s="44">
        <v>117</v>
      </c>
      <c r="K69" s="44">
        <v>4.2</v>
      </c>
      <c r="AA69">
        <v>3</v>
      </c>
      <c r="AB69">
        <v>2022</v>
      </c>
      <c r="AC69" s="40">
        <f t="shared" si="8"/>
        <v>1</v>
      </c>
      <c r="AD69">
        <f t="shared" si="11"/>
        <v>1</v>
      </c>
      <c r="AE69">
        <f t="shared" si="9"/>
        <v>1</v>
      </c>
      <c r="AF69">
        <f t="shared" si="10"/>
        <v>274</v>
      </c>
    </row>
    <row r="70" spans="1:32" s="11" customFormat="1" x14ac:dyDescent="0.25">
      <c r="A70" s="41">
        <f>SUM(D49:D70)</f>
        <v>3167</v>
      </c>
      <c r="B70" s="71" t="s">
        <v>1512</v>
      </c>
      <c r="C70" s="71" t="s">
        <v>45</v>
      </c>
      <c r="D70" s="71">
        <v>297</v>
      </c>
      <c r="E70" s="71" t="s">
        <v>94</v>
      </c>
      <c r="F70" s="71">
        <v>25</v>
      </c>
      <c r="H70" s="71">
        <v>45</v>
      </c>
      <c r="I70" s="71" t="s">
        <v>1400</v>
      </c>
      <c r="J70" s="71">
        <v>150</v>
      </c>
      <c r="K70" s="71">
        <v>4.5</v>
      </c>
      <c r="O70" s="11">
        <v>22</v>
      </c>
      <c r="P70" s="11" t="s">
        <v>619</v>
      </c>
      <c r="Q70" s="11">
        <v>150</v>
      </c>
      <c r="R70" s="11">
        <v>4.2</v>
      </c>
      <c r="S70" s="11" t="s">
        <v>1405</v>
      </c>
      <c r="AA70" s="11">
        <v>3</v>
      </c>
      <c r="AB70" s="11">
        <v>2022</v>
      </c>
      <c r="AC70" s="41">
        <f t="shared" si="8"/>
        <v>1</v>
      </c>
      <c r="AD70" s="11">
        <f t="shared" si="11"/>
        <v>1</v>
      </c>
      <c r="AE70">
        <f t="shared" si="9"/>
        <v>1</v>
      </c>
      <c r="AF70">
        <f t="shared" si="10"/>
        <v>274</v>
      </c>
    </row>
    <row r="71" spans="1:32" x14ac:dyDescent="0.25">
      <c r="A71" s="40"/>
      <c r="B71" s="46" t="s">
        <v>1580</v>
      </c>
      <c r="C71" s="46" t="s">
        <v>141</v>
      </c>
      <c r="D71" s="44">
        <v>99</v>
      </c>
      <c r="E71" s="46" t="s">
        <v>94</v>
      </c>
      <c r="F71" s="44">
        <v>15</v>
      </c>
      <c r="H71" s="44">
        <v>22</v>
      </c>
      <c r="I71" s="46" t="s">
        <v>1400</v>
      </c>
      <c r="J71" s="44">
        <v>150</v>
      </c>
      <c r="K71" s="44">
        <v>4.5</v>
      </c>
      <c r="AB71">
        <v>2023</v>
      </c>
      <c r="AC71" s="40">
        <f t="shared" si="8"/>
        <v>1</v>
      </c>
      <c r="AD71">
        <f t="shared" si="11"/>
        <v>1</v>
      </c>
      <c r="AE71">
        <f t="shared" si="9"/>
        <v>1</v>
      </c>
      <c r="AF71">
        <f t="shared" si="10"/>
        <v>298</v>
      </c>
    </row>
    <row r="72" spans="1:32" x14ac:dyDescent="0.25">
      <c r="B72" s="44" t="s">
        <v>1515</v>
      </c>
      <c r="C72" s="44" t="s">
        <v>1514</v>
      </c>
      <c r="D72" s="44">
        <v>235</v>
      </c>
      <c r="E72" s="44" t="s">
        <v>94</v>
      </c>
      <c r="F72" s="44">
        <v>10</v>
      </c>
      <c r="H72" s="44">
        <v>33</v>
      </c>
      <c r="I72" s="44" t="s">
        <v>619</v>
      </c>
      <c r="J72" s="44">
        <v>150</v>
      </c>
      <c r="K72" s="44">
        <v>3.6</v>
      </c>
      <c r="L72" t="s">
        <v>566</v>
      </c>
      <c r="O72">
        <v>32</v>
      </c>
      <c r="P72" t="s">
        <v>108</v>
      </c>
      <c r="Q72">
        <v>136</v>
      </c>
      <c r="R72">
        <v>3.45</v>
      </c>
      <c r="S72" t="s">
        <v>566</v>
      </c>
      <c r="Z72" t="s">
        <v>1527</v>
      </c>
      <c r="AA72">
        <v>2</v>
      </c>
      <c r="AB72">
        <v>2022</v>
      </c>
      <c r="AC72" s="40">
        <f t="shared" si="8"/>
        <v>1</v>
      </c>
      <c r="AD72">
        <f t="shared" si="11"/>
        <v>1</v>
      </c>
      <c r="AE72">
        <f t="shared" si="9"/>
        <v>1</v>
      </c>
      <c r="AF72">
        <f t="shared" si="10"/>
        <v>114</v>
      </c>
    </row>
    <row r="73" spans="1:32" x14ac:dyDescent="0.25">
      <c r="B73" s="44" t="s">
        <v>1516</v>
      </c>
      <c r="C73" s="44" t="s">
        <v>1514</v>
      </c>
      <c r="D73" s="44">
        <v>301</v>
      </c>
      <c r="E73" s="44" t="s">
        <v>94</v>
      </c>
      <c r="F73" s="44">
        <v>15</v>
      </c>
      <c r="G73" t="s">
        <v>1531</v>
      </c>
      <c r="H73" s="44">
        <v>49</v>
      </c>
      <c r="I73" s="44" t="s">
        <v>1404</v>
      </c>
      <c r="J73" s="44">
        <v>162</v>
      </c>
      <c r="K73" s="44">
        <v>6</v>
      </c>
      <c r="O73">
        <v>2</v>
      </c>
      <c r="P73" t="s">
        <v>108</v>
      </c>
      <c r="Q73">
        <v>136</v>
      </c>
      <c r="R73">
        <v>3.45</v>
      </c>
      <c r="AA73">
        <v>4</v>
      </c>
      <c r="AB73">
        <v>2022</v>
      </c>
      <c r="AC73" s="40">
        <f t="shared" si="8"/>
        <v>1</v>
      </c>
      <c r="AD73" s="40">
        <f t="shared" ref="AD73:AD85" si="12">COUNTIF($C$145:$C$176,C73)</f>
        <v>1</v>
      </c>
      <c r="AE73">
        <f t="shared" si="9"/>
        <v>1</v>
      </c>
      <c r="AF73">
        <f t="shared" si="10"/>
        <v>282</v>
      </c>
    </row>
    <row r="74" spans="1:32" x14ac:dyDescent="0.25">
      <c r="B74" s="44" t="s">
        <v>1517</v>
      </c>
      <c r="C74" s="44" t="s">
        <v>318</v>
      </c>
      <c r="D74" s="44">
        <v>87</v>
      </c>
      <c r="E74" s="44" t="s">
        <v>94</v>
      </c>
      <c r="F74" s="44">
        <v>25</v>
      </c>
      <c r="G74" t="s">
        <v>1529</v>
      </c>
      <c r="H74" s="44">
        <v>14</v>
      </c>
      <c r="I74" s="44" t="s">
        <v>1486</v>
      </c>
      <c r="J74" s="44">
        <v>162</v>
      </c>
      <c r="K74" s="44">
        <v>6.2</v>
      </c>
      <c r="AA74">
        <v>2</v>
      </c>
      <c r="AB74">
        <v>2023</v>
      </c>
      <c r="AC74" s="40">
        <f t="shared" si="8"/>
        <v>1</v>
      </c>
      <c r="AD74" s="40">
        <f t="shared" si="12"/>
        <v>1</v>
      </c>
      <c r="AE74">
        <f t="shared" si="9"/>
        <v>1</v>
      </c>
      <c r="AF74">
        <f t="shared" si="10"/>
        <v>458</v>
      </c>
    </row>
    <row r="75" spans="1:32" x14ac:dyDescent="0.25">
      <c r="B75" s="44" t="s">
        <v>1517</v>
      </c>
      <c r="C75" s="44" t="s">
        <v>146</v>
      </c>
      <c r="D75" s="44">
        <v>25</v>
      </c>
      <c r="E75" s="44"/>
      <c r="F75" s="44"/>
      <c r="G75" t="s">
        <v>1530</v>
      </c>
      <c r="H75" s="44">
        <v>6</v>
      </c>
      <c r="I75" s="44" t="s">
        <v>121</v>
      </c>
      <c r="J75" s="44">
        <v>136</v>
      </c>
      <c r="K75" s="44">
        <v>4.2</v>
      </c>
      <c r="AA75">
        <v>3</v>
      </c>
      <c r="AB75">
        <v>2022</v>
      </c>
      <c r="AC75" s="40">
        <f t="shared" si="8"/>
        <v>1</v>
      </c>
      <c r="AD75" s="40">
        <f t="shared" si="12"/>
        <v>1</v>
      </c>
      <c r="AE75">
        <f t="shared" si="9"/>
        <v>1</v>
      </c>
      <c r="AF75">
        <f t="shared" si="10"/>
        <v>184</v>
      </c>
    </row>
    <row r="76" spans="1:32" x14ac:dyDescent="0.25">
      <c r="B76" s="44" t="s">
        <v>1517</v>
      </c>
      <c r="C76" s="44" t="s">
        <v>27</v>
      </c>
      <c r="D76" s="44">
        <v>81</v>
      </c>
      <c r="E76" s="44" t="s">
        <v>94</v>
      </c>
      <c r="F76" s="44">
        <v>20</v>
      </c>
      <c r="G76" t="s">
        <v>1528</v>
      </c>
      <c r="H76" s="44">
        <v>18</v>
      </c>
      <c r="I76" s="44" t="s">
        <v>1400</v>
      </c>
      <c r="J76" s="44">
        <v>150</v>
      </c>
      <c r="K76" s="44">
        <v>4.5</v>
      </c>
      <c r="AA76">
        <v>3</v>
      </c>
      <c r="AB76">
        <v>2022</v>
      </c>
      <c r="AC76" s="40">
        <f t="shared" si="8"/>
        <v>1</v>
      </c>
      <c r="AD76" s="40">
        <f t="shared" si="12"/>
        <v>1</v>
      </c>
      <c r="AE76">
        <f t="shared" si="9"/>
        <v>1</v>
      </c>
      <c r="AF76">
        <f t="shared" si="10"/>
        <v>184</v>
      </c>
    </row>
    <row r="77" spans="1:32" x14ac:dyDescent="0.25">
      <c r="B77" s="44" t="s">
        <v>1517</v>
      </c>
      <c r="C77" s="44" t="s">
        <v>206</v>
      </c>
      <c r="D77" s="44">
        <v>56</v>
      </c>
      <c r="E77" s="44" t="s">
        <v>94</v>
      </c>
      <c r="F77" s="44">
        <v>10</v>
      </c>
      <c r="H77" s="44">
        <v>6</v>
      </c>
      <c r="I77" s="44" t="s">
        <v>108</v>
      </c>
      <c r="J77" s="44">
        <v>126</v>
      </c>
      <c r="K77" s="44">
        <v>3.45</v>
      </c>
      <c r="O77">
        <v>6</v>
      </c>
      <c r="P77" s="44" t="s">
        <v>109</v>
      </c>
      <c r="Q77" s="44">
        <v>126</v>
      </c>
      <c r="R77" s="44">
        <v>3.45</v>
      </c>
      <c r="U77">
        <v>6</v>
      </c>
      <c r="V77" t="s">
        <v>115</v>
      </c>
      <c r="W77">
        <v>117</v>
      </c>
      <c r="X77">
        <v>3.45</v>
      </c>
      <c r="Z77" t="s">
        <v>1527</v>
      </c>
      <c r="AA77">
        <v>2</v>
      </c>
      <c r="AB77">
        <v>2022</v>
      </c>
      <c r="AC77" s="40">
        <f t="shared" si="8"/>
        <v>1</v>
      </c>
      <c r="AD77" s="40">
        <f t="shared" si="12"/>
        <v>1</v>
      </c>
      <c r="AE77">
        <f t="shared" si="9"/>
        <v>1</v>
      </c>
      <c r="AF77">
        <f t="shared" si="10"/>
        <v>93</v>
      </c>
    </row>
    <row r="78" spans="1:32" x14ac:dyDescent="0.25">
      <c r="B78" s="44" t="s">
        <v>1518</v>
      </c>
      <c r="C78" s="44" t="s">
        <v>138</v>
      </c>
      <c r="D78" s="44">
        <v>42</v>
      </c>
      <c r="E78" s="44" t="s">
        <v>93</v>
      </c>
      <c r="F78" s="44">
        <v>20</v>
      </c>
      <c r="G78" t="s">
        <v>1526</v>
      </c>
      <c r="H78" s="44">
        <v>7</v>
      </c>
      <c r="I78" s="44" t="s">
        <v>1404</v>
      </c>
      <c r="J78" s="44">
        <v>162</v>
      </c>
      <c r="K78" s="44">
        <v>6</v>
      </c>
      <c r="AA78">
        <v>1</v>
      </c>
      <c r="AB78">
        <v>2023</v>
      </c>
      <c r="AC78" s="40">
        <f t="shared" si="8"/>
        <v>1</v>
      </c>
      <c r="AD78" s="40">
        <f t="shared" si="12"/>
        <v>1</v>
      </c>
      <c r="AE78">
        <f t="shared" si="9"/>
        <v>1</v>
      </c>
      <c r="AF78">
        <f t="shared" si="10"/>
        <v>367</v>
      </c>
    </row>
    <row r="79" spans="1:32" x14ac:dyDescent="0.25">
      <c r="B79" s="44" t="s">
        <v>1519</v>
      </c>
      <c r="C79" s="44" t="s">
        <v>141</v>
      </c>
      <c r="D79" s="44">
        <v>113</v>
      </c>
      <c r="E79" s="44" t="s">
        <v>94</v>
      </c>
      <c r="F79" s="44">
        <v>15</v>
      </c>
      <c r="H79" s="44">
        <v>25</v>
      </c>
      <c r="I79" s="44" t="s">
        <v>1400</v>
      </c>
      <c r="J79" s="44">
        <v>150</v>
      </c>
      <c r="K79" s="44">
        <v>4.5</v>
      </c>
      <c r="AA79">
        <v>2</v>
      </c>
      <c r="AB79">
        <v>2023</v>
      </c>
      <c r="AC79" s="40">
        <f t="shared" si="8"/>
        <v>1</v>
      </c>
      <c r="AD79" s="40">
        <f t="shared" si="12"/>
        <v>1</v>
      </c>
      <c r="AE79">
        <f t="shared" si="9"/>
        <v>1</v>
      </c>
      <c r="AF79">
        <f t="shared" si="10"/>
        <v>456</v>
      </c>
    </row>
    <row r="80" spans="1:32" x14ac:dyDescent="0.25">
      <c r="B80" s="44" t="s">
        <v>1519</v>
      </c>
      <c r="C80" s="44" t="s">
        <v>1514</v>
      </c>
      <c r="D80" s="44">
        <v>221</v>
      </c>
      <c r="E80" s="44" t="s">
        <v>94</v>
      </c>
      <c r="F80" s="44">
        <v>10</v>
      </c>
      <c r="H80" s="44">
        <v>46</v>
      </c>
      <c r="I80" s="44" t="s">
        <v>1400</v>
      </c>
      <c r="J80" s="44">
        <v>150</v>
      </c>
      <c r="K80" s="44">
        <v>4.5</v>
      </c>
      <c r="O80">
        <v>3</v>
      </c>
      <c r="P80" t="s">
        <v>110</v>
      </c>
      <c r="Q80">
        <v>110</v>
      </c>
      <c r="R80">
        <v>2.2000000000000002</v>
      </c>
      <c r="S80" t="s">
        <v>1524</v>
      </c>
      <c r="U80">
        <v>2</v>
      </c>
      <c r="V80" t="s">
        <v>108</v>
      </c>
      <c r="W80">
        <v>136</v>
      </c>
      <c r="X80">
        <v>3.6</v>
      </c>
      <c r="Y80" t="s">
        <v>1525</v>
      </c>
      <c r="AA80">
        <v>3</v>
      </c>
      <c r="AB80">
        <v>2022</v>
      </c>
      <c r="AC80" s="40">
        <f t="shared" si="8"/>
        <v>1</v>
      </c>
      <c r="AD80" s="40">
        <f t="shared" si="12"/>
        <v>1</v>
      </c>
      <c r="AE80">
        <f t="shared" si="9"/>
        <v>1</v>
      </c>
      <c r="AF80">
        <f t="shared" si="10"/>
        <v>182</v>
      </c>
    </row>
    <row r="81" spans="1:32" x14ac:dyDescent="0.25">
      <c r="B81" s="44" t="s">
        <v>1519</v>
      </c>
      <c r="C81" s="44" t="s">
        <v>527</v>
      </c>
      <c r="D81" s="44">
        <v>257</v>
      </c>
      <c r="E81" s="44" t="s">
        <v>94</v>
      </c>
      <c r="F81" s="44"/>
      <c r="G81" t="s">
        <v>1522</v>
      </c>
      <c r="H81" s="44">
        <v>37</v>
      </c>
      <c r="I81" s="44" t="s">
        <v>1486</v>
      </c>
      <c r="J81" s="44">
        <v>162</v>
      </c>
      <c r="K81" s="44">
        <v>6.2</v>
      </c>
      <c r="O81">
        <v>8</v>
      </c>
      <c r="P81" t="s">
        <v>109</v>
      </c>
      <c r="Q81">
        <v>126</v>
      </c>
      <c r="R81">
        <v>3.45</v>
      </c>
      <c r="S81" t="s">
        <v>1523</v>
      </c>
      <c r="AA81">
        <v>3</v>
      </c>
      <c r="AB81">
        <v>2022</v>
      </c>
      <c r="AC81" s="40">
        <f t="shared" si="8"/>
        <v>1</v>
      </c>
      <c r="AD81" s="40">
        <f t="shared" si="12"/>
        <v>1</v>
      </c>
      <c r="AE81">
        <f t="shared" si="9"/>
        <v>1</v>
      </c>
      <c r="AF81">
        <f t="shared" si="10"/>
        <v>182</v>
      </c>
    </row>
    <row r="82" spans="1:32" x14ac:dyDescent="0.25">
      <c r="B82" s="44" t="s">
        <v>1519</v>
      </c>
      <c r="C82" s="44" t="s">
        <v>141</v>
      </c>
      <c r="D82" s="44">
        <v>248</v>
      </c>
      <c r="E82" s="44" t="s">
        <v>94</v>
      </c>
      <c r="F82" s="44">
        <v>20</v>
      </c>
      <c r="G82" t="s">
        <v>1521</v>
      </c>
      <c r="H82" s="44">
        <v>55</v>
      </c>
      <c r="I82" s="44" t="s">
        <v>1400</v>
      </c>
      <c r="J82" s="44">
        <v>150</v>
      </c>
      <c r="K82" s="44">
        <v>4.5</v>
      </c>
      <c r="AA82">
        <v>2</v>
      </c>
      <c r="AB82">
        <v>2023</v>
      </c>
      <c r="AC82" s="40">
        <f t="shared" si="8"/>
        <v>1</v>
      </c>
      <c r="AD82" s="40">
        <f t="shared" si="12"/>
        <v>1</v>
      </c>
      <c r="AE82">
        <f t="shared" si="9"/>
        <v>1</v>
      </c>
      <c r="AF82">
        <f t="shared" si="10"/>
        <v>456</v>
      </c>
    </row>
    <row r="83" spans="1:32" x14ac:dyDescent="0.25">
      <c r="B83" s="44" t="s">
        <v>1519</v>
      </c>
      <c r="C83" s="44" t="s">
        <v>206</v>
      </c>
      <c r="D83" s="44">
        <v>80</v>
      </c>
      <c r="E83" s="44" t="s">
        <v>94</v>
      </c>
      <c r="F83" s="44">
        <v>20</v>
      </c>
      <c r="H83" s="44">
        <v>20</v>
      </c>
      <c r="I83" s="44" t="s">
        <v>109</v>
      </c>
      <c r="J83" s="44">
        <v>126</v>
      </c>
      <c r="K83" s="44">
        <v>4</v>
      </c>
      <c r="AB83">
        <v>2022</v>
      </c>
      <c r="AC83" s="40">
        <f t="shared" si="8"/>
        <v>1</v>
      </c>
      <c r="AD83" s="40">
        <f t="shared" si="12"/>
        <v>1</v>
      </c>
      <c r="AE83">
        <f t="shared" si="9"/>
        <v>1</v>
      </c>
      <c r="AF83">
        <f t="shared" si="10"/>
        <v>-91</v>
      </c>
    </row>
    <row r="84" spans="1:32" x14ac:dyDescent="0.25">
      <c r="B84" s="44" t="s">
        <v>1519</v>
      </c>
      <c r="C84" s="44" t="s">
        <v>527</v>
      </c>
      <c r="D84" s="44">
        <v>116</v>
      </c>
      <c r="E84" s="44" t="s">
        <v>94</v>
      </c>
      <c r="F84" s="44"/>
      <c r="H84" s="44">
        <v>13</v>
      </c>
      <c r="I84" s="44" t="s">
        <v>1404</v>
      </c>
      <c r="J84" s="44">
        <v>162</v>
      </c>
      <c r="K84" s="44">
        <v>6</v>
      </c>
      <c r="O84">
        <v>9</v>
      </c>
      <c r="P84" t="s">
        <v>1156</v>
      </c>
      <c r="Q84">
        <v>117</v>
      </c>
      <c r="R84">
        <v>4.2</v>
      </c>
      <c r="S84" t="s">
        <v>1520</v>
      </c>
      <c r="AA84">
        <v>2</v>
      </c>
      <c r="AB84">
        <v>2022</v>
      </c>
      <c r="AC84" s="40">
        <f t="shared" si="8"/>
        <v>1</v>
      </c>
      <c r="AD84" s="40">
        <f t="shared" si="12"/>
        <v>1</v>
      </c>
      <c r="AE84">
        <f t="shared" si="9"/>
        <v>1</v>
      </c>
      <c r="AF84">
        <f t="shared" si="10"/>
        <v>91</v>
      </c>
    </row>
    <row r="85" spans="1:32" s="11" customFormat="1" x14ac:dyDescent="0.25">
      <c r="A85" s="41">
        <f>SUM(D71:D85)</f>
        <v>2011</v>
      </c>
      <c r="B85" s="71" t="s">
        <v>1519</v>
      </c>
      <c r="C85" s="71" t="s">
        <v>161</v>
      </c>
      <c r="D85" s="71">
        <v>50</v>
      </c>
      <c r="E85" s="71"/>
      <c r="F85" s="71"/>
      <c r="H85" s="71">
        <v>14</v>
      </c>
      <c r="I85" s="71" t="s">
        <v>109</v>
      </c>
      <c r="J85" s="71">
        <v>126</v>
      </c>
      <c r="K85" s="71">
        <v>3.6</v>
      </c>
      <c r="L85" s="11" t="s">
        <v>566</v>
      </c>
      <c r="M85" s="71">
        <v>132</v>
      </c>
      <c r="AA85" s="11">
        <v>4</v>
      </c>
      <c r="AB85" s="11">
        <v>2022</v>
      </c>
      <c r="AC85" s="41">
        <f t="shared" si="8"/>
        <v>1</v>
      </c>
      <c r="AD85" s="41">
        <f t="shared" si="12"/>
        <v>1</v>
      </c>
      <c r="AE85">
        <f t="shared" si="9"/>
        <v>1</v>
      </c>
      <c r="AF85">
        <f t="shared" si="10"/>
        <v>274</v>
      </c>
    </row>
    <row r="86" spans="1:32" ht="15.75" thickBot="1" x14ac:dyDescent="0.3">
      <c r="H86" s="1"/>
      <c r="AC86" s="40"/>
      <c r="AD86" s="40"/>
    </row>
    <row r="87" spans="1:32" x14ac:dyDescent="0.25">
      <c r="B87" s="72" t="s">
        <v>1573</v>
      </c>
      <c r="C87" s="73"/>
      <c r="D87" s="74"/>
      <c r="E87" s="74"/>
      <c r="H87" s="1"/>
      <c r="AC87" s="40"/>
      <c r="AD87" s="40"/>
    </row>
    <row r="88" spans="1:32" x14ac:dyDescent="0.25">
      <c r="B88" s="75" t="s">
        <v>1574</v>
      </c>
      <c r="D88" s="80">
        <v>956</v>
      </c>
      <c r="E88" s="76"/>
      <c r="H88" s="1"/>
      <c r="AC88" s="40"/>
      <c r="AD88" s="40"/>
    </row>
    <row r="89" spans="1:32" x14ac:dyDescent="0.25">
      <c r="A89" s="40"/>
      <c r="B89" s="77" t="s">
        <v>1575</v>
      </c>
      <c r="D89" s="81">
        <v>1163</v>
      </c>
      <c r="E89" s="76"/>
      <c r="H89" s="1"/>
      <c r="AC89" s="40"/>
      <c r="AD89" s="40"/>
    </row>
    <row r="90" spans="1:32" x14ac:dyDescent="0.25">
      <c r="A90" s="40"/>
      <c r="B90" s="77" t="s">
        <v>1576</v>
      </c>
      <c r="D90" s="81">
        <v>560</v>
      </c>
      <c r="E90" s="76"/>
      <c r="H90" s="1"/>
      <c r="AC90" s="40"/>
      <c r="AD90" s="40"/>
    </row>
    <row r="91" spans="1:32" x14ac:dyDescent="0.25">
      <c r="A91" s="40"/>
      <c r="B91" s="77" t="s">
        <v>1577</v>
      </c>
      <c r="D91" s="81">
        <v>852</v>
      </c>
      <c r="E91" s="76"/>
      <c r="H91" s="1"/>
      <c r="AC91" s="40"/>
      <c r="AD91" s="40"/>
    </row>
    <row r="92" spans="1:32" ht="15.75" thickBot="1" x14ac:dyDescent="0.3">
      <c r="A92" s="40"/>
      <c r="B92" s="82" t="s">
        <v>1163</v>
      </c>
      <c r="C92" s="60"/>
      <c r="D92" s="83">
        <f>SUM(D2:D91)</f>
        <v>13896</v>
      </c>
      <c r="E92" s="76"/>
      <c r="H92" s="1"/>
      <c r="AC92" s="40"/>
      <c r="AD92" s="40"/>
    </row>
    <row r="93" spans="1:32" hidden="1" x14ac:dyDescent="0.25">
      <c r="A93" s="40"/>
      <c r="B93" s="77"/>
      <c r="E93" s="76"/>
      <c r="H93" s="1"/>
      <c r="AC93" s="40"/>
      <c r="AD93" s="40"/>
    </row>
    <row r="94" spans="1:32" hidden="1" x14ac:dyDescent="0.25">
      <c r="A94" s="40"/>
      <c r="B94" s="77"/>
      <c r="E94" s="76"/>
      <c r="H94" s="1"/>
      <c r="AC94" s="40"/>
      <c r="AD94" s="40"/>
    </row>
    <row r="95" spans="1:32" hidden="1" x14ac:dyDescent="0.25">
      <c r="A95" s="40"/>
      <c r="B95" s="77"/>
      <c r="E95" s="76"/>
      <c r="H95" s="1"/>
      <c r="AC95" s="40"/>
      <c r="AD95" s="40"/>
    </row>
    <row r="96" spans="1:32" hidden="1" x14ac:dyDescent="0.25">
      <c r="A96" s="40"/>
      <c r="B96" s="77"/>
      <c r="E96" s="76"/>
      <c r="H96" s="1"/>
      <c r="AC96" s="40"/>
      <c r="AD96" s="40"/>
    </row>
    <row r="97" spans="1:30" hidden="1" x14ac:dyDescent="0.25">
      <c r="A97" s="40"/>
      <c r="B97" s="77"/>
      <c r="E97" s="76"/>
      <c r="H97" s="1"/>
      <c r="AC97" s="40"/>
      <c r="AD97" s="40"/>
    </row>
    <row r="98" spans="1:30" hidden="1" x14ac:dyDescent="0.25">
      <c r="A98" s="40"/>
      <c r="B98" s="77"/>
      <c r="E98" s="76"/>
      <c r="H98" s="1"/>
      <c r="AC98" s="40"/>
      <c r="AD98" s="40"/>
    </row>
    <row r="99" spans="1:30" hidden="1" x14ac:dyDescent="0.25">
      <c r="A99" s="40"/>
      <c r="B99" s="77"/>
      <c r="E99" s="76"/>
      <c r="H99" s="1"/>
      <c r="AC99" s="40"/>
      <c r="AD99" s="40"/>
    </row>
    <row r="100" spans="1:30" hidden="1" x14ac:dyDescent="0.25">
      <c r="A100" s="40"/>
      <c r="B100" s="77"/>
      <c r="E100" s="76"/>
      <c r="H100" s="1"/>
      <c r="AC100" s="40"/>
      <c r="AD100" s="40"/>
    </row>
    <row r="101" spans="1:30" hidden="1" x14ac:dyDescent="0.25">
      <c r="A101" s="40"/>
      <c r="B101" s="77"/>
      <c r="E101" s="76"/>
      <c r="H101" s="1"/>
      <c r="AC101" s="40"/>
      <c r="AD101" s="40"/>
    </row>
    <row r="102" spans="1:30" hidden="1" x14ac:dyDescent="0.25">
      <c r="A102" s="40"/>
      <c r="B102" s="77"/>
      <c r="E102" s="76"/>
      <c r="H102" s="1"/>
      <c r="AC102" s="40"/>
      <c r="AD102" s="40"/>
    </row>
    <row r="103" spans="1:30" hidden="1" x14ac:dyDescent="0.25">
      <c r="A103" s="40"/>
      <c r="B103" s="77"/>
      <c r="E103" s="76"/>
      <c r="H103" s="1"/>
      <c r="AC103" s="40"/>
      <c r="AD103" s="40"/>
    </row>
    <row r="104" spans="1:30" hidden="1" x14ac:dyDescent="0.25">
      <c r="A104" s="40"/>
      <c r="B104" s="77"/>
      <c r="E104" s="76"/>
      <c r="H104" s="1"/>
      <c r="AC104" s="40"/>
      <c r="AD104" s="40"/>
    </row>
    <row r="105" spans="1:30" hidden="1" x14ac:dyDescent="0.25">
      <c r="A105" s="40"/>
      <c r="B105" s="77"/>
      <c r="E105" s="76"/>
      <c r="H105" s="1"/>
      <c r="AC105" s="40"/>
      <c r="AD105" s="40"/>
    </row>
    <row r="106" spans="1:30" hidden="1" x14ac:dyDescent="0.25">
      <c r="A106" s="40"/>
      <c r="B106" s="77"/>
      <c r="E106" s="76"/>
      <c r="H106" s="1"/>
      <c r="AC106" s="40"/>
      <c r="AD106" s="40"/>
    </row>
    <row r="107" spans="1:30" hidden="1" x14ac:dyDescent="0.25">
      <c r="A107" s="40"/>
      <c r="B107" s="77"/>
      <c r="E107" s="76"/>
      <c r="H107" s="1"/>
      <c r="AC107" s="40"/>
      <c r="AD107" s="40"/>
    </row>
    <row r="108" spans="1:30" hidden="1" x14ac:dyDescent="0.25">
      <c r="A108" s="40"/>
      <c r="B108" s="77"/>
      <c r="E108" s="76"/>
      <c r="H108" s="1"/>
      <c r="AC108" s="40"/>
      <c r="AD108" s="40"/>
    </row>
    <row r="109" spans="1:30" hidden="1" x14ac:dyDescent="0.25">
      <c r="A109" s="40"/>
      <c r="B109" s="77"/>
      <c r="E109" s="76"/>
      <c r="H109" s="1"/>
      <c r="AC109" s="40"/>
      <c r="AD109" s="40"/>
    </row>
    <row r="110" spans="1:30" hidden="1" x14ac:dyDescent="0.25">
      <c r="A110" s="40"/>
      <c r="B110" s="77"/>
      <c r="E110" s="76"/>
      <c r="H110" s="1"/>
      <c r="AC110" s="40"/>
      <c r="AD110" s="40"/>
    </row>
    <row r="111" spans="1:30" hidden="1" x14ac:dyDescent="0.25">
      <c r="A111" s="40"/>
      <c r="B111" s="77"/>
      <c r="E111" s="76"/>
      <c r="H111" s="1"/>
      <c r="AC111" s="40"/>
      <c r="AD111" s="40"/>
    </row>
    <row r="112" spans="1:30" hidden="1" x14ac:dyDescent="0.25">
      <c r="A112" s="40"/>
      <c r="B112" s="77"/>
      <c r="E112" s="76"/>
      <c r="H112" s="1"/>
      <c r="AC112" s="40"/>
      <c r="AD112" s="40"/>
    </row>
    <row r="113" spans="1:30" hidden="1" x14ac:dyDescent="0.25">
      <c r="A113" s="40"/>
      <c r="B113" s="77"/>
      <c r="E113" s="76"/>
      <c r="H113" s="1"/>
      <c r="AC113" s="40"/>
      <c r="AD113" s="40"/>
    </row>
    <row r="114" spans="1:30" hidden="1" x14ac:dyDescent="0.25">
      <c r="A114" s="40"/>
      <c r="B114" s="77"/>
      <c r="E114" s="76"/>
      <c r="H114" s="1"/>
      <c r="AC114" s="40"/>
      <c r="AD114" s="40"/>
    </row>
    <row r="115" spans="1:30" hidden="1" x14ac:dyDescent="0.25">
      <c r="A115" s="40"/>
      <c r="B115" s="77"/>
      <c r="E115" s="76"/>
      <c r="H115" s="1"/>
      <c r="AC115" s="40"/>
      <c r="AD115" s="40"/>
    </row>
    <row r="116" spans="1:30" hidden="1" x14ac:dyDescent="0.25">
      <c r="A116" s="40"/>
      <c r="B116" s="77"/>
      <c r="E116" s="76"/>
      <c r="H116" s="1"/>
      <c r="AC116" s="40"/>
      <c r="AD116" s="40"/>
    </row>
    <row r="117" spans="1:30" hidden="1" x14ac:dyDescent="0.25">
      <c r="A117" s="40"/>
      <c r="B117" s="77"/>
      <c r="E117" s="76"/>
      <c r="H117" s="1"/>
      <c r="AC117" s="40"/>
      <c r="AD117" s="40"/>
    </row>
    <row r="118" spans="1:30" hidden="1" x14ac:dyDescent="0.25">
      <c r="A118" s="40"/>
      <c r="B118" s="77"/>
      <c r="E118" s="76"/>
      <c r="H118" s="1"/>
      <c r="AC118" s="40"/>
      <c r="AD118" s="40"/>
    </row>
    <row r="119" spans="1:30" hidden="1" x14ac:dyDescent="0.25">
      <c r="A119" s="40"/>
      <c r="B119" s="77"/>
      <c r="E119" s="76"/>
      <c r="H119" s="1"/>
      <c r="AC119" s="40"/>
      <c r="AD119" s="40"/>
    </row>
    <row r="120" spans="1:30" hidden="1" x14ac:dyDescent="0.25">
      <c r="A120" s="40"/>
      <c r="B120" s="77"/>
      <c r="E120" s="76"/>
      <c r="H120" s="1"/>
      <c r="AC120" s="40"/>
      <c r="AD120" s="40"/>
    </row>
    <row r="121" spans="1:30" hidden="1" x14ac:dyDescent="0.25">
      <c r="A121" s="40"/>
      <c r="B121" s="77"/>
      <c r="E121" s="76"/>
      <c r="H121" s="1"/>
      <c r="AC121" s="40"/>
      <c r="AD121" s="40"/>
    </row>
    <row r="122" spans="1:30" ht="15.75" thickBot="1" x14ac:dyDescent="0.3">
      <c r="A122" s="40"/>
      <c r="B122" s="84" t="s">
        <v>1625</v>
      </c>
      <c r="C122" s="85"/>
      <c r="D122" s="86">
        <f>SUM(D88:D91)</f>
        <v>3531</v>
      </c>
      <c r="E122" s="87">
        <f>D122/D92</f>
        <v>0.25410189982728842</v>
      </c>
      <c r="H122" s="1"/>
      <c r="AC122" s="40"/>
      <c r="AD122" s="40"/>
    </row>
    <row r="123" spans="1:30" s="11" customFormat="1" x14ac:dyDescent="0.25">
      <c r="A123"/>
      <c r="H123" s="28"/>
      <c r="AC123" s="40"/>
      <c r="AD123" s="40"/>
    </row>
    <row r="124" spans="1:30" x14ac:dyDescent="0.25">
      <c r="A124" s="40"/>
      <c r="H124" s="1"/>
      <c r="AC124" s="40"/>
      <c r="AD124" s="40"/>
    </row>
    <row r="125" spans="1:30" hidden="1" x14ac:dyDescent="0.25">
      <c r="A125" s="40"/>
      <c r="H125" s="1"/>
      <c r="AC125" s="40"/>
      <c r="AD125" s="40"/>
    </row>
    <row r="126" spans="1:30" hidden="1" x14ac:dyDescent="0.25">
      <c r="A126" s="40"/>
      <c r="H126" s="1"/>
      <c r="AC126" s="40"/>
      <c r="AD126" s="40"/>
    </row>
    <row r="127" spans="1:30" hidden="1" x14ac:dyDescent="0.25">
      <c r="B127" s="2"/>
      <c r="H127" s="1"/>
      <c r="AC127" s="40"/>
      <c r="AD127" s="40"/>
    </row>
    <row r="128" spans="1:30" hidden="1" x14ac:dyDescent="0.25">
      <c r="B128" s="2"/>
      <c r="H128" s="1"/>
      <c r="AC128" s="40"/>
      <c r="AD128" s="40"/>
    </row>
    <row r="129" spans="2:30" hidden="1" x14ac:dyDescent="0.25">
      <c r="B129" s="2"/>
      <c r="H129" s="1"/>
      <c r="AC129" s="40"/>
      <c r="AD129" s="40"/>
    </row>
    <row r="130" spans="2:30" hidden="1" x14ac:dyDescent="0.25">
      <c r="B130" s="2"/>
      <c r="H130" s="1"/>
      <c r="AC130" s="40"/>
      <c r="AD130" s="40"/>
    </row>
    <row r="131" spans="2:30" hidden="1" x14ac:dyDescent="0.25">
      <c r="B131" s="2"/>
      <c r="H131" s="1"/>
      <c r="AC131" s="40"/>
      <c r="AD131" s="40"/>
    </row>
    <row r="132" spans="2:30" hidden="1" x14ac:dyDescent="0.25">
      <c r="B132" s="2"/>
      <c r="H132" s="1"/>
      <c r="AC132" s="40"/>
      <c r="AD132" s="40"/>
    </row>
    <row r="133" spans="2:30" hidden="1" x14ac:dyDescent="0.25">
      <c r="B133" s="2"/>
      <c r="H133" s="1"/>
      <c r="AC133" s="40"/>
      <c r="AD133" s="40"/>
    </row>
    <row r="134" spans="2:30" hidden="1" x14ac:dyDescent="0.25">
      <c r="B134" s="2"/>
      <c r="H134" s="1"/>
    </row>
    <row r="136" spans="2:30" x14ac:dyDescent="0.25">
      <c r="C136" s="5" t="s">
        <v>150</v>
      </c>
      <c r="D136" s="6" t="s">
        <v>91</v>
      </c>
      <c r="E136" s="6" t="s">
        <v>130</v>
      </c>
      <c r="F136" s="6"/>
      <c r="G136" s="7" t="s">
        <v>395</v>
      </c>
      <c r="I136" s="13" t="s">
        <v>124</v>
      </c>
      <c r="J136" s="14"/>
      <c r="K136" s="14"/>
      <c r="L136" s="14" t="s">
        <v>135</v>
      </c>
      <c r="M136" s="14" t="s">
        <v>378</v>
      </c>
      <c r="N136" s="15" t="s">
        <v>130</v>
      </c>
      <c r="P136" s="13"/>
      <c r="Q136" s="14"/>
      <c r="R136" s="14"/>
      <c r="S136" s="14"/>
      <c r="T136" s="15"/>
    </row>
    <row r="137" spans="2:30" x14ac:dyDescent="0.25">
      <c r="C137" s="8" t="s">
        <v>129</v>
      </c>
      <c r="D137" s="1">
        <f>SUM(M137:M141,T137:T139)</f>
        <v>2308.090909090909</v>
      </c>
      <c r="E137">
        <f>SUM(D2:D91)</f>
        <v>13896</v>
      </c>
      <c r="G137" s="23">
        <f>E137/D137</f>
        <v>6.0205600850762142</v>
      </c>
      <c r="I137" s="8" t="s">
        <v>133</v>
      </c>
      <c r="L137">
        <f>COUNTIF(K2:K134,"&lt;3")+COUNTIF(X2:X134,"&lt;3")+COUNTIF(R2:R134,"&lt;3")</f>
        <v>16</v>
      </c>
      <c r="M137" s="1">
        <f>SUMIF(K2:K134,"&lt;3",H2:H134)+SUMIF(R2:R134,"&lt;3",O2:O134)+SUMIF(X2:X134,"&lt;3",U2:U134)</f>
        <v>458.09090909090912</v>
      </c>
      <c r="N137" s="9">
        <f>SUMIF(K2:K85,"&lt;3",D2:D85)</f>
        <v>1008</v>
      </c>
      <c r="P137" s="8"/>
      <c r="T137" s="9"/>
    </row>
    <row r="138" spans="2:30" x14ac:dyDescent="0.25">
      <c r="C138" s="8" t="s">
        <v>125</v>
      </c>
      <c r="D138">
        <f>COUNT(D2:D85)</f>
        <v>84</v>
      </c>
      <c r="G138" s="23">
        <f>SUM(D2:D85)/SUM(H2:H85)</f>
        <v>4.82521477845021</v>
      </c>
      <c r="I138" s="8" t="s">
        <v>132</v>
      </c>
      <c r="L138">
        <f>COUNTIF(K2:K134,"&lt;4")+COUNTIF(X2:X134,"&lt;4")+COUNTIF(R2:R134,"&lt;4")-L137</f>
        <v>22</v>
      </c>
      <c r="M138" s="1">
        <f>SUMIF(K2:K134,"&lt;4",H2:H134)+SUMIF(R2:R134,"&lt;4",O2:O134)+SUMIF(X2:X134,"&lt;4",U2:U134)-M137</f>
        <v>256.99999999999989</v>
      </c>
      <c r="N138" s="9">
        <f>SUMIF(K2:K85,"&lt;4",D2:D85)-N137</f>
        <v>811</v>
      </c>
      <c r="P138" s="8"/>
      <c r="T138" s="9"/>
    </row>
    <row r="139" spans="2:30" x14ac:dyDescent="0.25">
      <c r="C139" s="8" t="s">
        <v>386</v>
      </c>
      <c r="D139">
        <f>COUNTIF(E2:E85,"AOM5000")</f>
        <v>67</v>
      </c>
      <c r="E139">
        <f>SUMIF(E2:E134,"AOM5000",D2:D134)</f>
        <v>8612</v>
      </c>
      <c r="F139" t="s">
        <v>396</v>
      </c>
      <c r="G139" s="21">
        <f>AVERAGEIF(E2:E86,"AOM5000",F2:F86)</f>
        <v>18.886792452830189</v>
      </c>
      <c r="I139" s="8" t="s">
        <v>134</v>
      </c>
      <c r="L139">
        <f>COUNTIF(K2:K134,"&lt;5")+COUNTIF(X1:X133,"&lt;5")+COUNTIF(R2:R134,"&lt;5")-L138-L137</f>
        <v>43</v>
      </c>
      <c r="M139" s="1">
        <f>SUMIF(K2:K134,"&lt;5",H2:H134)+SUMIF(R2:R134,"&lt;5",O2:O134)+SUMIF(X2:X134,"&lt;5",U2:U134)-M138-M137</f>
        <v>999.99999999999989</v>
      </c>
      <c r="N139" s="9">
        <f>SUMIF(K2:K85,"&lt;5",D2:D85)-N138-N137</f>
        <v>4446</v>
      </c>
      <c r="P139" s="8"/>
      <c r="T139" s="9"/>
    </row>
    <row r="140" spans="2:30" x14ac:dyDescent="0.25">
      <c r="C140" s="8" t="s">
        <v>387</v>
      </c>
      <c r="D140">
        <f>COUNTIF(E2:E85,"AOM4000")</f>
        <v>11</v>
      </c>
      <c r="E140">
        <f>SUMIF(E2:E134,"AOM4000",D2:D134)</f>
        <v>587</v>
      </c>
      <c r="F140" t="s">
        <v>397</v>
      </c>
      <c r="G140" s="21">
        <f>AVERAGEIF(E2:E86,"AOM4000",F2:F86)</f>
        <v>18.125</v>
      </c>
      <c r="I140" s="8" t="s">
        <v>1717</v>
      </c>
      <c r="L140">
        <f>COUNTIF(K2:K134,"&lt;7")+COUNTIF(X3:X135,"&lt;7")+COUNTIF(R2:R134,"&lt;7")-L139-L138-L137</f>
        <v>22</v>
      </c>
      <c r="M140" s="1">
        <f>SUMIF(K3:K135,"&lt;7",H3:H135)+SUMIF(R3:R135,"&lt;7",O3:O135)+SUMIF(X3:X135,"&lt;7",U3:U135)-M139-M138-M137</f>
        <v>516</v>
      </c>
      <c r="N140" s="9">
        <f>SUMIF(K3:K85,"&lt;7",D3:D85)-N139-N138-N137</f>
        <v>3284</v>
      </c>
      <c r="P140" s="8"/>
      <c r="T140" s="9"/>
    </row>
    <row r="141" spans="2:30" x14ac:dyDescent="0.25">
      <c r="C141" s="8" t="s">
        <v>390</v>
      </c>
      <c r="D141" s="18">
        <f>D139/(D140+D139)*100</f>
        <v>85.897435897435898</v>
      </c>
      <c r="E141" s="18">
        <f>E139/(E140+E139)*100</f>
        <v>93.61887161648005</v>
      </c>
      <c r="G141" s="9"/>
      <c r="I141" s="8" t="s">
        <v>1698</v>
      </c>
      <c r="L141">
        <f>COUNTIF(K2:K134,"&lt;17")+COUNTIF(X2:X134,"&lt;17")+COUNTIF(R2:R134,"&lt;17")-L139-L138-L137-L140</f>
        <v>2</v>
      </c>
      <c r="M141" s="1">
        <f>SUMIF(K3:K135,"&lt;17",H3:H135)+SUMIF(R3:R135,"&lt;17",O3:O135)+SUMIF(X3:X135,"&lt;17",U3:U135)-M139-M138-M137-M140</f>
        <v>76.999999999999886</v>
      </c>
      <c r="N141" s="9">
        <f>SUMIF(K3:K85,"&lt;17",D3:D85)-N139-N138-N137-N140</f>
        <v>733</v>
      </c>
      <c r="P141" s="8"/>
      <c r="T141" s="9"/>
    </row>
    <row r="142" spans="2:30" x14ac:dyDescent="0.25">
      <c r="C142" s="16" t="s">
        <v>128</v>
      </c>
      <c r="D142" s="22">
        <f>D139/D138*100</f>
        <v>79.761904761904773</v>
      </c>
      <c r="E142" s="22">
        <f>E139/E137*100</f>
        <v>61.974668969487624</v>
      </c>
      <c r="F142" s="11"/>
      <c r="G142" s="12"/>
      <c r="I142" s="8" t="s">
        <v>136</v>
      </c>
      <c r="L142">
        <f>COUNTA(L2:L134)</f>
        <v>24</v>
      </c>
      <c r="N142" s="9"/>
      <c r="P142" s="8"/>
      <c r="T142" s="9"/>
    </row>
    <row r="143" spans="2:30" x14ac:dyDescent="0.25">
      <c r="F143" t="s">
        <v>388</v>
      </c>
      <c r="I143" s="10"/>
      <c r="J143" s="11"/>
      <c r="K143" s="11"/>
      <c r="L143" s="11"/>
      <c r="M143" s="11"/>
      <c r="N143" s="12"/>
      <c r="P143" s="10"/>
      <c r="Q143" s="11"/>
      <c r="R143" s="11"/>
      <c r="S143" s="11"/>
      <c r="T143" s="12"/>
    </row>
    <row r="144" spans="2:30" ht="15.75" thickBot="1" x14ac:dyDescent="0.3">
      <c r="B144" t="s">
        <v>544</v>
      </c>
      <c r="C144" s="5" t="s">
        <v>149</v>
      </c>
      <c r="D144" s="6" t="s">
        <v>135</v>
      </c>
      <c r="E144" s="7" t="s">
        <v>130</v>
      </c>
      <c r="F144" s="5" t="s">
        <v>93</v>
      </c>
      <c r="G144" s="7" t="s">
        <v>94</v>
      </c>
    </row>
    <row r="145" spans="1:14" x14ac:dyDescent="0.25">
      <c r="A145">
        <f t="shared" ref="A145:A167" si="13">COUNTIF($C$145:$C$176,C145)</f>
        <v>1</v>
      </c>
      <c r="B145" s="18">
        <f>E145/$E$137*100</f>
        <v>17.890040299366724</v>
      </c>
      <c r="C145" s="8" t="s">
        <v>1247</v>
      </c>
      <c r="D145">
        <f t="shared" ref="D145:D176" si="14">COUNTIF(C$2:C$134,C145)</f>
        <v>16</v>
      </c>
      <c r="E145" s="9">
        <f t="shared" ref="E145:E176" si="15">SUMIF(C$2:C$134,C145,D$2:D$134)</f>
        <v>2486</v>
      </c>
      <c r="F145" s="8">
        <f t="shared" ref="F145:F176" si="16">SUMIFS($D$2:$D$134,$C$2:$C$134,C145,$E$2:$E$134,$F$144)</f>
        <v>77</v>
      </c>
      <c r="G145" s="9">
        <f t="shared" ref="G145:G176" si="17">SUMIFS($D$2:$D$134,$C$2:$C$134,C145,$E$2:$E$134,$G$144)</f>
        <v>2409</v>
      </c>
      <c r="H145">
        <f>E145-F145-G145</f>
        <v>0</v>
      </c>
      <c r="I145" s="5" t="s">
        <v>376</v>
      </c>
      <c r="J145" s="6"/>
      <c r="K145" s="7" t="s">
        <v>377</v>
      </c>
      <c r="M145" s="116" t="s">
        <v>376</v>
      </c>
      <c r="N145" s="117" t="s">
        <v>377</v>
      </c>
    </row>
    <row r="146" spans="1:14" x14ac:dyDescent="0.25">
      <c r="A146">
        <f t="shared" si="13"/>
        <v>1</v>
      </c>
      <c r="B146" s="18">
        <f t="shared" ref="B146:B167" si="18">E146/$E$137*100</f>
        <v>0</v>
      </c>
      <c r="C146" s="8" t="s">
        <v>142</v>
      </c>
      <c r="D146">
        <f t="shared" si="14"/>
        <v>0</v>
      </c>
      <c r="E146" s="9">
        <f t="shared" si="15"/>
        <v>0</v>
      </c>
      <c r="F146" s="8">
        <f t="shared" si="16"/>
        <v>0</v>
      </c>
      <c r="G146" s="9">
        <f t="shared" si="17"/>
        <v>0</v>
      </c>
      <c r="H146">
        <f>E146-F146-G146</f>
        <v>0</v>
      </c>
      <c r="I146" s="13" t="s">
        <v>379</v>
      </c>
      <c r="J146" s="14"/>
      <c r="K146" s="42">
        <f t="shared" ref="K146:K166" si="19">SUMIF(I$2:I$134,I146,H$2:H$134)+SUMIF(P$2:P$134,I146,O$2:O$134)+SUMIF(V$2:V$134,I146,U$2:U$134)</f>
        <v>12</v>
      </c>
      <c r="M146" s="77" t="s">
        <v>379</v>
      </c>
      <c r="N146" s="120">
        <f>SUMIF(I$2:I$134,M146&amp;"*",H$2:H$134)+SUMIF(P$2:P$134,M146&amp;"*",O$2:O$134)+SUMIF(V$2:V$134,M146&amp;"*",U$2:U$134)</f>
        <v>12</v>
      </c>
    </row>
    <row r="147" spans="1:14" x14ac:dyDescent="0.25">
      <c r="A147">
        <f t="shared" si="13"/>
        <v>1</v>
      </c>
      <c r="B147" s="18">
        <f t="shared" si="18"/>
        <v>2.4179620034542317</v>
      </c>
      <c r="C147" s="8" t="s">
        <v>605</v>
      </c>
      <c r="D147">
        <f t="shared" si="14"/>
        <v>6</v>
      </c>
      <c r="E147" s="9">
        <f t="shared" si="15"/>
        <v>336</v>
      </c>
      <c r="F147" s="8">
        <f t="shared" si="16"/>
        <v>59</v>
      </c>
      <c r="G147" s="9">
        <f t="shared" si="17"/>
        <v>277</v>
      </c>
      <c r="H147">
        <f t="shared" ref="H147:H163" si="20">E147-F147-G147</f>
        <v>0</v>
      </c>
      <c r="I147" s="8" t="s">
        <v>244</v>
      </c>
      <c r="K147" s="19">
        <f t="shared" si="19"/>
        <v>2</v>
      </c>
      <c r="M147" s="77" t="s">
        <v>948</v>
      </c>
      <c r="N147" s="120">
        <f t="shared" ref="N147:N158" si="21">SUMIF(I$2:I$134,M147&amp;"*",H$2:H$134)+SUMIF(P$2:P$134,M147&amp;"*",O$2:O$134)+SUMIF(V$2:V$134,M147&amp;"*",U$2:U$134)</f>
        <v>2</v>
      </c>
    </row>
    <row r="148" spans="1:14" x14ac:dyDescent="0.25">
      <c r="A148">
        <f t="shared" si="13"/>
        <v>1</v>
      </c>
      <c r="B148" s="18">
        <f t="shared" si="18"/>
        <v>5.8578008059873348</v>
      </c>
      <c r="C148" s="8" t="s">
        <v>138</v>
      </c>
      <c r="D148">
        <f t="shared" si="14"/>
        <v>4</v>
      </c>
      <c r="E148" s="9">
        <f t="shared" si="15"/>
        <v>814</v>
      </c>
      <c r="F148" s="8">
        <f t="shared" si="16"/>
        <v>42</v>
      </c>
      <c r="G148" s="9">
        <f t="shared" si="17"/>
        <v>39</v>
      </c>
      <c r="H148">
        <f t="shared" si="20"/>
        <v>733</v>
      </c>
      <c r="I148" s="8" t="s">
        <v>113</v>
      </c>
      <c r="K148" s="19">
        <f t="shared" si="19"/>
        <v>86</v>
      </c>
      <c r="M148" s="77" t="s">
        <v>949</v>
      </c>
      <c r="N148" s="120">
        <f t="shared" si="21"/>
        <v>86</v>
      </c>
    </row>
    <row r="149" spans="1:14" x14ac:dyDescent="0.25">
      <c r="A149">
        <f t="shared" si="13"/>
        <v>1</v>
      </c>
      <c r="B149" s="18">
        <f t="shared" si="18"/>
        <v>1.4536557282671272</v>
      </c>
      <c r="C149" s="8" t="s">
        <v>137</v>
      </c>
      <c r="D149">
        <f t="shared" si="14"/>
        <v>2</v>
      </c>
      <c r="E149" s="9">
        <f t="shared" si="15"/>
        <v>202</v>
      </c>
      <c r="F149" s="8">
        <f t="shared" si="16"/>
        <v>0</v>
      </c>
      <c r="G149" s="9">
        <f t="shared" si="17"/>
        <v>202</v>
      </c>
      <c r="H149">
        <f t="shared" si="20"/>
        <v>0</v>
      </c>
      <c r="I149" s="8" t="s">
        <v>114</v>
      </c>
      <c r="K149" s="19">
        <f t="shared" si="19"/>
        <v>25</v>
      </c>
      <c r="M149" s="77" t="s">
        <v>950</v>
      </c>
      <c r="N149" s="120">
        <f t="shared" si="21"/>
        <v>25</v>
      </c>
    </row>
    <row r="150" spans="1:14" x14ac:dyDescent="0.25">
      <c r="A150">
        <f t="shared" si="13"/>
        <v>1</v>
      </c>
      <c r="B150" s="18">
        <f t="shared" si="18"/>
        <v>1.1010362694300517</v>
      </c>
      <c r="C150" s="8" t="s">
        <v>140</v>
      </c>
      <c r="D150">
        <f t="shared" si="14"/>
        <v>2</v>
      </c>
      <c r="E150" s="9">
        <f t="shared" si="15"/>
        <v>153</v>
      </c>
      <c r="F150" s="8">
        <f t="shared" si="16"/>
        <v>0</v>
      </c>
      <c r="G150" s="9">
        <f t="shared" si="17"/>
        <v>153</v>
      </c>
      <c r="H150">
        <f t="shared" si="20"/>
        <v>0</v>
      </c>
      <c r="I150" s="8" t="s">
        <v>110</v>
      </c>
      <c r="K150" s="19">
        <f t="shared" si="19"/>
        <v>59</v>
      </c>
      <c r="M150" s="77" t="s">
        <v>951</v>
      </c>
      <c r="N150" s="120">
        <f t="shared" si="21"/>
        <v>119.09090909090909</v>
      </c>
    </row>
    <row r="151" spans="1:14" x14ac:dyDescent="0.25">
      <c r="A151">
        <f t="shared" si="13"/>
        <v>1</v>
      </c>
      <c r="B151" s="18">
        <f t="shared" si="18"/>
        <v>3.5837651122625216</v>
      </c>
      <c r="C151" s="8" t="s">
        <v>69</v>
      </c>
      <c r="D151">
        <f t="shared" si="14"/>
        <v>2</v>
      </c>
      <c r="E151" s="9">
        <f t="shared" si="15"/>
        <v>498</v>
      </c>
      <c r="F151" s="8">
        <f t="shared" si="16"/>
        <v>0</v>
      </c>
      <c r="G151" s="9">
        <f t="shared" si="17"/>
        <v>498</v>
      </c>
      <c r="H151">
        <f t="shared" si="20"/>
        <v>0</v>
      </c>
      <c r="I151" s="8" t="s">
        <v>119</v>
      </c>
      <c r="K151" s="19">
        <f t="shared" si="19"/>
        <v>60.090909090909093</v>
      </c>
      <c r="M151" s="77" t="s">
        <v>952</v>
      </c>
      <c r="N151" s="120">
        <f t="shared" si="21"/>
        <v>10</v>
      </c>
    </row>
    <row r="152" spans="1:14" x14ac:dyDescent="0.25">
      <c r="A152">
        <f t="shared" si="13"/>
        <v>1</v>
      </c>
      <c r="B152" s="18">
        <f t="shared" si="18"/>
        <v>0.90673575129533668</v>
      </c>
      <c r="C152" s="8" t="s">
        <v>146</v>
      </c>
      <c r="D152">
        <f t="shared" si="14"/>
        <v>4</v>
      </c>
      <c r="E152" s="9">
        <f t="shared" si="15"/>
        <v>126</v>
      </c>
      <c r="F152" s="8">
        <f t="shared" si="16"/>
        <v>29</v>
      </c>
      <c r="G152" s="9">
        <f t="shared" si="17"/>
        <v>72</v>
      </c>
      <c r="H152">
        <f t="shared" si="20"/>
        <v>25</v>
      </c>
      <c r="I152" s="8" t="s">
        <v>112</v>
      </c>
      <c r="K152" s="19">
        <f t="shared" si="19"/>
        <v>10</v>
      </c>
      <c r="M152" s="77" t="s">
        <v>954</v>
      </c>
      <c r="N152" s="120">
        <f t="shared" si="21"/>
        <v>120</v>
      </c>
    </row>
    <row r="153" spans="1:14" x14ac:dyDescent="0.25">
      <c r="A153">
        <f t="shared" si="13"/>
        <v>1</v>
      </c>
      <c r="B153" s="18">
        <f t="shared" si="18"/>
        <v>0.58290155440414504</v>
      </c>
      <c r="C153" s="8" t="s">
        <v>27</v>
      </c>
      <c r="D153">
        <f t="shared" si="14"/>
        <v>1</v>
      </c>
      <c r="E153" s="9">
        <f t="shared" si="15"/>
        <v>81</v>
      </c>
      <c r="F153" s="8">
        <f t="shared" si="16"/>
        <v>0</v>
      </c>
      <c r="G153" s="9">
        <f t="shared" si="17"/>
        <v>81</v>
      </c>
      <c r="H153">
        <f t="shared" si="20"/>
        <v>0</v>
      </c>
      <c r="I153" s="8" t="s">
        <v>115</v>
      </c>
      <c r="K153" s="19">
        <f t="shared" si="19"/>
        <v>23</v>
      </c>
      <c r="M153" s="77" t="s">
        <v>955</v>
      </c>
      <c r="N153" s="120">
        <f t="shared" si="21"/>
        <v>255</v>
      </c>
    </row>
    <row r="154" spans="1:14" x14ac:dyDescent="0.25">
      <c r="A154">
        <f t="shared" si="13"/>
        <v>1</v>
      </c>
      <c r="B154" s="18">
        <f t="shared" si="18"/>
        <v>0</v>
      </c>
      <c r="C154" s="8" t="s">
        <v>1440</v>
      </c>
      <c r="D154">
        <f t="shared" si="14"/>
        <v>0</v>
      </c>
      <c r="E154" s="9">
        <f t="shared" si="15"/>
        <v>0</v>
      </c>
      <c r="F154" s="8">
        <f t="shared" si="16"/>
        <v>0</v>
      </c>
      <c r="G154" s="9">
        <f t="shared" si="17"/>
        <v>0</v>
      </c>
      <c r="H154">
        <f t="shared" si="20"/>
        <v>0</v>
      </c>
      <c r="I154" s="8" t="s">
        <v>1156</v>
      </c>
      <c r="K154" s="19">
        <f t="shared" si="19"/>
        <v>97</v>
      </c>
      <c r="M154" s="77" t="s">
        <v>956</v>
      </c>
      <c r="N154" s="120">
        <f t="shared" si="21"/>
        <v>167</v>
      </c>
    </row>
    <row r="155" spans="1:14" x14ac:dyDescent="0.25">
      <c r="A155">
        <f t="shared" si="13"/>
        <v>1</v>
      </c>
      <c r="B155" s="18">
        <f t="shared" si="18"/>
        <v>5.6994818652849739</v>
      </c>
      <c r="C155" s="8" t="s">
        <v>144</v>
      </c>
      <c r="D155">
        <f t="shared" si="14"/>
        <v>4</v>
      </c>
      <c r="E155" s="9">
        <f t="shared" si="15"/>
        <v>792</v>
      </c>
      <c r="F155" s="8">
        <f t="shared" si="16"/>
        <v>0</v>
      </c>
      <c r="G155" s="9">
        <f t="shared" si="17"/>
        <v>792</v>
      </c>
      <c r="H155">
        <f t="shared" si="20"/>
        <v>0</v>
      </c>
      <c r="I155" s="8" t="s">
        <v>574</v>
      </c>
      <c r="K155" s="19">
        <f t="shared" si="19"/>
        <v>255</v>
      </c>
      <c r="M155" s="77" t="s">
        <v>957</v>
      </c>
      <c r="N155" s="120">
        <f t="shared" si="21"/>
        <v>158</v>
      </c>
    </row>
    <row r="156" spans="1:14" x14ac:dyDescent="0.25">
      <c r="A156">
        <f t="shared" si="13"/>
        <v>1</v>
      </c>
      <c r="B156" s="18">
        <f t="shared" si="18"/>
        <v>0.47495682210708118</v>
      </c>
      <c r="C156" s="8" t="s">
        <v>176</v>
      </c>
      <c r="D156">
        <f t="shared" si="14"/>
        <v>1</v>
      </c>
      <c r="E156" s="9">
        <f t="shared" si="15"/>
        <v>66</v>
      </c>
      <c r="F156" s="8">
        <f t="shared" si="16"/>
        <v>66</v>
      </c>
      <c r="G156" s="9">
        <f t="shared" si="17"/>
        <v>0</v>
      </c>
      <c r="H156">
        <f t="shared" si="20"/>
        <v>0</v>
      </c>
      <c r="I156" s="8" t="s">
        <v>109</v>
      </c>
      <c r="K156" s="19">
        <f t="shared" si="19"/>
        <v>107</v>
      </c>
      <c r="M156" s="77" t="s">
        <v>958</v>
      </c>
      <c r="N156" s="120">
        <f t="shared" si="21"/>
        <v>784</v>
      </c>
    </row>
    <row r="157" spans="1:14" x14ac:dyDescent="0.25">
      <c r="A157">
        <f t="shared" si="13"/>
        <v>1</v>
      </c>
      <c r="B157" s="18">
        <f t="shared" si="18"/>
        <v>8.7003454231433501</v>
      </c>
      <c r="C157" s="8" t="s">
        <v>141</v>
      </c>
      <c r="D157">
        <f t="shared" si="14"/>
        <v>6</v>
      </c>
      <c r="E157" s="9">
        <f t="shared" si="15"/>
        <v>1209</v>
      </c>
      <c r="F157" s="8">
        <f t="shared" si="16"/>
        <v>0</v>
      </c>
      <c r="G157" s="9">
        <f t="shared" si="17"/>
        <v>1209</v>
      </c>
      <c r="H157">
        <f t="shared" si="20"/>
        <v>0</v>
      </c>
      <c r="I157" s="8" t="s">
        <v>1364</v>
      </c>
      <c r="K157" s="19">
        <f t="shared" si="19"/>
        <v>60</v>
      </c>
      <c r="M157" s="77" t="s">
        <v>1627</v>
      </c>
      <c r="N157" s="120">
        <f t="shared" si="21"/>
        <v>519</v>
      </c>
    </row>
    <row r="158" spans="1:14" ht="15.75" thickBot="1" x14ac:dyDescent="0.3">
      <c r="A158">
        <f t="shared" si="13"/>
        <v>1</v>
      </c>
      <c r="B158" s="18">
        <f t="shared" si="18"/>
        <v>3.2239493379389748</v>
      </c>
      <c r="C158" s="8" t="s">
        <v>45</v>
      </c>
      <c r="D158">
        <f t="shared" si="14"/>
        <v>2</v>
      </c>
      <c r="E158" s="9">
        <f t="shared" si="15"/>
        <v>448</v>
      </c>
      <c r="F158" s="8">
        <f t="shared" si="16"/>
        <v>0</v>
      </c>
      <c r="G158" s="9">
        <f t="shared" si="17"/>
        <v>448</v>
      </c>
      <c r="H158">
        <f t="shared" si="20"/>
        <v>0</v>
      </c>
      <c r="I158" s="8" t="s">
        <v>108</v>
      </c>
      <c r="K158" s="19">
        <f t="shared" si="19"/>
        <v>79</v>
      </c>
      <c r="M158" s="118" t="s">
        <v>1629</v>
      </c>
      <c r="N158" s="122">
        <f t="shared" si="21"/>
        <v>77</v>
      </c>
    </row>
    <row r="159" spans="1:14" x14ac:dyDescent="0.25">
      <c r="A159">
        <f t="shared" si="13"/>
        <v>1</v>
      </c>
      <c r="B159" s="18">
        <f t="shared" si="18"/>
        <v>0.35981577432354633</v>
      </c>
      <c r="C159" s="8" t="s">
        <v>1140</v>
      </c>
      <c r="D159">
        <f t="shared" si="14"/>
        <v>1</v>
      </c>
      <c r="E159" s="9">
        <f t="shared" si="15"/>
        <v>50</v>
      </c>
      <c r="F159" s="8">
        <f t="shared" si="16"/>
        <v>50</v>
      </c>
      <c r="G159" s="9">
        <f t="shared" si="17"/>
        <v>0</v>
      </c>
      <c r="H159">
        <f t="shared" si="20"/>
        <v>0</v>
      </c>
      <c r="I159" s="8" t="s">
        <v>121</v>
      </c>
      <c r="K159" s="19">
        <f t="shared" si="19"/>
        <v>79</v>
      </c>
      <c r="N159" s="96">
        <f>SUM(N146:N158)</f>
        <v>2334.090909090909</v>
      </c>
    </row>
    <row r="160" spans="1:14" x14ac:dyDescent="0.25">
      <c r="A160">
        <f t="shared" si="13"/>
        <v>1</v>
      </c>
      <c r="B160" s="18">
        <f t="shared" si="18"/>
        <v>0.96430627518710421</v>
      </c>
      <c r="C160" s="8" t="s">
        <v>162</v>
      </c>
      <c r="D160">
        <f t="shared" si="14"/>
        <v>3</v>
      </c>
      <c r="E160" s="9">
        <f t="shared" si="15"/>
        <v>134</v>
      </c>
      <c r="F160" s="8">
        <f t="shared" si="16"/>
        <v>0</v>
      </c>
      <c r="G160" s="9">
        <f t="shared" si="17"/>
        <v>134</v>
      </c>
      <c r="H160">
        <f t="shared" si="20"/>
        <v>0</v>
      </c>
      <c r="I160" s="8" t="s">
        <v>619</v>
      </c>
      <c r="K160" s="19">
        <f t="shared" si="19"/>
        <v>520</v>
      </c>
    </row>
    <row r="161" spans="1:13" x14ac:dyDescent="0.25">
      <c r="A161">
        <f t="shared" si="13"/>
        <v>1</v>
      </c>
      <c r="B161" s="18">
        <f t="shared" si="18"/>
        <v>0.17990788716177317</v>
      </c>
      <c r="C161" s="8" t="s">
        <v>852</v>
      </c>
      <c r="D161">
        <f t="shared" si="14"/>
        <v>1</v>
      </c>
      <c r="E161" s="9">
        <f t="shared" si="15"/>
        <v>25</v>
      </c>
      <c r="F161" s="8">
        <f t="shared" si="16"/>
        <v>25</v>
      </c>
      <c r="G161" s="9">
        <f t="shared" si="17"/>
        <v>0</v>
      </c>
      <c r="H161">
        <f t="shared" si="20"/>
        <v>0</v>
      </c>
      <c r="I161" s="8" t="s">
        <v>1400</v>
      </c>
      <c r="K161" s="19">
        <f t="shared" si="19"/>
        <v>257</v>
      </c>
    </row>
    <row r="162" spans="1:13" x14ac:dyDescent="0.25">
      <c r="A162">
        <f t="shared" si="13"/>
        <v>1</v>
      </c>
      <c r="B162" s="18">
        <f t="shared" si="18"/>
        <v>2.3244099021301095</v>
      </c>
      <c r="C162" s="8" t="s">
        <v>206</v>
      </c>
      <c r="D162">
        <f t="shared" si="14"/>
        <v>4</v>
      </c>
      <c r="E162" s="9">
        <f t="shared" si="15"/>
        <v>323</v>
      </c>
      <c r="F162" s="8">
        <f t="shared" si="16"/>
        <v>0</v>
      </c>
      <c r="G162" s="9">
        <f t="shared" si="17"/>
        <v>323</v>
      </c>
      <c r="H162">
        <f t="shared" si="20"/>
        <v>0</v>
      </c>
      <c r="I162" s="8" t="s">
        <v>1234</v>
      </c>
      <c r="K162" s="19">
        <f t="shared" si="19"/>
        <v>7</v>
      </c>
    </row>
    <row r="163" spans="1:13" x14ac:dyDescent="0.25">
      <c r="A163">
        <f t="shared" si="13"/>
        <v>1</v>
      </c>
      <c r="B163" s="18">
        <f t="shared" si="18"/>
        <v>0</v>
      </c>
      <c r="C163" s="8" t="s">
        <v>1513</v>
      </c>
      <c r="D163">
        <f t="shared" si="14"/>
        <v>0</v>
      </c>
      <c r="E163" s="9">
        <f t="shared" si="15"/>
        <v>0</v>
      </c>
      <c r="F163" s="8">
        <f t="shared" si="16"/>
        <v>0</v>
      </c>
      <c r="G163" s="9">
        <f t="shared" si="17"/>
        <v>0</v>
      </c>
      <c r="H163">
        <f t="shared" si="20"/>
        <v>0</v>
      </c>
      <c r="I163" s="8" t="s">
        <v>1220</v>
      </c>
      <c r="K163" s="19">
        <f t="shared" si="19"/>
        <v>40</v>
      </c>
    </row>
    <row r="164" spans="1:13" x14ac:dyDescent="0.25">
      <c r="A164">
        <f t="shared" si="13"/>
        <v>1</v>
      </c>
      <c r="B164" s="18">
        <f t="shared" si="18"/>
        <v>0.73402417962003452</v>
      </c>
      <c r="C164" s="8" t="s">
        <v>148</v>
      </c>
      <c r="D164">
        <f t="shared" si="14"/>
        <v>1</v>
      </c>
      <c r="E164" s="9">
        <f t="shared" si="15"/>
        <v>102</v>
      </c>
      <c r="F164" s="8">
        <f t="shared" si="16"/>
        <v>0</v>
      </c>
      <c r="G164" s="9">
        <f t="shared" si="17"/>
        <v>102</v>
      </c>
      <c r="H164">
        <f t="shared" ref="H164:H171" si="22">E164-F164-G164</f>
        <v>0</v>
      </c>
      <c r="I164" s="8" t="s">
        <v>1404</v>
      </c>
      <c r="K164" s="19">
        <f t="shared" si="19"/>
        <v>303</v>
      </c>
    </row>
    <row r="165" spans="1:13" x14ac:dyDescent="0.25">
      <c r="A165">
        <f t="shared" si="13"/>
        <v>1</v>
      </c>
      <c r="B165" s="18">
        <f t="shared" si="18"/>
        <v>1.1154289004029938</v>
      </c>
      <c r="C165" s="8" t="s">
        <v>166</v>
      </c>
      <c r="D165">
        <f t="shared" si="14"/>
        <v>2</v>
      </c>
      <c r="E165" s="9">
        <f t="shared" si="15"/>
        <v>155</v>
      </c>
      <c r="F165" s="8">
        <f t="shared" si="16"/>
        <v>50</v>
      </c>
      <c r="G165" s="9">
        <f t="shared" si="17"/>
        <v>0</v>
      </c>
      <c r="H165">
        <f t="shared" si="22"/>
        <v>105</v>
      </c>
      <c r="I165" s="8" t="s">
        <v>1486</v>
      </c>
      <c r="K165" s="19">
        <f t="shared" si="19"/>
        <v>176</v>
      </c>
    </row>
    <row r="166" spans="1:13" x14ac:dyDescent="0.25">
      <c r="A166">
        <f t="shared" si="13"/>
        <v>1</v>
      </c>
      <c r="B166" s="18">
        <f t="shared" si="18"/>
        <v>0.2590673575129534</v>
      </c>
      <c r="C166" s="8" t="s">
        <v>165</v>
      </c>
      <c r="D166">
        <f t="shared" si="14"/>
        <v>1</v>
      </c>
      <c r="E166" s="9">
        <f t="shared" si="15"/>
        <v>36</v>
      </c>
      <c r="F166" s="8">
        <f t="shared" si="16"/>
        <v>0</v>
      </c>
      <c r="G166" s="9">
        <f t="shared" si="17"/>
        <v>36</v>
      </c>
      <c r="H166">
        <f t="shared" si="22"/>
        <v>0</v>
      </c>
      <c r="I166" s="10" t="s">
        <v>1481</v>
      </c>
      <c r="J166" s="11"/>
      <c r="K166" s="20">
        <f t="shared" si="19"/>
        <v>77</v>
      </c>
    </row>
    <row r="167" spans="1:13" x14ac:dyDescent="0.25">
      <c r="A167">
        <f t="shared" si="13"/>
        <v>1</v>
      </c>
      <c r="B167" s="18">
        <f t="shared" si="18"/>
        <v>1.8206678180771443</v>
      </c>
      <c r="C167" s="8" t="s">
        <v>143</v>
      </c>
      <c r="D167">
        <f t="shared" si="14"/>
        <v>1</v>
      </c>
      <c r="E167" s="9">
        <f t="shared" si="15"/>
        <v>253</v>
      </c>
      <c r="F167" s="8">
        <f t="shared" si="16"/>
        <v>0</v>
      </c>
      <c r="G167" s="9">
        <f t="shared" si="17"/>
        <v>0</v>
      </c>
      <c r="H167">
        <f t="shared" si="22"/>
        <v>253</v>
      </c>
      <c r="I167" s="32"/>
      <c r="J167" s="95"/>
      <c r="K167" s="96">
        <f>SUM(K146:K166)</f>
        <v>2334.090909090909</v>
      </c>
    </row>
    <row r="168" spans="1:13" x14ac:dyDescent="0.25">
      <c r="A168">
        <f>COUNTIF($C$145:$C$176,C168)</f>
        <v>1</v>
      </c>
      <c r="B168" s="18">
        <f>E168/$E$137*100</f>
        <v>2.6194588370754177</v>
      </c>
      <c r="C168" s="8" t="s">
        <v>161</v>
      </c>
      <c r="D168">
        <f t="shared" si="14"/>
        <v>6</v>
      </c>
      <c r="E168" s="9">
        <f t="shared" si="15"/>
        <v>364</v>
      </c>
      <c r="F168" s="8">
        <f t="shared" si="16"/>
        <v>108</v>
      </c>
      <c r="G168" s="9">
        <f t="shared" si="17"/>
        <v>206</v>
      </c>
      <c r="H168">
        <f t="shared" si="22"/>
        <v>50</v>
      </c>
      <c r="L168" s="1"/>
    </row>
    <row r="169" spans="1:13" x14ac:dyDescent="0.25">
      <c r="A169">
        <f>COUNTIF($C$145:$C$176,C169)</f>
        <v>1</v>
      </c>
      <c r="B169" s="18">
        <f>E169/$E$137*100</f>
        <v>0.17990788716177317</v>
      </c>
      <c r="C169" s="8" t="s">
        <v>163</v>
      </c>
      <c r="D169">
        <f t="shared" si="14"/>
        <v>1</v>
      </c>
      <c r="E169" s="9">
        <f t="shared" si="15"/>
        <v>25</v>
      </c>
      <c r="F169" s="8">
        <f t="shared" si="16"/>
        <v>0</v>
      </c>
      <c r="G169" s="9">
        <f t="shared" si="17"/>
        <v>25</v>
      </c>
      <c r="H169">
        <f t="shared" si="22"/>
        <v>0</v>
      </c>
    </row>
    <row r="170" spans="1:13" x14ac:dyDescent="0.25">
      <c r="A170">
        <f>COUNTIF($C$145:$C$176,C170)</f>
        <v>1</v>
      </c>
      <c r="B170" s="18">
        <f>E170/$E$137*100</f>
        <v>8.1102475532527354</v>
      </c>
      <c r="C170" s="8" t="s">
        <v>318</v>
      </c>
      <c r="D170">
        <f t="shared" si="14"/>
        <v>7</v>
      </c>
      <c r="E170" s="9">
        <f t="shared" si="15"/>
        <v>1127</v>
      </c>
      <c r="F170" s="8">
        <f t="shared" si="16"/>
        <v>0</v>
      </c>
      <c r="G170" s="9">
        <f t="shared" si="17"/>
        <v>1127</v>
      </c>
      <c r="H170">
        <f t="shared" si="22"/>
        <v>0</v>
      </c>
      <c r="M170" s="17">
        <f>K167-SUM(H2:H65)-SUM(O2:O130)-SUM(U2:U65)</f>
        <v>520</v>
      </c>
    </row>
    <row r="171" spans="1:13" x14ac:dyDescent="0.25">
      <c r="A171">
        <f>COUNTIF($C$145:$C$176,C171)</f>
        <v>1</v>
      </c>
      <c r="B171" s="18">
        <f>E171/$E$137*100</f>
        <v>2.6842256764536558</v>
      </c>
      <c r="C171" s="8" t="s">
        <v>527</v>
      </c>
      <c r="D171">
        <f t="shared" si="14"/>
        <v>2</v>
      </c>
      <c r="E171" s="9">
        <f t="shared" si="15"/>
        <v>373</v>
      </c>
      <c r="F171" s="8">
        <f t="shared" si="16"/>
        <v>0</v>
      </c>
      <c r="G171" s="9">
        <f t="shared" si="17"/>
        <v>373</v>
      </c>
      <c r="H171">
        <f t="shared" si="22"/>
        <v>0</v>
      </c>
    </row>
    <row r="172" spans="1:13" x14ac:dyDescent="0.25">
      <c r="C172" s="8" t="s">
        <v>1464</v>
      </c>
      <c r="D172">
        <f t="shared" si="14"/>
        <v>0</v>
      </c>
      <c r="E172" s="9">
        <f t="shared" si="15"/>
        <v>0</v>
      </c>
      <c r="F172" s="8">
        <f t="shared" si="16"/>
        <v>0</v>
      </c>
      <c r="G172" s="9">
        <f t="shared" si="17"/>
        <v>0</v>
      </c>
    </row>
    <row r="173" spans="1:13" x14ac:dyDescent="0.25">
      <c r="C173" s="8" t="s">
        <v>1465</v>
      </c>
      <c r="D173">
        <f t="shared" si="14"/>
        <v>1</v>
      </c>
      <c r="E173" s="9">
        <f t="shared" si="15"/>
        <v>59</v>
      </c>
      <c r="F173" s="8">
        <f t="shared" si="16"/>
        <v>0</v>
      </c>
      <c r="G173" s="9">
        <f t="shared" si="17"/>
        <v>59</v>
      </c>
    </row>
    <row r="174" spans="1:13" x14ac:dyDescent="0.25">
      <c r="B174" s="18"/>
      <c r="C174" s="8" t="s">
        <v>147</v>
      </c>
      <c r="D174">
        <f t="shared" si="14"/>
        <v>1</v>
      </c>
      <c r="E174" s="9">
        <f t="shared" si="15"/>
        <v>46</v>
      </c>
      <c r="F174" s="8">
        <f t="shared" si="16"/>
        <v>46</v>
      </c>
      <c r="G174" s="9">
        <f t="shared" si="17"/>
        <v>0</v>
      </c>
    </row>
    <row r="175" spans="1:13" x14ac:dyDescent="0.25">
      <c r="B175" s="18"/>
      <c r="C175" s="8" t="s">
        <v>449</v>
      </c>
      <c r="D175">
        <f t="shared" si="14"/>
        <v>1</v>
      </c>
      <c r="E175" s="9">
        <f t="shared" si="15"/>
        <v>47</v>
      </c>
      <c r="F175" s="8">
        <f t="shared" si="16"/>
        <v>0</v>
      </c>
      <c r="G175" s="9">
        <f t="shared" si="17"/>
        <v>47</v>
      </c>
    </row>
    <row r="176" spans="1:13" x14ac:dyDescent="0.25">
      <c r="B176" s="18"/>
      <c r="C176" s="10" t="s">
        <v>320</v>
      </c>
      <c r="D176" s="11">
        <f t="shared" si="14"/>
        <v>1</v>
      </c>
      <c r="E176" s="12">
        <f t="shared" si="15"/>
        <v>35</v>
      </c>
      <c r="F176" s="8">
        <f t="shared" si="16"/>
        <v>35</v>
      </c>
      <c r="G176" s="9">
        <f t="shared" si="17"/>
        <v>0</v>
      </c>
    </row>
    <row r="177" spans="2:7" x14ac:dyDescent="0.25">
      <c r="B177" s="18">
        <f>E177/$E$137*100</f>
        <v>74.589810017271148</v>
      </c>
      <c r="C177" s="8"/>
      <c r="E177" s="9">
        <f>SUM(E145:E176)</f>
        <v>10365</v>
      </c>
      <c r="F177" s="13">
        <f>SUM(F145:F176)</f>
        <v>587</v>
      </c>
      <c r="G177" s="15">
        <f>SUM(G145:G176)</f>
        <v>8612</v>
      </c>
    </row>
    <row r="178" spans="2:7" x14ac:dyDescent="0.25">
      <c r="B178" s="18">
        <f>E178/$E$137*100</f>
        <v>25.410189982728841</v>
      </c>
      <c r="C178" s="10" t="s">
        <v>1636</v>
      </c>
      <c r="D178" s="11"/>
      <c r="E178" s="12">
        <f>E137-E177</f>
        <v>3531</v>
      </c>
      <c r="F178" s="10" t="s">
        <v>389</v>
      </c>
      <c r="G178" s="12">
        <f>E137-F177-G177</f>
        <v>4697</v>
      </c>
    </row>
    <row r="180" spans="2:7" x14ac:dyDescent="0.25">
      <c r="C180" s="13"/>
      <c r="D180" s="14" t="s">
        <v>93</v>
      </c>
      <c r="E180" s="15" t="s">
        <v>94</v>
      </c>
    </row>
    <row r="181" spans="2:7" x14ac:dyDescent="0.25">
      <c r="C181" s="8" t="s">
        <v>402</v>
      </c>
      <c r="D181">
        <f>SUMIFS($D$2:$D$134,$E$2:$E$134,D$180,$F$2:$F$134,"&lt;5.1")</f>
        <v>0</v>
      </c>
      <c r="E181" s="9">
        <f>SUMIFS($D$2:$D$85,$E$2:$E$85,E$180,$F$2:$F$85,"&lt;5.1")</f>
        <v>0</v>
      </c>
      <c r="F181" s="3">
        <f>SUMIFS(D2:D123,E2:E123,E180,F2:F123,"&lt;5,1")</f>
        <v>348</v>
      </c>
      <c r="G181" s="3"/>
    </row>
    <row r="182" spans="2:7" x14ac:dyDescent="0.25">
      <c r="C182" s="29" t="s">
        <v>403</v>
      </c>
      <c r="D182">
        <f>SUMIFS($D$2:$D$134,$E$2:$E$134,D$180,$F$2:$F$134,"&lt;10.1")-D181</f>
        <v>0</v>
      </c>
      <c r="E182" s="9">
        <f>SUMIFS($D$2:$D$134,$E$2:$E$134,E$180,$F$2:$F$134,"&lt;10.1")-E181</f>
        <v>0</v>
      </c>
      <c r="G182" s="18"/>
    </row>
    <row r="183" spans="2:7" x14ac:dyDescent="0.25">
      <c r="C183" s="29" t="s">
        <v>404</v>
      </c>
      <c r="D183">
        <f>SUMIFS($D$2:$D$134,$E$2:$E$134,D$180,$F$2:$F$134,"&lt;15.1")-D182-D181</f>
        <v>0</v>
      </c>
      <c r="E183" s="9">
        <f>SUMIFS($D$2:$D$134,$E$2:$E$134,E$180,$F$2:$F$134,"&lt;15.1")-E182-E181</f>
        <v>0</v>
      </c>
    </row>
    <row r="184" spans="2:7" x14ac:dyDescent="0.25">
      <c r="C184" s="29" t="s">
        <v>102</v>
      </c>
      <c r="D184">
        <f>SUMIFS($D$2:$D$134,$E$2:$E$134,D$180,$F$2:$F$134,"&lt;20.1")-D183-D182-D181</f>
        <v>0</v>
      </c>
      <c r="E184" s="9">
        <f>SUMIFS($D$2:$D$134,$E$2:$E$134,E$180,$F$2:$F$134,"&lt;20.1")-E183-E182-E181</f>
        <v>0</v>
      </c>
      <c r="G184" s="18"/>
    </row>
    <row r="185" spans="2:7" x14ac:dyDescent="0.25">
      <c r="C185" s="8" t="s">
        <v>405</v>
      </c>
      <c r="D185">
        <f>SUMIFS($D$2:$D$134,$E$2:$E$134,D$180,$F$2:$F$134,"&lt;40.1")-D184-D183-D182-D181</f>
        <v>0</v>
      </c>
      <c r="E185" s="9">
        <f>SUMIFS($D$2:$D$134,$E$2:$E$134,E$180,$F$2:$F$134,"&lt;40.1")-E184-E183-E182-E181</f>
        <v>0</v>
      </c>
      <c r="G185" s="18"/>
    </row>
    <row r="186" spans="2:7" x14ac:dyDescent="0.25">
      <c r="C186" s="10" t="s">
        <v>406</v>
      </c>
      <c r="D186" s="11">
        <f>E140-SUM(D181:D185)</f>
        <v>587</v>
      </c>
      <c r="E186" s="12">
        <f>E139-SUM(E181:E185)</f>
        <v>8612</v>
      </c>
    </row>
    <row r="187" spans="2:7" x14ac:dyDescent="0.25">
      <c r="C187" s="25"/>
      <c r="D187" s="18"/>
      <c r="E187" s="18"/>
    </row>
    <row r="188" spans="2:7" x14ac:dyDescent="0.25">
      <c r="B188" s="3" t="s">
        <v>1495</v>
      </c>
      <c r="C188" t="s">
        <v>1492</v>
      </c>
      <c r="E188" s="24">
        <f>AVERAGE(F2:F123)</f>
        <v>18.587301587301589</v>
      </c>
    </row>
    <row r="189" spans="2:7" x14ac:dyDescent="0.25">
      <c r="C189" t="s">
        <v>1499</v>
      </c>
      <c r="E189" s="24">
        <f>SUMPRODUCT(F2:F123,D2:D123)/SUM(D2:D101)</f>
        <v>5.3373272884283249</v>
      </c>
    </row>
    <row r="191" spans="2:7" x14ac:dyDescent="0.25">
      <c r="B191" s="3" t="s">
        <v>1496</v>
      </c>
      <c r="C191" t="s">
        <v>1491</v>
      </c>
      <c r="E191" s="24">
        <f>AVERAGE(J2:J123)</f>
        <v>140.26506024096386</v>
      </c>
    </row>
    <row r="192" spans="2:7" x14ac:dyDescent="0.25">
      <c r="C192" t="s">
        <v>1493</v>
      </c>
      <c r="E192" s="24">
        <f>SUMPRODUCT(J2:J123,D2:D123)/SUM(D2:D101)</f>
        <v>54.995466321243526</v>
      </c>
    </row>
    <row r="193" spans="2:12" x14ac:dyDescent="0.25">
      <c r="C193" t="s">
        <v>1494</v>
      </c>
      <c r="E193" s="24">
        <f>SUMPRODUCT(J2:J123,H2:H123)/SUM(H2:H101)</f>
        <v>141.72444877057853</v>
      </c>
    </row>
    <row r="195" spans="2:12" x14ac:dyDescent="0.25">
      <c r="B195" s="3" t="s">
        <v>1497</v>
      </c>
      <c r="C195" t="s">
        <v>1498</v>
      </c>
      <c r="E195" s="24">
        <f>AVERAGE(K2:K123)</f>
        <v>4.4506024096385515</v>
      </c>
    </row>
    <row r="196" spans="2:12" x14ac:dyDescent="0.25">
      <c r="C196" t="s">
        <v>1493</v>
      </c>
      <c r="E196" s="24">
        <f>SUMPRODUCT(K2:K85,D2:D85)/SUM(D2:D85)</f>
        <v>4.9527834056922337</v>
      </c>
    </row>
    <row r="197" spans="2:12" x14ac:dyDescent="0.25">
      <c r="C197" t="s">
        <v>1500</v>
      </c>
      <c r="E197" s="24">
        <f>SUMPRODUCT(K2:K85,H2:H85)/SUM(H2:H85)</f>
        <v>4.4312835921960305</v>
      </c>
    </row>
    <row r="199" spans="2:12" x14ac:dyDescent="0.25">
      <c r="C199" t="s">
        <v>1584</v>
      </c>
      <c r="E199" s="17">
        <f>D92/E197</f>
        <v>3135.8859596511402</v>
      </c>
    </row>
    <row r="200" spans="2:12" x14ac:dyDescent="0.25">
      <c r="C200" t="s">
        <v>1586</v>
      </c>
      <c r="E200" s="17">
        <f>E199*3</f>
        <v>9407.6578789534215</v>
      </c>
    </row>
    <row r="201" spans="2:12" x14ac:dyDescent="0.25">
      <c r="C201" t="s">
        <v>1585</v>
      </c>
      <c r="E201" s="17">
        <v>102</v>
      </c>
    </row>
    <row r="202" spans="2:12" x14ac:dyDescent="0.25">
      <c r="E202" s="17">
        <f>E200*E201</f>
        <v>959581.10365324898</v>
      </c>
    </row>
    <row r="203" spans="2:12" x14ac:dyDescent="0.25">
      <c r="C203" t="s">
        <v>1587</v>
      </c>
      <c r="E203" s="17">
        <f>E202/2</f>
        <v>479790.55182662449</v>
      </c>
      <c r="G203" t="s">
        <v>1588</v>
      </c>
    </row>
    <row r="205" spans="2:12" x14ac:dyDescent="0.25">
      <c r="C205" t="s">
        <v>1589</v>
      </c>
      <c r="E205" s="17">
        <f>E203*2/3</f>
        <v>319860.36788441631</v>
      </c>
      <c r="G205" t="s">
        <v>1590</v>
      </c>
      <c r="H205" s="17">
        <f>E205/2</f>
        <v>159930.18394220815</v>
      </c>
      <c r="I205" t="s">
        <v>1592</v>
      </c>
      <c r="L205" t="s">
        <v>1593</v>
      </c>
    </row>
    <row r="206" spans="2:12" x14ac:dyDescent="0.25">
      <c r="G206" t="s">
        <v>1591</v>
      </c>
      <c r="H206" s="17">
        <f>E205/2</f>
        <v>159930.18394220815</v>
      </c>
    </row>
    <row r="212" spans="2:10" x14ac:dyDescent="0.25">
      <c r="B212" s="36" t="s">
        <v>1643</v>
      </c>
      <c r="C212" s="97" t="s">
        <v>149</v>
      </c>
      <c r="D212" s="37" t="s">
        <v>1644</v>
      </c>
      <c r="E212" s="37" t="s">
        <v>130</v>
      </c>
      <c r="F212" s="38" t="s">
        <v>1645</v>
      </c>
    </row>
    <row r="213" spans="2:10" x14ac:dyDescent="0.25">
      <c r="B213" s="13" t="s">
        <v>1638</v>
      </c>
      <c r="C213" s="14" t="s">
        <v>137</v>
      </c>
      <c r="D213" s="14">
        <f>COUNTIF(C$2:C$132,C213)</f>
        <v>2</v>
      </c>
      <c r="E213" s="14">
        <f>SUMIF(C$2:C$132,C213,D$2:D$132)</f>
        <v>202</v>
      </c>
      <c r="F213" s="42">
        <f>SUMIF(C$2:C$132,C213,O$2:O$132)+SUMIF(C$2:C$132,C213,U$2:U$132)+SUMIF(C$2:C$132,C213,H$2:H$132)</f>
        <v>92</v>
      </c>
    </row>
    <row r="214" spans="2:10" x14ac:dyDescent="0.25">
      <c r="B214" s="8" t="s">
        <v>1638</v>
      </c>
      <c r="C214" t="s">
        <v>605</v>
      </c>
      <c r="D214">
        <f t="shared" ref="D214:D240" si="23">COUNTIF(C$2:C$132,C214)</f>
        <v>6</v>
      </c>
      <c r="E214">
        <f t="shared" ref="E214:E240" si="24">SUMIF(C$2:C$132,C214,D$2:D$132)</f>
        <v>336</v>
      </c>
      <c r="F214" s="19">
        <f t="shared" ref="F214:F240" si="25">SUMIF(C$2:C$132,C214,O$2:O$132)+SUMIF(C$2:C$132,C214,U$2:U$132)+SUMIF(C$2:C$132,C214,H$2:H$132)</f>
        <v>85</v>
      </c>
    </row>
    <row r="215" spans="2:10" x14ac:dyDescent="0.25">
      <c r="B215" s="8" t="s">
        <v>1638</v>
      </c>
      <c r="C215" t="s">
        <v>147</v>
      </c>
      <c r="D215">
        <f t="shared" si="23"/>
        <v>1</v>
      </c>
      <c r="E215">
        <f t="shared" si="24"/>
        <v>46</v>
      </c>
      <c r="F215" s="19">
        <f t="shared" si="25"/>
        <v>11</v>
      </c>
    </row>
    <row r="216" spans="2:10" x14ac:dyDescent="0.25">
      <c r="B216" s="10" t="s">
        <v>1638</v>
      </c>
      <c r="C216" s="11" t="s">
        <v>1140</v>
      </c>
      <c r="D216" s="11">
        <f t="shared" si="23"/>
        <v>1</v>
      </c>
      <c r="E216" s="11">
        <f t="shared" si="24"/>
        <v>50</v>
      </c>
      <c r="F216" s="20">
        <f t="shared" si="25"/>
        <v>12</v>
      </c>
      <c r="G216">
        <f>SUM(E213:E216)</f>
        <v>634</v>
      </c>
      <c r="H216" s="34">
        <f>G216/E$241</f>
        <v>6.1167390255668114E-2</v>
      </c>
    </row>
    <row r="217" spans="2:10" x14ac:dyDescent="0.25">
      <c r="B217" s="32" t="s">
        <v>1641</v>
      </c>
      <c r="C217" s="95" t="s">
        <v>144</v>
      </c>
      <c r="D217" s="95">
        <f t="shared" si="23"/>
        <v>4</v>
      </c>
      <c r="E217" s="95">
        <f t="shared" si="24"/>
        <v>792</v>
      </c>
      <c r="F217" s="96">
        <f t="shared" si="25"/>
        <v>151</v>
      </c>
      <c r="G217">
        <f>E217</f>
        <v>792</v>
      </c>
      <c r="H217" s="34">
        <f>G217/E$241</f>
        <v>7.641099855282199E-2</v>
      </c>
    </row>
    <row r="218" spans="2:10" x14ac:dyDescent="0.25">
      <c r="B218" s="13" t="s">
        <v>1639</v>
      </c>
      <c r="C218" s="14" t="s">
        <v>320</v>
      </c>
      <c r="D218" s="14">
        <f t="shared" si="23"/>
        <v>1</v>
      </c>
      <c r="E218" s="14">
        <f t="shared" si="24"/>
        <v>35</v>
      </c>
      <c r="F218" s="42">
        <f t="shared" si="25"/>
        <v>6</v>
      </c>
    </row>
    <row r="219" spans="2:10" x14ac:dyDescent="0.25">
      <c r="B219" s="8" t="s">
        <v>1639</v>
      </c>
      <c r="C219" t="s">
        <v>318</v>
      </c>
      <c r="D219">
        <f t="shared" si="23"/>
        <v>7</v>
      </c>
      <c r="E219">
        <f t="shared" si="24"/>
        <v>1127</v>
      </c>
      <c r="F219" s="19">
        <f t="shared" si="25"/>
        <v>180</v>
      </c>
    </row>
    <row r="220" spans="2:10" x14ac:dyDescent="0.25">
      <c r="B220" s="8" t="s">
        <v>1639</v>
      </c>
      <c r="C220" t="s">
        <v>206</v>
      </c>
      <c r="D220">
        <f t="shared" si="23"/>
        <v>4</v>
      </c>
      <c r="E220">
        <f t="shared" si="24"/>
        <v>323</v>
      </c>
      <c r="F220" s="19">
        <f t="shared" si="25"/>
        <v>85</v>
      </c>
    </row>
    <row r="221" spans="2:10" x14ac:dyDescent="0.25">
      <c r="B221" s="8" t="s">
        <v>1639</v>
      </c>
      <c r="C221" t="s">
        <v>138</v>
      </c>
      <c r="D221">
        <f t="shared" si="23"/>
        <v>4</v>
      </c>
      <c r="E221">
        <f t="shared" si="24"/>
        <v>814</v>
      </c>
      <c r="F221" s="19">
        <f t="shared" si="25"/>
        <v>91</v>
      </c>
      <c r="I221">
        <f>733/E221</f>
        <v>0.90049140049140053</v>
      </c>
      <c r="J221">
        <f>I221*360-360</f>
        <v>-35.823095823095798</v>
      </c>
    </row>
    <row r="222" spans="2:10" x14ac:dyDescent="0.25">
      <c r="B222" s="8" t="s">
        <v>1639</v>
      </c>
      <c r="C222" t="s">
        <v>148</v>
      </c>
      <c r="D222">
        <f t="shared" si="23"/>
        <v>1</v>
      </c>
      <c r="E222">
        <f t="shared" si="24"/>
        <v>102</v>
      </c>
      <c r="F222" s="19">
        <f t="shared" si="25"/>
        <v>15</v>
      </c>
    </row>
    <row r="223" spans="2:10" x14ac:dyDescent="0.25">
      <c r="B223" s="8" t="s">
        <v>1639</v>
      </c>
      <c r="C223" t="s">
        <v>162</v>
      </c>
      <c r="D223">
        <f t="shared" si="23"/>
        <v>3</v>
      </c>
      <c r="E223">
        <f t="shared" si="24"/>
        <v>134</v>
      </c>
      <c r="F223" s="19">
        <f t="shared" si="25"/>
        <v>36</v>
      </c>
    </row>
    <row r="224" spans="2:10" x14ac:dyDescent="0.25">
      <c r="B224" s="8" t="s">
        <v>1639</v>
      </c>
      <c r="C224" t="s">
        <v>146</v>
      </c>
      <c r="D224">
        <f t="shared" si="23"/>
        <v>4</v>
      </c>
      <c r="E224">
        <f t="shared" si="24"/>
        <v>126</v>
      </c>
      <c r="F224" s="19">
        <f t="shared" si="25"/>
        <v>29</v>
      </c>
    </row>
    <row r="225" spans="2:8" x14ac:dyDescent="0.25">
      <c r="B225" s="8" t="s">
        <v>1639</v>
      </c>
      <c r="C225" t="s">
        <v>1465</v>
      </c>
      <c r="D225">
        <f t="shared" si="23"/>
        <v>1</v>
      </c>
      <c r="E225">
        <f t="shared" si="24"/>
        <v>59</v>
      </c>
      <c r="F225" s="19">
        <f t="shared" si="25"/>
        <v>14</v>
      </c>
    </row>
    <row r="226" spans="2:8" x14ac:dyDescent="0.25">
      <c r="B226" s="8" t="s">
        <v>1639</v>
      </c>
      <c r="C226" t="s">
        <v>163</v>
      </c>
      <c r="D226">
        <f t="shared" si="23"/>
        <v>1</v>
      </c>
      <c r="E226">
        <f t="shared" si="24"/>
        <v>25</v>
      </c>
      <c r="F226" s="19">
        <f t="shared" si="25"/>
        <v>6</v>
      </c>
    </row>
    <row r="227" spans="2:8" x14ac:dyDescent="0.25">
      <c r="B227" s="8" t="s">
        <v>1639</v>
      </c>
      <c r="C227" t="s">
        <v>527</v>
      </c>
      <c r="D227">
        <f t="shared" si="23"/>
        <v>2</v>
      </c>
      <c r="E227">
        <f t="shared" si="24"/>
        <v>373</v>
      </c>
      <c r="F227" s="19">
        <f t="shared" si="25"/>
        <v>67</v>
      </c>
    </row>
    <row r="228" spans="2:8" x14ac:dyDescent="0.25">
      <c r="B228" s="8" t="s">
        <v>1639</v>
      </c>
      <c r="C228" t="s">
        <v>161</v>
      </c>
      <c r="D228">
        <f t="shared" si="23"/>
        <v>6</v>
      </c>
      <c r="E228">
        <f t="shared" si="24"/>
        <v>364</v>
      </c>
      <c r="F228" s="19">
        <f t="shared" si="25"/>
        <v>150</v>
      </c>
    </row>
    <row r="229" spans="2:8" x14ac:dyDescent="0.25">
      <c r="B229" s="8" t="s">
        <v>1639</v>
      </c>
      <c r="C229" t="s">
        <v>852</v>
      </c>
      <c r="D229">
        <f t="shared" si="23"/>
        <v>1</v>
      </c>
      <c r="E229">
        <f t="shared" si="24"/>
        <v>25</v>
      </c>
      <c r="F229" s="19">
        <f t="shared" si="25"/>
        <v>6</v>
      </c>
    </row>
    <row r="230" spans="2:8" x14ac:dyDescent="0.25">
      <c r="B230" s="8" t="s">
        <v>1639</v>
      </c>
      <c r="C230" t="s">
        <v>143</v>
      </c>
      <c r="D230">
        <f t="shared" si="23"/>
        <v>1</v>
      </c>
      <c r="E230">
        <f t="shared" si="24"/>
        <v>253</v>
      </c>
      <c r="F230" s="19">
        <f t="shared" si="25"/>
        <v>60</v>
      </c>
    </row>
    <row r="231" spans="2:8" x14ac:dyDescent="0.25">
      <c r="B231" s="8" t="s">
        <v>1639</v>
      </c>
      <c r="C231" t="s">
        <v>166</v>
      </c>
      <c r="D231">
        <f t="shared" si="23"/>
        <v>2</v>
      </c>
      <c r="E231">
        <f t="shared" si="24"/>
        <v>155</v>
      </c>
      <c r="F231" s="19">
        <f t="shared" si="25"/>
        <v>37</v>
      </c>
    </row>
    <row r="232" spans="2:8" x14ac:dyDescent="0.25">
      <c r="B232" s="8" t="s">
        <v>1639</v>
      </c>
      <c r="C232" t="s">
        <v>140</v>
      </c>
      <c r="D232">
        <f t="shared" si="23"/>
        <v>2</v>
      </c>
      <c r="E232">
        <f t="shared" si="24"/>
        <v>153</v>
      </c>
      <c r="F232" s="19">
        <f t="shared" si="25"/>
        <v>32</v>
      </c>
    </row>
    <row r="233" spans="2:8" x14ac:dyDescent="0.25">
      <c r="B233" s="8" t="s">
        <v>1639</v>
      </c>
      <c r="C233" t="s">
        <v>176</v>
      </c>
      <c r="D233">
        <f t="shared" si="23"/>
        <v>1</v>
      </c>
      <c r="E233">
        <f t="shared" si="24"/>
        <v>66</v>
      </c>
      <c r="F233" s="19">
        <f t="shared" si="25"/>
        <v>11</v>
      </c>
    </row>
    <row r="234" spans="2:8" x14ac:dyDescent="0.25">
      <c r="B234" s="8" t="s">
        <v>1639</v>
      </c>
      <c r="C234" t="s">
        <v>165</v>
      </c>
      <c r="D234">
        <f t="shared" si="23"/>
        <v>1</v>
      </c>
      <c r="E234">
        <f t="shared" si="24"/>
        <v>36</v>
      </c>
      <c r="F234" s="19">
        <f t="shared" si="25"/>
        <v>10</v>
      </c>
    </row>
    <row r="235" spans="2:8" x14ac:dyDescent="0.25">
      <c r="B235" s="10" t="s">
        <v>1639</v>
      </c>
      <c r="C235" s="11" t="s">
        <v>69</v>
      </c>
      <c r="D235" s="11">
        <f t="shared" si="23"/>
        <v>2</v>
      </c>
      <c r="E235" s="11">
        <f t="shared" si="24"/>
        <v>498</v>
      </c>
      <c r="F235" s="20">
        <f t="shared" si="25"/>
        <v>83</v>
      </c>
      <c r="G235">
        <f>SUM(E218:E235)</f>
        <v>4668</v>
      </c>
      <c r="H235" s="34">
        <f>G235/E$241</f>
        <v>0.45036179450072361</v>
      </c>
    </row>
    <row r="236" spans="2:8" x14ac:dyDescent="0.25">
      <c r="B236" s="13" t="s">
        <v>1419</v>
      </c>
      <c r="C236" s="14" t="s">
        <v>45</v>
      </c>
      <c r="D236" s="14">
        <f t="shared" si="23"/>
        <v>2</v>
      </c>
      <c r="E236" s="14">
        <f t="shared" si="24"/>
        <v>448</v>
      </c>
      <c r="F236" s="42">
        <f t="shared" si="25"/>
        <v>102</v>
      </c>
    </row>
    <row r="237" spans="2:8" x14ac:dyDescent="0.25">
      <c r="B237" s="8" t="s">
        <v>1419</v>
      </c>
      <c r="C237" t="s">
        <v>449</v>
      </c>
      <c r="D237">
        <f t="shared" si="23"/>
        <v>1</v>
      </c>
      <c r="E237">
        <f t="shared" si="24"/>
        <v>47</v>
      </c>
      <c r="F237" s="19">
        <f t="shared" si="25"/>
        <v>12</v>
      </c>
    </row>
    <row r="238" spans="2:8" x14ac:dyDescent="0.25">
      <c r="B238" s="10" t="s">
        <v>1419</v>
      </c>
      <c r="C238" s="11" t="s">
        <v>1247</v>
      </c>
      <c r="D238" s="11">
        <f t="shared" si="23"/>
        <v>16</v>
      </c>
      <c r="E238" s="11">
        <f t="shared" si="24"/>
        <v>2486</v>
      </c>
      <c r="F238" s="20">
        <f t="shared" si="25"/>
        <v>661.09090909090912</v>
      </c>
      <c r="G238">
        <f>SUM(E236:E238)</f>
        <v>2981</v>
      </c>
      <c r="H238" s="34">
        <f>G238/E$241</f>
        <v>0.28760250844187168</v>
      </c>
    </row>
    <row r="239" spans="2:8" x14ac:dyDescent="0.25">
      <c r="B239" s="13" t="s">
        <v>1640</v>
      </c>
      <c r="C239" s="14" t="s">
        <v>27</v>
      </c>
      <c r="D239" s="14">
        <f t="shared" si="23"/>
        <v>1</v>
      </c>
      <c r="E239" s="14">
        <f t="shared" si="24"/>
        <v>81</v>
      </c>
      <c r="F239" s="42">
        <f t="shared" si="25"/>
        <v>18</v>
      </c>
    </row>
    <row r="240" spans="2:8" x14ac:dyDescent="0.25">
      <c r="B240" s="10" t="s">
        <v>1640</v>
      </c>
      <c r="C240" s="11" t="s">
        <v>141</v>
      </c>
      <c r="D240" s="11">
        <f t="shared" si="23"/>
        <v>6</v>
      </c>
      <c r="E240" s="11">
        <f t="shared" si="24"/>
        <v>1209</v>
      </c>
      <c r="F240" s="20">
        <f t="shared" si="25"/>
        <v>272</v>
      </c>
      <c r="G240">
        <f>SUM(E239:E240)</f>
        <v>1290</v>
      </c>
      <c r="H240" s="34">
        <f>G240/E$241</f>
        <v>0.12445730824891461</v>
      </c>
    </row>
    <row r="241" spans="5:5" x14ac:dyDescent="0.25">
      <c r="E241">
        <f>SUM(E213:E240)</f>
        <v>10365</v>
      </c>
    </row>
  </sheetData>
  <sortState xmlns:xlrd2="http://schemas.microsoft.com/office/spreadsheetml/2017/richdata2" ref="B213:C240">
    <sortCondition ref="B213:B240"/>
    <sortCondition ref="C213:C240"/>
  </sortState>
  <conditionalFormatting sqref="AC2:AE85">
    <cfRule type="cellIs" dxfId="1" priority="1" operator="equal">
      <formula>1</formula>
    </cfRule>
  </conditionalFormatting>
  <pageMargins left="0.7" right="0.7" top="0.75" bottom="0.75" header="0.3" footer="0.3"/>
  <pageSetup paperSize="9" orientation="portrait" r:id="rId1"/>
  <headerFooter>
    <oddFooter>&amp;L&amp;1#&amp;"Arial"&amp;8&amp;KD5DAD9</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21287-C6E5-4159-A6CE-CA230EBC8DE1}">
  <dimension ref="A1:AF245"/>
  <sheetViews>
    <sheetView zoomScaleNormal="100" workbookViewId="0">
      <pane xSplit="4" ySplit="1" topLeftCell="I2" activePane="bottomRight" state="frozen"/>
      <selection pane="topRight" activeCell="E1" sqref="E1"/>
      <selection pane="bottomLeft" activeCell="A2" sqref="A2"/>
      <selection pane="bottomRight" activeCell="AA1" sqref="AA1"/>
    </sheetView>
  </sheetViews>
  <sheetFormatPr defaultRowHeight="15" x14ac:dyDescent="0.25"/>
  <cols>
    <col min="2" max="3" width="13.7109375" customWidth="1"/>
    <col min="4" max="4" width="10.7109375" customWidth="1"/>
    <col min="5" max="5" width="13.7109375" customWidth="1"/>
    <col min="6" max="6" width="9.42578125" customWidth="1"/>
    <col min="7" max="7" width="13.7109375" customWidth="1"/>
    <col min="8" max="8" width="8" customWidth="1"/>
    <col min="9" max="9" width="13.7109375" customWidth="1"/>
    <col min="10" max="10" width="6" bestFit="1" customWidth="1"/>
    <col min="11" max="11" width="7.5703125" customWidth="1"/>
    <col min="12" max="12" width="12" bestFit="1" customWidth="1"/>
    <col min="13" max="13" width="13.42578125" customWidth="1"/>
    <col min="14" max="14" width="8.7109375" customWidth="1"/>
    <col min="15" max="15" width="4.140625" customWidth="1"/>
    <col min="16" max="16" width="15.140625" customWidth="1"/>
    <col min="17" max="17" width="6" bestFit="1" customWidth="1"/>
    <col min="18" max="18" width="4.7109375" bestFit="1" customWidth="1"/>
    <col min="19" max="19" width="10.7109375" customWidth="1"/>
    <col min="20" max="20" width="9" customWidth="1"/>
    <col min="21" max="21" width="4.42578125" customWidth="1"/>
    <col min="22" max="22" width="13.28515625" bestFit="1" customWidth="1"/>
    <col min="23" max="23" width="5" customWidth="1"/>
    <col min="24" max="24" width="6.5703125" customWidth="1"/>
    <col min="29" max="29" width="3.140625" customWidth="1"/>
    <col min="30" max="30" width="3.42578125" customWidth="1"/>
  </cols>
  <sheetData>
    <row r="1" spans="2:32" x14ac:dyDescent="0.25">
      <c r="B1" s="3" t="s">
        <v>86</v>
      </c>
      <c r="C1" s="3" t="s">
        <v>87</v>
      </c>
      <c r="D1" s="3" t="s">
        <v>88</v>
      </c>
      <c r="E1" s="3" t="s">
        <v>98</v>
      </c>
      <c r="F1" s="3" t="s">
        <v>100</v>
      </c>
      <c r="G1" s="3" t="s">
        <v>89</v>
      </c>
      <c r="H1" s="3" t="s">
        <v>91</v>
      </c>
      <c r="I1" s="3" t="s">
        <v>90</v>
      </c>
      <c r="J1" s="3" t="s">
        <v>131</v>
      </c>
      <c r="K1" s="3" t="s">
        <v>130</v>
      </c>
      <c r="L1" s="3" t="s">
        <v>103</v>
      </c>
      <c r="M1" s="3" t="s">
        <v>101</v>
      </c>
      <c r="N1" s="3" t="s">
        <v>107</v>
      </c>
      <c r="O1" s="3" t="s">
        <v>91</v>
      </c>
      <c r="P1" s="3" t="s">
        <v>105</v>
      </c>
      <c r="Q1" s="3" t="s">
        <v>131</v>
      </c>
      <c r="R1" s="3" t="s">
        <v>130</v>
      </c>
      <c r="S1" s="3" t="s">
        <v>103</v>
      </c>
      <c r="T1" s="3" t="s">
        <v>101</v>
      </c>
      <c r="U1" s="3" t="s">
        <v>91</v>
      </c>
      <c r="V1" s="3" t="s">
        <v>105</v>
      </c>
      <c r="W1" s="3" t="s">
        <v>131</v>
      </c>
      <c r="X1" s="3" t="s">
        <v>130</v>
      </c>
      <c r="Z1" s="3" t="s">
        <v>601</v>
      </c>
      <c r="AA1" s="3" t="s">
        <v>1630</v>
      </c>
      <c r="AB1" s="3" t="s">
        <v>1631</v>
      </c>
      <c r="AC1" s="3" t="s">
        <v>1632</v>
      </c>
      <c r="AD1" t="s">
        <v>1633</v>
      </c>
      <c r="AF1" s="3" t="s">
        <v>1794</v>
      </c>
    </row>
    <row r="2" spans="2:32" x14ac:dyDescent="0.25">
      <c r="B2" t="s">
        <v>1277</v>
      </c>
      <c r="C2" t="s">
        <v>161</v>
      </c>
      <c r="D2">
        <v>60</v>
      </c>
      <c r="E2" t="s">
        <v>94</v>
      </c>
      <c r="F2">
        <v>20</v>
      </c>
      <c r="G2" t="s">
        <v>1351</v>
      </c>
      <c r="H2" s="1">
        <v>29</v>
      </c>
      <c r="I2" t="s">
        <v>113</v>
      </c>
      <c r="J2">
        <v>100</v>
      </c>
      <c r="K2">
        <v>2</v>
      </c>
      <c r="M2">
        <v>120</v>
      </c>
      <c r="O2">
        <v>1</v>
      </c>
      <c r="P2" t="s">
        <v>244</v>
      </c>
      <c r="Q2">
        <v>90</v>
      </c>
      <c r="R2">
        <v>2</v>
      </c>
      <c r="T2">
        <v>100</v>
      </c>
      <c r="AA2">
        <v>1</v>
      </c>
      <c r="AB2">
        <v>2020</v>
      </c>
      <c r="AC2">
        <f t="shared" ref="AC2:AC33" si="0">COUNTIF($I$144:$I$174,I2)</f>
        <v>1</v>
      </c>
      <c r="AD2">
        <f t="shared" ref="AD2:AD33" si="1">COUNTIF($C$143:$C$174,C2)</f>
        <v>1</v>
      </c>
      <c r="AF2">
        <f>_xlfn.DAYS(DATE(AB2,AA2*3-2,1),DATE(RIGHT(B2,4),MID(B2,4,2),LEFT(B2,2)))</f>
        <v>-22</v>
      </c>
    </row>
    <row r="3" spans="2:32" x14ac:dyDescent="0.25">
      <c r="B3" t="s">
        <v>1278</v>
      </c>
      <c r="C3" t="s">
        <v>142</v>
      </c>
      <c r="D3">
        <v>84</v>
      </c>
      <c r="E3" t="s">
        <v>93</v>
      </c>
      <c r="F3">
        <v>5</v>
      </c>
      <c r="H3" s="1">
        <v>22</v>
      </c>
      <c r="I3" t="s">
        <v>108</v>
      </c>
      <c r="J3">
        <v>136</v>
      </c>
      <c r="K3">
        <v>3.8</v>
      </c>
      <c r="L3" t="s">
        <v>587</v>
      </c>
      <c r="AA3">
        <v>3</v>
      </c>
      <c r="AB3">
        <v>2020</v>
      </c>
      <c r="AC3">
        <f t="shared" si="0"/>
        <v>1</v>
      </c>
      <c r="AD3">
        <f t="shared" si="1"/>
        <v>1</v>
      </c>
      <c r="AF3">
        <f t="shared" ref="AF3:AF66" si="2">_xlfn.DAYS(DATE(AB3,AA3*3-2,1),DATE(RIGHT(B3,4),MID(B3,4,2),LEFT(B3,2)))</f>
        <v>155</v>
      </c>
    </row>
    <row r="4" spans="2:32" x14ac:dyDescent="0.25">
      <c r="B4" t="s">
        <v>1279</v>
      </c>
      <c r="C4" t="s">
        <v>140</v>
      </c>
      <c r="D4">
        <v>155</v>
      </c>
      <c r="E4" t="s">
        <v>94</v>
      </c>
      <c r="F4">
        <v>30</v>
      </c>
      <c r="G4" t="s">
        <v>1353</v>
      </c>
      <c r="H4" s="1">
        <v>36</v>
      </c>
      <c r="I4" t="s">
        <v>619</v>
      </c>
      <c r="J4">
        <v>150</v>
      </c>
      <c r="K4">
        <v>4.3</v>
      </c>
      <c r="L4" t="s">
        <v>1203</v>
      </c>
      <c r="S4" s="4"/>
      <c r="AA4">
        <v>2</v>
      </c>
      <c r="AB4">
        <v>2021</v>
      </c>
      <c r="AC4">
        <f t="shared" si="0"/>
        <v>1</v>
      </c>
      <c r="AD4">
        <f t="shared" si="1"/>
        <v>1</v>
      </c>
      <c r="AF4">
        <f t="shared" si="2"/>
        <v>428</v>
      </c>
    </row>
    <row r="5" spans="2:32" x14ac:dyDescent="0.25">
      <c r="B5" t="s">
        <v>1280</v>
      </c>
      <c r="C5" t="s">
        <v>318</v>
      </c>
      <c r="D5">
        <v>160</v>
      </c>
      <c r="E5" t="s">
        <v>94</v>
      </c>
      <c r="F5">
        <v>25</v>
      </c>
      <c r="G5" t="s">
        <v>1354</v>
      </c>
      <c r="H5" s="1">
        <v>38</v>
      </c>
      <c r="I5" t="s">
        <v>619</v>
      </c>
      <c r="J5">
        <v>150</v>
      </c>
      <c r="K5">
        <v>4.2</v>
      </c>
      <c r="AA5">
        <v>2</v>
      </c>
      <c r="AB5">
        <v>2021</v>
      </c>
      <c r="AC5">
        <f t="shared" si="0"/>
        <v>1</v>
      </c>
      <c r="AD5">
        <f t="shared" si="1"/>
        <v>1</v>
      </c>
      <c r="AF5">
        <f t="shared" si="2"/>
        <v>422</v>
      </c>
    </row>
    <row r="6" spans="2:32" x14ac:dyDescent="0.25">
      <c r="B6" t="s">
        <v>1281</v>
      </c>
      <c r="C6" t="s">
        <v>140</v>
      </c>
      <c r="D6">
        <v>39</v>
      </c>
      <c r="E6" t="s">
        <v>94</v>
      </c>
      <c r="F6">
        <v>30</v>
      </c>
      <c r="G6" t="s">
        <v>1353</v>
      </c>
      <c r="H6" s="1">
        <v>7</v>
      </c>
      <c r="I6" t="s">
        <v>1220</v>
      </c>
      <c r="J6">
        <v>162</v>
      </c>
      <c r="K6">
        <v>5.6</v>
      </c>
      <c r="AA6">
        <v>3</v>
      </c>
      <c r="AB6">
        <v>2021</v>
      </c>
      <c r="AC6">
        <f t="shared" si="0"/>
        <v>1</v>
      </c>
      <c r="AD6">
        <f t="shared" si="1"/>
        <v>1</v>
      </c>
      <c r="AF6">
        <f t="shared" si="2"/>
        <v>500</v>
      </c>
    </row>
    <row r="7" spans="2:32" x14ac:dyDescent="0.25">
      <c r="B7" t="s">
        <v>1282</v>
      </c>
      <c r="C7" t="s">
        <v>142</v>
      </c>
      <c r="D7">
        <v>52</v>
      </c>
      <c r="E7" t="s">
        <v>93</v>
      </c>
      <c r="F7">
        <v>5</v>
      </c>
      <c r="H7" s="1">
        <v>12</v>
      </c>
      <c r="I7" t="s">
        <v>619</v>
      </c>
      <c r="J7">
        <v>150</v>
      </c>
      <c r="K7">
        <v>4.2</v>
      </c>
      <c r="AA7">
        <v>4</v>
      </c>
      <c r="AB7">
        <v>2020</v>
      </c>
      <c r="AC7">
        <f t="shared" si="0"/>
        <v>1</v>
      </c>
      <c r="AD7">
        <f t="shared" si="1"/>
        <v>1</v>
      </c>
      <c r="AF7">
        <f t="shared" si="2"/>
        <v>224</v>
      </c>
    </row>
    <row r="8" spans="2:32" x14ac:dyDescent="0.25">
      <c r="B8" t="s">
        <v>1282</v>
      </c>
      <c r="C8" t="s">
        <v>34</v>
      </c>
      <c r="D8">
        <v>108</v>
      </c>
      <c r="E8" t="s">
        <v>94</v>
      </c>
      <c r="F8">
        <v>15</v>
      </c>
      <c r="G8" t="s">
        <v>1355</v>
      </c>
      <c r="H8" s="1">
        <v>26</v>
      </c>
      <c r="I8" t="s">
        <v>619</v>
      </c>
      <c r="J8">
        <v>150</v>
      </c>
      <c r="K8">
        <v>4</v>
      </c>
      <c r="L8" t="s">
        <v>1356</v>
      </c>
      <c r="AA8">
        <v>3</v>
      </c>
      <c r="AB8">
        <v>2020</v>
      </c>
      <c r="AC8">
        <f t="shared" si="0"/>
        <v>1</v>
      </c>
      <c r="AD8">
        <f t="shared" si="1"/>
        <v>1</v>
      </c>
      <c r="AF8">
        <f t="shared" si="2"/>
        <v>132</v>
      </c>
    </row>
    <row r="9" spans="2:32" x14ac:dyDescent="0.25">
      <c r="B9" t="s">
        <v>1283</v>
      </c>
      <c r="C9" t="s">
        <v>142</v>
      </c>
      <c r="D9">
        <v>201</v>
      </c>
      <c r="E9" t="s">
        <v>94</v>
      </c>
      <c r="F9">
        <v>5</v>
      </c>
      <c r="H9" s="1">
        <v>61</v>
      </c>
      <c r="I9" t="s">
        <v>1357</v>
      </c>
      <c r="J9">
        <v>155</v>
      </c>
      <c r="K9">
        <v>3.3</v>
      </c>
      <c r="AA9">
        <v>3</v>
      </c>
      <c r="AB9">
        <v>2020</v>
      </c>
      <c r="AC9">
        <f t="shared" si="0"/>
        <v>1</v>
      </c>
      <c r="AD9">
        <f t="shared" si="1"/>
        <v>1</v>
      </c>
      <c r="AF9">
        <f t="shared" si="2"/>
        <v>119</v>
      </c>
    </row>
    <row r="10" spans="2:32" x14ac:dyDescent="0.25">
      <c r="B10" t="s">
        <v>1284</v>
      </c>
      <c r="C10" t="s">
        <v>163</v>
      </c>
      <c r="D10">
        <v>36</v>
      </c>
      <c r="E10" t="s">
        <v>94</v>
      </c>
      <c r="F10">
        <v>10</v>
      </c>
      <c r="G10" t="s">
        <v>1358</v>
      </c>
      <c r="H10" s="1">
        <v>10</v>
      </c>
      <c r="I10" t="s">
        <v>109</v>
      </c>
      <c r="J10">
        <v>126</v>
      </c>
      <c r="K10">
        <v>3.6</v>
      </c>
      <c r="L10" t="s">
        <v>1224</v>
      </c>
      <c r="AA10">
        <v>3</v>
      </c>
      <c r="AB10">
        <v>2021</v>
      </c>
      <c r="AC10">
        <f t="shared" si="0"/>
        <v>1</v>
      </c>
      <c r="AD10">
        <f t="shared" si="1"/>
        <v>1</v>
      </c>
      <c r="AF10">
        <f t="shared" si="2"/>
        <v>482</v>
      </c>
    </row>
    <row r="11" spans="2:32" x14ac:dyDescent="0.25">
      <c r="B11" t="s">
        <v>1285</v>
      </c>
      <c r="C11" t="s">
        <v>163</v>
      </c>
      <c r="D11">
        <v>63</v>
      </c>
      <c r="E11" t="s">
        <v>94</v>
      </c>
      <c r="F11">
        <v>20</v>
      </c>
      <c r="G11" t="s">
        <v>1351</v>
      </c>
      <c r="H11" s="1">
        <v>7</v>
      </c>
      <c r="I11" t="s">
        <v>109</v>
      </c>
      <c r="J11">
        <v>126</v>
      </c>
      <c r="K11">
        <v>3.6</v>
      </c>
      <c r="L11" t="s">
        <v>1224</v>
      </c>
      <c r="O11">
        <v>9</v>
      </c>
      <c r="P11" t="s">
        <v>121</v>
      </c>
      <c r="Q11">
        <v>136</v>
      </c>
      <c r="R11">
        <v>4.2</v>
      </c>
      <c r="AA11">
        <v>4</v>
      </c>
      <c r="AB11">
        <v>2020</v>
      </c>
      <c r="AC11">
        <f t="shared" si="0"/>
        <v>1</v>
      </c>
      <c r="AD11">
        <f t="shared" si="1"/>
        <v>1</v>
      </c>
      <c r="AF11">
        <f t="shared" si="2"/>
        <v>196</v>
      </c>
    </row>
    <row r="12" spans="2:32" x14ac:dyDescent="0.25">
      <c r="B12" t="s">
        <v>1286</v>
      </c>
      <c r="C12" t="s">
        <v>165</v>
      </c>
      <c r="D12">
        <v>47</v>
      </c>
      <c r="E12" t="s">
        <v>94</v>
      </c>
      <c r="F12">
        <v>10</v>
      </c>
      <c r="G12" t="s">
        <v>1359</v>
      </c>
      <c r="H12" s="1">
        <v>13</v>
      </c>
      <c r="I12" t="s">
        <v>112</v>
      </c>
      <c r="J12">
        <v>112</v>
      </c>
      <c r="K12">
        <v>3.6</v>
      </c>
      <c r="L12" t="s">
        <v>1224</v>
      </c>
      <c r="AA12">
        <v>2</v>
      </c>
      <c r="AB12">
        <v>2021</v>
      </c>
      <c r="AC12">
        <f t="shared" si="0"/>
        <v>1</v>
      </c>
      <c r="AD12">
        <f t="shared" si="1"/>
        <v>1</v>
      </c>
      <c r="AF12">
        <f t="shared" si="2"/>
        <v>374</v>
      </c>
    </row>
    <row r="13" spans="2:32" x14ac:dyDescent="0.25">
      <c r="B13" t="s">
        <v>1287</v>
      </c>
      <c r="C13" t="s">
        <v>142</v>
      </c>
      <c r="D13">
        <v>50</v>
      </c>
      <c r="E13" t="s">
        <v>93</v>
      </c>
      <c r="F13">
        <v>5</v>
      </c>
      <c r="G13" t="s">
        <v>1360</v>
      </c>
      <c r="H13" s="1">
        <v>21</v>
      </c>
      <c r="I13" t="s">
        <v>574</v>
      </c>
      <c r="J13">
        <v>120</v>
      </c>
      <c r="K13">
        <v>2.4</v>
      </c>
      <c r="L13" t="s">
        <v>1352</v>
      </c>
      <c r="AA13">
        <v>2</v>
      </c>
      <c r="AB13">
        <v>2020</v>
      </c>
      <c r="AC13">
        <f t="shared" si="0"/>
        <v>1</v>
      </c>
      <c r="AD13">
        <f t="shared" si="1"/>
        <v>1</v>
      </c>
      <c r="AF13">
        <f t="shared" si="2"/>
        <v>8</v>
      </c>
    </row>
    <row r="14" spans="2:32" x14ac:dyDescent="0.25">
      <c r="B14" t="s">
        <v>1288</v>
      </c>
      <c r="C14" t="s">
        <v>161</v>
      </c>
      <c r="D14">
        <v>68</v>
      </c>
      <c r="E14" t="s">
        <v>93</v>
      </c>
      <c r="F14">
        <v>27</v>
      </c>
      <c r="H14" s="1">
        <v>25</v>
      </c>
      <c r="I14" t="s">
        <v>113</v>
      </c>
      <c r="J14">
        <v>100</v>
      </c>
      <c r="K14">
        <v>2</v>
      </c>
      <c r="L14" t="s">
        <v>637</v>
      </c>
      <c r="O14">
        <v>7</v>
      </c>
      <c r="P14" t="s">
        <v>110</v>
      </c>
      <c r="Q14">
        <v>110</v>
      </c>
      <c r="R14">
        <v>2.2000000000000002</v>
      </c>
      <c r="S14" t="s">
        <v>637</v>
      </c>
      <c r="AA14">
        <v>1</v>
      </c>
      <c r="AB14">
        <v>2021</v>
      </c>
      <c r="AC14">
        <f t="shared" si="0"/>
        <v>1</v>
      </c>
      <c r="AD14">
        <f t="shared" si="1"/>
        <v>1</v>
      </c>
      <c r="AF14">
        <f t="shared" si="2"/>
        <v>281</v>
      </c>
    </row>
    <row r="15" spans="2:32" x14ac:dyDescent="0.25">
      <c r="B15" t="s">
        <v>1289</v>
      </c>
      <c r="C15" t="s">
        <v>1247</v>
      </c>
      <c r="D15">
        <v>74</v>
      </c>
      <c r="E15" t="s">
        <v>93</v>
      </c>
      <c r="F15">
        <v>10</v>
      </c>
      <c r="H15" s="1">
        <v>45</v>
      </c>
      <c r="I15" t="s">
        <v>110</v>
      </c>
      <c r="J15">
        <v>110</v>
      </c>
      <c r="K15">
        <v>2</v>
      </c>
      <c r="AC15">
        <f t="shared" si="0"/>
        <v>1</v>
      </c>
      <c r="AD15">
        <f t="shared" si="1"/>
        <v>1</v>
      </c>
      <c r="AF15" t="e">
        <f t="shared" si="2"/>
        <v>#NUM!</v>
      </c>
    </row>
    <row r="16" spans="2:32" x14ac:dyDescent="0.25">
      <c r="B16" t="s">
        <v>1289</v>
      </c>
      <c r="C16" t="s">
        <v>175</v>
      </c>
      <c r="D16">
        <v>29</v>
      </c>
      <c r="E16" t="s">
        <v>93</v>
      </c>
      <c r="F16">
        <v>20</v>
      </c>
      <c r="G16" t="s">
        <v>1361</v>
      </c>
      <c r="H16" s="1">
        <f>D16/K16</f>
        <v>6.9047619047619042</v>
      </c>
      <c r="I16" t="s">
        <v>619</v>
      </c>
      <c r="J16">
        <v>150</v>
      </c>
      <c r="K16">
        <v>4.2</v>
      </c>
      <c r="AA16">
        <v>1</v>
      </c>
      <c r="AB16">
        <v>2021</v>
      </c>
      <c r="AC16">
        <f t="shared" si="0"/>
        <v>1</v>
      </c>
      <c r="AD16">
        <f t="shared" si="1"/>
        <v>1</v>
      </c>
      <c r="AF16">
        <f t="shared" si="2"/>
        <v>280</v>
      </c>
    </row>
    <row r="17" spans="1:32" x14ac:dyDescent="0.25">
      <c r="B17" t="s">
        <v>1289</v>
      </c>
      <c r="C17" t="s">
        <v>142</v>
      </c>
      <c r="D17">
        <v>62</v>
      </c>
      <c r="E17" t="s">
        <v>93</v>
      </c>
      <c r="F17">
        <v>5</v>
      </c>
      <c r="H17" s="1">
        <v>28</v>
      </c>
      <c r="I17" t="s">
        <v>574</v>
      </c>
      <c r="J17">
        <v>120</v>
      </c>
      <c r="K17">
        <v>2.2000000000000002</v>
      </c>
      <c r="AA17">
        <v>2</v>
      </c>
      <c r="AB17">
        <v>2020</v>
      </c>
      <c r="AC17">
        <f t="shared" si="0"/>
        <v>1</v>
      </c>
      <c r="AD17">
        <f t="shared" si="1"/>
        <v>1</v>
      </c>
      <c r="AF17">
        <f t="shared" si="2"/>
        <v>5</v>
      </c>
    </row>
    <row r="18" spans="1:32" x14ac:dyDescent="0.25">
      <c r="B18" t="s">
        <v>1290</v>
      </c>
      <c r="C18" t="s">
        <v>206</v>
      </c>
      <c r="D18">
        <v>109</v>
      </c>
      <c r="E18" t="s">
        <v>94</v>
      </c>
      <c r="F18">
        <v>10</v>
      </c>
      <c r="H18" s="1">
        <v>26</v>
      </c>
      <c r="I18" t="s">
        <v>619</v>
      </c>
      <c r="J18">
        <v>150</v>
      </c>
      <c r="K18">
        <v>4.2</v>
      </c>
      <c r="AB18">
        <v>2021</v>
      </c>
      <c r="AC18">
        <f t="shared" si="0"/>
        <v>1</v>
      </c>
      <c r="AD18">
        <f t="shared" si="1"/>
        <v>1</v>
      </c>
      <c r="AF18">
        <f t="shared" si="2"/>
        <v>185</v>
      </c>
    </row>
    <row r="19" spans="1:32" x14ac:dyDescent="0.25">
      <c r="B19" t="s">
        <v>1291</v>
      </c>
      <c r="C19" t="s">
        <v>142</v>
      </c>
      <c r="D19">
        <v>99</v>
      </c>
      <c r="E19" t="s">
        <v>93</v>
      </c>
      <c r="F19">
        <v>20</v>
      </c>
      <c r="H19" s="1">
        <v>16</v>
      </c>
      <c r="I19" t="s">
        <v>1357</v>
      </c>
      <c r="J19">
        <v>155</v>
      </c>
      <c r="K19">
        <v>3.3</v>
      </c>
      <c r="O19">
        <v>21</v>
      </c>
      <c r="P19" t="s">
        <v>119</v>
      </c>
      <c r="Q19">
        <v>110</v>
      </c>
      <c r="R19">
        <v>2.2000000000000002</v>
      </c>
      <c r="AA19">
        <v>2</v>
      </c>
      <c r="AB19">
        <v>2020</v>
      </c>
      <c r="AC19">
        <f t="shared" si="0"/>
        <v>1</v>
      </c>
      <c r="AD19">
        <f t="shared" si="1"/>
        <v>1</v>
      </c>
      <c r="AF19">
        <f t="shared" si="2"/>
        <v>1</v>
      </c>
    </row>
    <row r="20" spans="1:32" x14ac:dyDescent="0.25">
      <c r="B20" t="s">
        <v>1291</v>
      </c>
      <c r="C20" t="s">
        <v>142</v>
      </c>
      <c r="D20">
        <v>202</v>
      </c>
      <c r="E20" t="s">
        <v>93</v>
      </c>
      <c r="F20">
        <v>2</v>
      </c>
      <c r="H20" s="1">
        <v>56</v>
      </c>
      <c r="I20" t="s">
        <v>108</v>
      </c>
      <c r="J20">
        <v>136</v>
      </c>
      <c r="K20">
        <v>3.6</v>
      </c>
      <c r="L20" t="s">
        <v>1224</v>
      </c>
      <c r="AA20">
        <v>1</v>
      </c>
      <c r="AB20">
        <v>2020</v>
      </c>
      <c r="AC20">
        <f t="shared" si="0"/>
        <v>1</v>
      </c>
      <c r="AD20">
        <f t="shared" si="1"/>
        <v>1</v>
      </c>
      <c r="AF20">
        <f t="shared" si="2"/>
        <v>-90</v>
      </c>
    </row>
    <row r="21" spans="1:32" x14ac:dyDescent="0.25">
      <c r="A21" s="40"/>
      <c r="B21" t="s">
        <v>1291</v>
      </c>
      <c r="C21" t="s">
        <v>140</v>
      </c>
      <c r="D21">
        <v>202</v>
      </c>
      <c r="E21" t="s">
        <v>94</v>
      </c>
      <c r="F21">
        <v>27</v>
      </c>
      <c r="H21" s="1">
        <v>47</v>
      </c>
      <c r="I21" t="s">
        <v>619</v>
      </c>
      <c r="J21">
        <v>150</v>
      </c>
      <c r="K21">
        <v>4.3</v>
      </c>
      <c r="L21" t="s">
        <v>1203</v>
      </c>
      <c r="O21" s="40"/>
      <c r="P21" s="40"/>
      <c r="Q21" s="40"/>
      <c r="R21" s="40"/>
      <c r="S21" s="40"/>
      <c r="T21" s="40"/>
      <c r="U21" s="40"/>
      <c r="V21" s="40"/>
      <c r="W21" s="40"/>
      <c r="X21" s="40"/>
      <c r="Y21" s="40"/>
      <c r="Z21" s="40"/>
      <c r="AA21" s="40">
        <v>1</v>
      </c>
      <c r="AB21" s="40">
        <v>2022</v>
      </c>
      <c r="AC21" s="40">
        <f t="shared" si="0"/>
        <v>1</v>
      </c>
      <c r="AD21" s="40">
        <f t="shared" si="1"/>
        <v>1</v>
      </c>
      <c r="AE21" s="40"/>
      <c r="AF21">
        <f t="shared" si="2"/>
        <v>641</v>
      </c>
    </row>
    <row r="22" spans="1:32" x14ac:dyDescent="0.25">
      <c r="A22" s="40"/>
      <c r="B22" t="s">
        <v>1291</v>
      </c>
      <c r="C22" t="s">
        <v>161</v>
      </c>
      <c r="D22">
        <v>36</v>
      </c>
      <c r="E22" t="s">
        <v>94</v>
      </c>
      <c r="G22" t="s">
        <v>1359</v>
      </c>
      <c r="H22" s="1">
        <v>18</v>
      </c>
      <c r="I22" t="s">
        <v>113</v>
      </c>
      <c r="J22">
        <v>100</v>
      </c>
      <c r="K22">
        <v>2</v>
      </c>
      <c r="M22">
        <v>110</v>
      </c>
      <c r="O22" s="40"/>
      <c r="P22" s="40"/>
      <c r="Q22" s="40"/>
      <c r="R22" s="40"/>
      <c r="S22" s="40"/>
      <c r="T22" s="40"/>
      <c r="U22" s="40"/>
      <c r="V22" s="40"/>
      <c r="W22" s="40"/>
      <c r="X22" s="40"/>
      <c r="Y22" s="40"/>
      <c r="Z22" s="40"/>
      <c r="AA22" s="40">
        <v>1</v>
      </c>
      <c r="AB22" s="40">
        <v>2021</v>
      </c>
      <c r="AC22" s="40">
        <f t="shared" si="0"/>
        <v>1</v>
      </c>
      <c r="AD22" s="40">
        <f t="shared" si="1"/>
        <v>1</v>
      </c>
      <c r="AE22" s="40"/>
      <c r="AF22">
        <f t="shared" si="2"/>
        <v>276</v>
      </c>
    </row>
    <row r="23" spans="1:32" x14ac:dyDescent="0.25">
      <c r="A23" s="40"/>
      <c r="B23" t="s">
        <v>1291</v>
      </c>
      <c r="C23" t="s">
        <v>139</v>
      </c>
      <c r="D23">
        <v>80</v>
      </c>
      <c r="E23" t="s">
        <v>94</v>
      </c>
      <c r="F23">
        <v>25</v>
      </c>
      <c r="G23" t="s">
        <v>1362</v>
      </c>
      <c r="H23" s="1">
        <v>19</v>
      </c>
      <c r="I23" t="s">
        <v>619</v>
      </c>
      <c r="J23">
        <v>150</v>
      </c>
      <c r="K23">
        <v>4.2</v>
      </c>
      <c r="O23" s="40"/>
      <c r="P23" s="40"/>
      <c r="Q23" s="40"/>
      <c r="R23" s="40"/>
      <c r="S23" s="40"/>
      <c r="T23" s="40"/>
      <c r="U23" s="40"/>
      <c r="V23" s="40"/>
      <c r="W23" s="40"/>
      <c r="X23" s="40"/>
      <c r="Y23" s="40"/>
      <c r="Z23" s="40"/>
      <c r="AA23" s="40">
        <v>2</v>
      </c>
      <c r="AB23" s="40">
        <v>2021</v>
      </c>
      <c r="AC23" s="40">
        <f t="shared" si="0"/>
        <v>1</v>
      </c>
      <c r="AD23" s="40">
        <f t="shared" si="1"/>
        <v>1</v>
      </c>
      <c r="AE23" s="40"/>
      <c r="AF23">
        <f t="shared" si="2"/>
        <v>366</v>
      </c>
    </row>
    <row r="24" spans="1:32" s="11" customFormat="1" x14ac:dyDescent="0.25">
      <c r="A24" s="41">
        <f>SUM(D2:D24)</f>
        <v>2064</v>
      </c>
      <c r="B24" s="11" t="s">
        <v>1291</v>
      </c>
      <c r="C24" s="11" t="s">
        <v>146</v>
      </c>
      <c r="D24" s="11">
        <v>48</v>
      </c>
      <c r="E24" s="11" t="s">
        <v>93</v>
      </c>
      <c r="F24" s="11">
        <v>10</v>
      </c>
      <c r="H24" s="28">
        <v>14</v>
      </c>
      <c r="I24" s="11" t="s">
        <v>108</v>
      </c>
      <c r="J24" s="11">
        <v>136</v>
      </c>
      <c r="K24" s="11">
        <v>3.45</v>
      </c>
      <c r="O24" s="41"/>
      <c r="P24" s="41"/>
      <c r="Q24" s="41"/>
      <c r="R24" s="41"/>
      <c r="S24" s="41"/>
      <c r="T24" s="41"/>
      <c r="U24" s="41"/>
      <c r="V24" s="41"/>
      <c r="W24" s="41"/>
      <c r="X24" s="41"/>
      <c r="Y24" s="41"/>
      <c r="Z24" s="41"/>
      <c r="AA24" s="41">
        <v>4</v>
      </c>
      <c r="AB24" s="41">
        <v>2020</v>
      </c>
      <c r="AC24" s="41">
        <f t="shared" si="0"/>
        <v>1</v>
      </c>
      <c r="AD24" s="41">
        <f t="shared" si="1"/>
        <v>1</v>
      </c>
      <c r="AE24" s="41"/>
      <c r="AF24">
        <f t="shared" si="2"/>
        <v>184</v>
      </c>
    </row>
    <row r="25" spans="1:32" x14ac:dyDescent="0.25">
      <c r="A25" s="40"/>
      <c r="B25" t="s">
        <v>1292</v>
      </c>
      <c r="C25" t="s">
        <v>605</v>
      </c>
      <c r="D25">
        <v>139</v>
      </c>
      <c r="H25" s="1">
        <v>33</v>
      </c>
      <c r="I25" t="s">
        <v>1156</v>
      </c>
      <c r="J25">
        <v>117</v>
      </c>
      <c r="K25">
        <v>4.2</v>
      </c>
      <c r="O25" s="40"/>
      <c r="P25" s="40"/>
      <c r="Q25" s="40"/>
      <c r="R25" s="40"/>
      <c r="S25" s="40"/>
      <c r="T25" s="40"/>
      <c r="U25" s="40"/>
      <c r="V25" s="40"/>
      <c r="W25" s="40"/>
      <c r="X25" s="40"/>
      <c r="Y25" s="40"/>
      <c r="Z25" s="40"/>
      <c r="AA25" s="40">
        <v>3</v>
      </c>
      <c r="AB25" s="40">
        <v>2021</v>
      </c>
      <c r="AC25" s="40">
        <f t="shared" si="0"/>
        <v>1</v>
      </c>
      <c r="AD25" s="40">
        <f t="shared" si="1"/>
        <v>1</v>
      </c>
      <c r="AE25" s="40"/>
      <c r="AF25">
        <f t="shared" si="2"/>
        <v>451</v>
      </c>
    </row>
    <row r="26" spans="1:32" x14ac:dyDescent="0.25">
      <c r="A26" s="40"/>
      <c r="B26" t="s">
        <v>1293</v>
      </c>
      <c r="C26" t="s">
        <v>175</v>
      </c>
      <c r="D26">
        <v>67</v>
      </c>
      <c r="E26" t="s">
        <v>94</v>
      </c>
      <c r="F26">
        <v>20</v>
      </c>
      <c r="H26" s="1">
        <v>16</v>
      </c>
      <c r="I26" t="s">
        <v>619</v>
      </c>
      <c r="J26">
        <v>150</v>
      </c>
      <c r="K26">
        <v>4.2</v>
      </c>
      <c r="M26">
        <v>162</v>
      </c>
      <c r="O26" s="40"/>
      <c r="P26" s="40"/>
      <c r="Q26" s="40"/>
      <c r="R26" s="40"/>
      <c r="S26" s="40"/>
      <c r="T26" s="40"/>
      <c r="U26" s="40"/>
      <c r="V26" s="40"/>
      <c r="W26" s="40"/>
      <c r="X26" s="40"/>
      <c r="Y26" s="40"/>
      <c r="Z26" s="40"/>
      <c r="AA26" s="40">
        <v>3</v>
      </c>
      <c r="AB26" s="40">
        <v>2021</v>
      </c>
      <c r="AC26" s="40">
        <f t="shared" si="0"/>
        <v>1</v>
      </c>
      <c r="AD26" s="40">
        <f t="shared" si="1"/>
        <v>1</v>
      </c>
      <c r="AE26" s="40"/>
      <c r="AF26">
        <f t="shared" si="2"/>
        <v>433</v>
      </c>
    </row>
    <row r="27" spans="1:32" x14ac:dyDescent="0.25">
      <c r="A27" s="40"/>
      <c r="B27" t="s">
        <v>1294</v>
      </c>
      <c r="C27" t="s">
        <v>175</v>
      </c>
      <c r="D27">
        <v>64</v>
      </c>
      <c r="E27" t="s">
        <v>94</v>
      </c>
      <c r="F27">
        <v>20</v>
      </c>
      <c r="H27" s="1">
        <v>16</v>
      </c>
      <c r="I27" t="s">
        <v>619</v>
      </c>
      <c r="J27">
        <v>150</v>
      </c>
      <c r="K27">
        <v>4.2</v>
      </c>
      <c r="L27" t="s">
        <v>1356</v>
      </c>
      <c r="O27" s="40"/>
      <c r="P27" s="40"/>
      <c r="Q27" s="40"/>
      <c r="R27" s="40"/>
      <c r="S27" s="40"/>
      <c r="T27" s="40"/>
      <c r="U27" s="40"/>
      <c r="V27" s="40"/>
      <c r="W27" s="40"/>
      <c r="X27" s="40"/>
      <c r="Y27" s="40"/>
      <c r="Z27" s="40"/>
      <c r="AA27" s="40">
        <v>2</v>
      </c>
      <c r="AB27" s="40">
        <v>2021</v>
      </c>
      <c r="AC27" s="40">
        <f t="shared" si="0"/>
        <v>1</v>
      </c>
      <c r="AD27" s="40">
        <f t="shared" si="1"/>
        <v>1</v>
      </c>
      <c r="AE27" s="40"/>
      <c r="AF27">
        <f t="shared" si="2"/>
        <v>335</v>
      </c>
    </row>
    <row r="28" spans="1:32" x14ac:dyDescent="0.25">
      <c r="A28" s="40"/>
      <c r="B28" t="s">
        <v>1295</v>
      </c>
      <c r="C28" t="s">
        <v>142</v>
      </c>
      <c r="D28">
        <v>50</v>
      </c>
      <c r="E28" t="s">
        <v>93</v>
      </c>
      <c r="F28">
        <v>5</v>
      </c>
      <c r="H28" s="1">
        <v>21</v>
      </c>
      <c r="I28" t="s">
        <v>574</v>
      </c>
      <c r="J28">
        <v>120</v>
      </c>
      <c r="K28">
        <v>2.4</v>
      </c>
      <c r="L28" t="s">
        <v>1352</v>
      </c>
      <c r="O28" s="40"/>
      <c r="P28" s="40"/>
      <c r="Q28" s="40"/>
      <c r="R28" s="40"/>
      <c r="S28" s="40"/>
      <c r="T28" s="40"/>
      <c r="U28" s="40"/>
      <c r="V28" s="40"/>
      <c r="W28" s="40"/>
      <c r="X28" s="40"/>
      <c r="Y28" s="40"/>
      <c r="Z28" s="40"/>
      <c r="AA28" s="40">
        <v>3</v>
      </c>
      <c r="AB28" s="40">
        <v>2020</v>
      </c>
      <c r="AC28" s="40">
        <f t="shared" si="0"/>
        <v>1</v>
      </c>
      <c r="AD28" s="40">
        <f t="shared" si="1"/>
        <v>1</v>
      </c>
      <c r="AE28" s="40"/>
      <c r="AF28">
        <f t="shared" si="2"/>
        <v>58</v>
      </c>
    </row>
    <row r="29" spans="1:32" x14ac:dyDescent="0.25">
      <c r="A29" s="40"/>
      <c r="B29" t="s">
        <v>1296</v>
      </c>
      <c r="C29" t="s">
        <v>527</v>
      </c>
      <c r="D29">
        <v>46</v>
      </c>
      <c r="E29" t="s">
        <v>93</v>
      </c>
      <c r="F29">
        <v>15</v>
      </c>
      <c r="H29" s="1">
        <v>9</v>
      </c>
      <c r="I29" t="s">
        <v>121</v>
      </c>
      <c r="J29">
        <v>136</v>
      </c>
      <c r="K29">
        <v>4.2</v>
      </c>
      <c r="O29" s="40">
        <v>2</v>
      </c>
      <c r="P29" s="40" t="s">
        <v>1156</v>
      </c>
      <c r="Q29" s="40">
        <v>117</v>
      </c>
      <c r="R29" s="40">
        <v>4.2</v>
      </c>
      <c r="S29" s="40"/>
      <c r="T29" s="40"/>
      <c r="U29" s="40"/>
      <c r="V29" s="40"/>
      <c r="W29" s="40"/>
      <c r="X29" s="40"/>
      <c r="Y29" s="40"/>
      <c r="Z29" s="40"/>
      <c r="AA29" s="40">
        <v>3</v>
      </c>
      <c r="AB29" s="40">
        <v>2021</v>
      </c>
      <c r="AC29" s="40">
        <f t="shared" si="0"/>
        <v>1</v>
      </c>
      <c r="AD29" s="40">
        <f t="shared" si="1"/>
        <v>1</v>
      </c>
      <c r="AE29" s="40"/>
      <c r="AF29">
        <f t="shared" si="2"/>
        <v>414</v>
      </c>
    </row>
    <row r="30" spans="1:32" x14ac:dyDescent="0.25">
      <c r="A30" s="40"/>
      <c r="B30" t="s">
        <v>1297</v>
      </c>
      <c r="C30" t="s">
        <v>175</v>
      </c>
      <c r="D30">
        <v>144</v>
      </c>
      <c r="E30" t="s">
        <v>94</v>
      </c>
      <c r="F30">
        <v>10</v>
      </c>
      <c r="G30" t="s">
        <v>1363</v>
      </c>
      <c r="H30" s="1">
        <v>36</v>
      </c>
      <c r="I30" t="s">
        <v>619</v>
      </c>
      <c r="J30">
        <v>150</v>
      </c>
      <c r="K30">
        <v>4</v>
      </c>
      <c r="L30" t="s">
        <v>1356</v>
      </c>
      <c r="O30" s="40"/>
      <c r="P30" s="40"/>
      <c r="Q30" s="40"/>
      <c r="R30" s="40"/>
      <c r="S30" s="40"/>
      <c r="T30" s="40"/>
      <c r="U30" s="40"/>
      <c r="V30" s="40"/>
      <c r="W30" s="40"/>
      <c r="X30" s="40"/>
      <c r="Y30" s="40"/>
      <c r="Z30" s="40"/>
      <c r="AA30" s="40">
        <v>3</v>
      </c>
      <c r="AB30" s="40">
        <v>2021</v>
      </c>
      <c r="AC30" s="40">
        <f t="shared" si="0"/>
        <v>1</v>
      </c>
      <c r="AD30" s="40">
        <f t="shared" si="1"/>
        <v>1</v>
      </c>
      <c r="AE30" s="40"/>
      <c r="AF30">
        <f t="shared" si="2"/>
        <v>399</v>
      </c>
    </row>
    <row r="31" spans="1:32" x14ac:dyDescent="0.25">
      <c r="A31" s="40"/>
      <c r="B31" t="s">
        <v>1298</v>
      </c>
      <c r="C31" t="s">
        <v>165</v>
      </c>
      <c r="D31">
        <v>38</v>
      </c>
      <c r="H31" s="1">
        <v>9</v>
      </c>
      <c r="I31" t="s">
        <v>1156</v>
      </c>
      <c r="J31">
        <v>117</v>
      </c>
      <c r="K31">
        <v>4.2</v>
      </c>
      <c r="M31">
        <v>81.5</v>
      </c>
      <c r="O31" s="40"/>
      <c r="P31" s="40"/>
      <c r="Q31" s="40"/>
      <c r="R31" s="40"/>
      <c r="S31" s="40"/>
      <c r="T31" s="40"/>
      <c r="U31" s="40"/>
      <c r="V31" s="40"/>
      <c r="W31" s="40"/>
      <c r="X31" s="40"/>
      <c r="Y31" s="40"/>
      <c r="Z31" s="40"/>
      <c r="AA31" s="40">
        <v>2</v>
      </c>
      <c r="AB31" s="40">
        <v>2021</v>
      </c>
      <c r="AC31" s="40">
        <f t="shared" si="0"/>
        <v>1</v>
      </c>
      <c r="AD31" s="40">
        <f t="shared" si="1"/>
        <v>1</v>
      </c>
      <c r="AE31" s="40"/>
      <c r="AF31">
        <f t="shared" si="2"/>
        <v>307</v>
      </c>
    </row>
    <row r="32" spans="1:32" x14ac:dyDescent="0.25">
      <c r="A32" s="40"/>
      <c r="B32" t="s">
        <v>1298</v>
      </c>
      <c r="C32" t="s">
        <v>142</v>
      </c>
      <c r="D32">
        <v>41</v>
      </c>
      <c r="E32" t="s">
        <v>93</v>
      </c>
      <c r="F32">
        <v>5</v>
      </c>
      <c r="H32" s="1">
        <v>17</v>
      </c>
      <c r="I32" t="s">
        <v>574</v>
      </c>
      <c r="J32">
        <v>120</v>
      </c>
      <c r="K32">
        <v>2.4</v>
      </c>
      <c r="L32" t="s">
        <v>1352</v>
      </c>
      <c r="M32">
        <v>141</v>
      </c>
      <c r="O32" s="40"/>
      <c r="P32" s="40"/>
      <c r="Q32" s="40"/>
      <c r="R32" s="40"/>
      <c r="S32" s="40"/>
      <c r="T32" s="40"/>
      <c r="U32" s="40"/>
      <c r="V32" s="40"/>
      <c r="W32" s="40"/>
      <c r="X32" s="40"/>
      <c r="Y32" s="40"/>
      <c r="Z32" s="40"/>
      <c r="AA32" s="40">
        <v>4</v>
      </c>
      <c r="AB32" s="40">
        <v>2020</v>
      </c>
      <c r="AC32" s="40">
        <f t="shared" si="0"/>
        <v>1</v>
      </c>
      <c r="AD32" s="40">
        <f t="shared" si="1"/>
        <v>1</v>
      </c>
      <c r="AE32" s="40"/>
      <c r="AF32">
        <f t="shared" si="2"/>
        <v>125</v>
      </c>
    </row>
    <row r="33" spans="1:32" x14ac:dyDescent="0.25">
      <c r="A33" s="40"/>
      <c r="B33" t="s">
        <v>1299</v>
      </c>
      <c r="C33" t="s">
        <v>143</v>
      </c>
      <c r="D33">
        <v>226</v>
      </c>
      <c r="E33" t="s">
        <v>94</v>
      </c>
      <c r="G33" t="s">
        <v>1143</v>
      </c>
      <c r="H33" s="1">
        <v>54</v>
      </c>
      <c r="I33" t="s">
        <v>1364</v>
      </c>
      <c r="J33">
        <v>126</v>
      </c>
      <c r="K33">
        <v>4.2</v>
      </c>
      <c r="M33">
        <v>87</v>
      </c>
      <c r="O33" s="40"/>
      <c r="P33" s="40"/>
      <c r="Q33" s="40"/>
      <c r="R33" s="40"/>
      <c r="S33" s="40"/>
      <c r="T33" s="40"/>
      <c r="U33" s="40"/>
      <c r="V33" s="40"/>
      <c r="W33" s="40"/>
      <c r="X33" s="40"/>
      <c r="Y33" s="40"/>
      <c r="Z33" s="40"/>
      <c r="AA33" s="40">
        <v>2</v>
      </c>
      <c r="AB33" s="40">
        <v>2021</v>
      </c>
      <c r="AC33" s="40">
        <f t="shared" si="0"/>
        <v>1</v>
      </c>
      <c r="AD33" s="40">
        <f t="shared" si="1"/>
        <v>1</v>
      </c>
      <c r="AE33" s="40"/>
      <c r="AF33">
        <f t="shared" si="2"/>
        <v>302</v>
      </c>
    </row>
    <row r="34" spans="1:32" x14ac:dyDescent="0.25">
      <c r="B34" t="s">
        <v>1300</v>
      </c>
      <c r="C34" t="s">
        <v>142</v>
      </c>
      <c r="D34">
        <v>50</v>
      </c>
      <c r="E34" t="s">
        <v>94</v>
      </c>
      <c r="F34">
        <v>5</v>
      </c>
      <c r="G34" t="s">
        <v>1365</v>
      </c>
      <c r="H34" s="1">
        <v>15</v>
      </c>
      <c r="I34" t="s">
        <v>1357</v>
      </c>
      <c r="J34">
        <v>155</v>
      </c>
      <c r="K34">
        <v>3.3</v>
      </c>
      <c r="M34">
        <v>142</v>
      </c>
      <c r="AA34">
        <v>4</v>
      </c>
      <c r="AB34">
        <v>2020</v>
      </c>
      <c r="AC34" s="40">
        <f t="shared" ref="AC34:AC65" si="3">COUNTIF($I$144:$I$174,I34)</f>
        <v>1</v>
      </c>
      <c r="AD34" s="40">
        <f t="shared" ref="AD34:AD65" si="4">COUNTIF($C$143:$C$174,C34)</f>
        <v>1</v>
      </c>
      <c r="AF34">
        <f t="shared" si="2"/>
        <v>119</v>
      </c>
    </row>
    <row r="35" spans="1:32" x14ac:dyDescent="0.25">
      <c r="A35" s="40"/>
      <c r="B35" t="s">
        <v>1300</v>
      </c>
      <c r="C35" t="s">
        <v>142</v>
      </c>
      <c r="D35">
        <v>50</v>
      </c>
      <c r="E35" t="s">
        <v>93</v>
      </c>
      <c r="F35">
        <v>5</v>
      </c>
      <c r="H35" s="1">
        <v>14</v>
      </c>
      <c r="I35" t="s">
        <v>108</v>
      </c>
      <c r="J35">
        <v>136</v>
      </c>
      <c r="K35">
        <v>3.6</v>
      </c>
      <c r="L35" t="s">
        <v>1224</v>
      </c>
      <c r="AA35">
        <v>4</v>
      </c>
      <c r="AB35">
        <v>2020</v>
      </c>
      <c r="AC35" s="40">
        <f t="shared" si="3"/>
        <v>1</v>
      </c>
      <c r="AD35" s="40">
        <f t="shared" si="4"/>
        <v>1</v>
      </c>
      <c r="AF35">
        <f t="shared" si="2"/>
        <v>119</v>
      </c>
    </row>
    <row r="36" spans="1:32" x14ac:dyDescent="0.25">
      <c r="A36" s="40"/>
      <c r="B36" t="s">
        <v>1301</v>
      </c>
      <c r="C36" t="s">
        <v>161</v>
      </c>
      <c r="D36">
        <v>36</v>
      </c>
      <c r="E36" t="s">
        <v>94</v>
      </c>
      <c r="F36">
        <v>20</v>
      </c>
      <c r="G36" t="s">
        <v>1366</v>
      </c>
      <c r="H36" s="1">
        <v>10</v>
      </c>
      <c r="I36" t="s">
        <v>109</v>
      </c>
      <c r="J36">
        <v>126</v>
      </c>
      <c r="K36">
        <v>3.6</v>
      </c>
      <c r="L36" t="s">
        <v>1224</v>
      </c>
      <c r="AA36">
        <v>2</v>
      </c>
      <c r="AB36">
        <v>2021</v>
      </c>
      <c r="AC36" s="40">
        <f t="shared" si="3"/>
        <v>1</v>
      </c>
      <c r="AD36" s="40">
        <f t="shared" si="4"/>
        <v>1</v>
      </c>
      <c r="AF36">
        <f t="shared" si="2"/>
        <v>296</v>
      </c>
    </row>
    <row r="37" spans="1:32" x14ac:dyDescent="0.25">
      <c r="A37" s="40"/>
      <c r="B37" t="s">
        <v>1302</v>
      </c>
      <c r="C37" t="s">
        <v>161</v>
      </c>
      <c r="D37">
        <v>35</v>
      </c>
      <c r="E37" t="s">
        <v>94</v>
      </c>
      <c r="F37">
        <v>25</v>
      </c>
      <c r="G37" t="s">
        <v>1367</v>
      </c>
      <c r="H37" s="1">
        <v>16</v>
      </c>
      <c r="I37" t="s">
        <v>110</v>
      </c>
      <c r="J37">
        <v>110</v>
      </c>
      <c r="K37">
        <v>2.2000000000000002</v>
      </c>
      <c r="L37" t="s">
        <v>637</v>
      </c>
      <c r="AA37">
        <v>3</v>
      </c>
      <c r="AB37">
        <v>2020</v>
      </c>
      <c r="AC37" s="40">
        <f t="shared" si="3"/>
        <v>1</v>
      </c>
      <c r="AD37" s="40">
        <f t="shared" si="4"/>
        <v>1</v>
      </c>
      <c r="AF37">
        <f t="shared" si="2"/>
        <v>15</v>
      </c>
    </row>
    <row r="38" spans="1:32" x14ac:dyDescent="0.25">
      <c r="A38" s="40"/>
      <c r="B38" t="s">
        <v>1302</v>
      </c>
      <c r="C38" t="s">
        <v>1247</v>
      </c>
      <c r="D38">
        <v>336</v>
      </c>
      <c r="E38" t="s">
        <v>94</v>
      </c>
      <c r="F38">
        <v>30</v>
      </c>
      <c r="G38" t="s">
        <v>1368</v>
      </c>
      <c r="H38" s="1">
        <v>45</v>
      </c>
      <c r="I38" t="s">
        <v>1220</v>
      </c>
      <c r="J38">
        <v>162</v>
      </c>
      <c r="K38">
        <v>5.6</v>
      </c>
      <c r="O38">
        <v>20</v>
      </c>
      <c r="P38" t="s">
        <v>619</v>
      </c>
      <c r="Q38">
        <v>150</v>
      </c>
      <c r="R38">
        <v>4.2</v>
      </c>
      <c r="AA38">
        <v>3</v>
      </c>
      <c r="AB38">
        <v>2021</v>
      </c>
      <c r="AC38" s="40">
        <f t="shared" si="3"/>
        <v>1</v>
      </c>
      <c r="AD38" s="40">
        <f t="shared" si="4"/>
        <v>1</v>
      </c>
      <c r="AF38">
        <f t="shared" si="2"/>
        <v>380</v>
      </c>
    </row>
    <row r="39" spans="1:32" x14ac:dyDescent="0.25">
      <c r="A39" s="40"/>
      <c r="B39" t="s">
        <v>1303</v>
      </c>
      <c r="C39" t="s">
        <v>175</v>
      </c>
      <c r="D39">
        <v>48</v>
      </c>
      <c r="E39" t="s">
        <v>94</v>
      </c>
      <c r="F39">
        <v>20</v>
      </c>
      <c r="G39" t="s">
        <v>1369</v>
      </c>
      <c r="H39" s="1">
        <v>12</v>
      </c>
      <c r="I39" t="s">
        <v>619</v>
      </c>
      <c r="J39">
        <v>150</v>
      </c>
      <c r="K39">
        <v>4.2</v>
      </c>
      <c r="L39" t="s">
        <v>1356</v>
      </c>
      <c r="AA39">
        <v>4</v>
      </c>
      <c r="AB39">
        <v>2021</v>
      </c>
      <c r="AC39" s="40">
        <f t="shared" si="3"/>
        <v>1</v>
      </c>
      <c r="AD39" s="40">
        <f t="shared" si="4"/>
        <v>1</v>
      </c>
      <c r="AF39">
        <f t="shared" si="2"/>
        <v>471</v>
      </c>
    </row>
    <row r="40" spans="1:32" x14ac:dyDescent="0.25">
      <c r="A40" s="40"/>
      <c r="B40" t="s">
        <v>1304</v>
      </c>
      <c r="C40" t="s">
        <v>146</v>
      </c>
      <c r="D40">
        <v>18</v>
      </c>
      <c r="E40" t="s">
        <v>93</v>
      </c>
      <c r="F40">
        <v>10</v>
      </c>
      <c r="G40" t="s">
        <v>1370</v>
      </c>
      <c r="H40" s="1">
        <v>5</v>
      </c>
      <c r="I40" t="s">
        <v>108</v>
      </c>
      <c r="J40">
        <v>136</v>
      </c>
      <c r="K40">
        <v>3.6</v>
      </c>
      <c r="L40" t="s">
        <v>1224</v>
      </c>
      <c r="AA40">
        <v>1</v>
      </c>
      <c r="AB40">
        <v>2021</v>
      </c>
      <c r="AC40" s="40">
        <f t="shared" si="3"/>
        <v>1</v>
      </c>
      <c r="AD40" s="40">
        <f t="shared" si="4"/>
        <v>1</v>
      </c>
      <c r="AF40">
        <f t="shared" si="2"/>
        <v>197</v>
      </c>
    </row>
    <row r="41" spans="1:32" x14ac:dyDescent="0.25">
      <c r="B41" t="s">
        <v>1305</v>
      </c>
      <c r="C41" t="s">
        <v>1247</v>
      </c>
      <c r="D41">
        <v>249</v>
      </c>
      <c r="E41" t="s">
        <v>94</v>
      </c>
      <c r="H41" s="1">
        <v>30</v>
      </c>
      <c r="I41" t="s">
        <v>121</v>
      </c>
      <c r="J41">
        <v>136</v>
      </c>
      <c r="K41">
        <v>4.2</v>
      </c>
      <c r="O41">
        <v>31</v>
      </c>
      <c r="P41" t="s">
        <v>108</v>
      </c>
      <c r="Q41">
        <v>136</v>
      </c>
      <c r="R41">
        <v>3.6</v>
      </c>
      <c r="S41" t="s">
        <v>566</v>
      </c>
      <c r="AA41">
        <v>4</v>
      </c>
      <c r="AB41">
        <v>2020</v>
      </c>
      <c r="AC41" s="40">
        <f t="shared" si="3"/>
        <v>1</v>
      </c>
      <c r="AD41" s="40">
        <f t="shared" si="4"/>
        <v>1</v>
      </c>
      <c r="AF41">
        <f t="shared" si="2"/>
        <v>100</v>
      </c>
    </row>
    <row r="42" spans="1:32" x14ac:dyDescent="0.25">
      <c r="A42" s="40"/>
      <c r="B42" t="s">
        <v>1306</v>
      </c>
      <c r="C42" t="s">
        <v>175</v>
      </c>
      <c r="D42">
        <v>48</v>
      </c>
      <c r="E42" t="s">
        <v>94</v>
      </c>
      <c r="F42">
        <v>10</v>
      </c>
      <c r="H42" s="1">
        <v>12</v>
      </c>
      <c r="I42" t="s">
        <v>619</v>
      </c>
      <c r="J42">
        <v>150</v>
      </c>
      <c r="K42">
        <v>4</v>
      </c>
      <c r="L42" t="s">
        <v>1356</v>
      </c>
      <c r="AA42">
        <v>3</v>
      </c>
      <c r="AB42">
        <v>2021</v>
      </c>
      <c r="AC42" s="40">
        <f t="shared" si="3"/>
        <v>1</v>
      </c>
      <c r="AD42" s="40">
        <f t="shared" si="4"/>
        <v>1</v>
      </c>
      <c r="AF42">
        <f t="shared" si="2"/>
        <v>371</v>
      </c>
    </row>
    <row r="43" spans="1:32" x14ac:dyDescent="0.25">
      <c r="B43" t="s">
        <v>1307</v>
      </c>
      <c r="C43" t="s">
        <v>527</v>
      </c>
      <c r="D43">
        <v>322</v>
      </c>
      <c r="E43" t="s">
        <v>94</v>
      </c>
      <c r="F43">
        <v>20</v>
      </c>
      <c r="G43" t="s">
        <v>1371</v>
      </c>
      <c r="H43" s="1">
        <v>50</v>
      </c>
      <c r="I43" t="s">
        <v>619</v>
      </c>
      <c r="J43">
        <v>150</v>
      </c>
      <c r="K43">
        <v>4.2</v>
      </c>
      <c r="O43">
        <v>51</v>
      </c>
      <c r="P43" t="s">
        <v>574</v>
      </c>
      <c r="Q43">
        <v>120</v>
      </c>
      <c r="R43">
        <v>2.2000000000000002</v>
      </c>
      <c r="Z43" t="s">
        <v>1372</v>
      </c>
      <c r="AA43">
        <v>1</v>
      </c>
      <c r="AB43">
        <v>2021</v>
      </c>
      <c r="AC43" s="40">
        <f t="shared" si="3"/>
        <v>1</v>
      </c>
      <c r="AD43" s="40">
        <f t="shared" si="4"/>
        <v>1</v>
      </c>
      <c r="AF43">
        <f t="shared" si="2"/>
        <v>189</v>
      </c>
    </row>
    <row r="44" spans="1:32" x14ac:dyDescent="0.25">
      <c r="A44" s="40"/>
      <c r="B44" t="s">
        <v>1308</v>
      </c>
      <c r="C44" t="s">
        <v>138</v>
      </c>
      <c r="D44">
        <v>28</v>
      </c>
      <c r="E44" t="s">
        <v>94</v>
      </c>
      <c r="F44">
        <v>20</v>
      </c>
      <c r="G44" t="s">
        <v>1373</v>
      </c>
      <c r="H44" s="1">
        <v>5</v>
      </c>
      <c r="I44" t="s">
        <v>1234</v>
      </c>
      <c r="J44">
        <v>150</v>
      </c>
      <c r="K44">
        <v>5.6</v>
      </c>
      <c r="M44">
        <v>166</v>
      </c>
      <c r="N44">
        <v>169</v>
      </c>
      <c r="AA44">
        <v>2</v>
      </c>
      <c r="AB44">
        <v>2021</v>
      </c>
      <c r="AC44" s="40">
        <f t="shared" si="3"/>
        <v>1</v>
      </c>
      <c r="AD44" s="40">
        <f t="shared" si="4"/>
        <v>1</v>
      </c>
      <c r="AF44">
        <f t="shared" si="2"/>
        <v>276</v>
      </c>
    </row>
    <row r="45" spans="1:32" x14ac:dyDescent="0.25">
      <c r="A45" s="40"/>
      <c r="B45" t="s">
        <v>1308</v>
      </c>
      <c r="C45" t="s">
        <v>175</v>
      </c>
      <c r="D45">
        <v>84</v>
      </c>
      <c r="E45" t="s">
        <v>94</v>
      </c>
      <c r="F45">
        <v>20</v>
      </c>
      <c r="H45" s="1">
        <v>20</v>
      </c>
      <c r="I45" t="s">
        <v>619</v>
      </c>
      <c r="J45">
        <v>150</v>
      </c>
      <c r="K45">
        <v>4.2</v>
      </c>
      <c r="M45">
        <v>145</v>
      </c>
      <c r="AA45">
        <v>3</v>
      </c>
      <c r="AB45">
        <v>2021</v>
      </c>
      <c r="AC45" s="40">
        <f t="shared" si="3"/>
        <v>1</v>
      </c>
      <c r="AD45" s="40">
        <f t="shared" si="4"/>
        <v>1</v>
      </c>
      <c r="AF45">
        <f t="shared" si="2"/>
        <v>367</v>
      </c>
    </row>
    <row r="46" spans="1:32" x14ac:dyDescent="0.25">
      <c r="A46" s="40"/>
      <c r="B46" t="s">
        <v>1309</v>
      </c>
      <c r="C46" t="s">
        <v>605</v>
      </c>
      <c r="D46">
        <v>76</v>
      </c>
      <c r="E46" t="s">
        <v>94</v>
      </c>
      <c r="G46" t="s">
        <v>1374</v>
      </c>
      <c r="H46" s="1">
        <v>4</v>
      </c>
      <c r="I46" t="s">
        <v>115</v>
      </c>
      <c r="J46">
        <v>117</v>
      </c>
      <c r="K46">
        <v>3.6</v>
      </c>
      <c r="L46" t="s">
        <v>1224</v>
      </c>
      <c r="M46">
        <v>94</v>
      </c>
      <c r="O46">
        <v>17</v>
      </c>
      <c r="P46" t="s">
        <v>114</v>
      </c>
      <c r="Q46">
        <v>105</v>
      </c>
      <c r="R46">
        <v>3.6</v>
      </c>
      <c r="S46" t="s">
        <v>566</v>
      </c>
      <c r="AA46">
        <v>1</v>
      </c>
      <c r="AB46">
        <v>2021</v>
      </c>
      <c r="AC46" s="40">
        <f t="shared" si="3"/>
        <v>1</v>
      </c>
      <c r="AD46" s="40">
        <f t="shared" si="4"/>
        <v>1</v>
      </c>
      <c r="AF46">
        <f t="shared" si="2"/>
        <v>185</v>
      </c>
    </row>
    <row r="47" spans="1:32" x14ac:dyDescent="0.25">
      <c r="A47" s="40"/>
      <c r="B47" t="s">
        <v>1309</v>
      </c>
      <c r="C47" t="s">
        <v>138</v>
      </c>
      <c r="D47">
        <v>43</v>
      </c>
      <c r="E47" t="s">
        <v>93</v>
      </c>
      <c r="F47">
        <v>20</v>
      </c>
      <c r="G47" t="s">
        <v>1233</v>
      </c>
      <c r="H47" s="1">
        <v>11</v>
      </c>
      <c r="I47" t="s">
        <v>108</v>
      </c>
      <c r="J47">
        <v>136</v>
      </c>
      <c r="K47">
        <v>3.6</v>
      </c>
      <c r="L47" t="s">
        <v>1224</v>
      </c>
      <c r="M47">
        <v>132</v>
      </c>
      <c r="N47">
        <v>137</v>
      </c>
      <c r="O47">
        <v>1</v>
      </c>
      <c r="P47" t="s">
        <v>109</v>
      </c>
      <c r="Q47">
        <v>126</v>
      </c>
      <c r="R47">
        <v>3.6</v>
      </c>
      <c r="S47" t="s">
        <v>566</v>
      </c>
      <c r="AA47">
        <v>2</v>
      </c>
      <c r="AB47">
        <v>2021</v>
      </c>
      <c r="AC47" s="40">
        <f t="shared" si="3"/>
        <v>1</v>
      </c>
      <c r="AD47" s="40">
        <f t="shared" si="4"/>
        <v>1</v>
      </c>
      <c r="AF47">
        <f t="shared" si="2"/>
        <v>275</v>
      </c>
    </row>
    <row r="48" spans="1:32" x14ac:dyDescent="0.25">
      <c r="A48" s="40"/>
      <c r="B48" t="s">
        <v>1309</v>
      </c>
      <c r="C48" t="s">
        <v>142</v>
      </c>
      <c r="D48">
        <v>40</v>
      </c>
      <c r="E48" t="s">
        <v>93</v>
      </c>
      <c r="F48">
        <v>20</v>
      </c>
      <c r="H48" s="1">
        <v>12</v>
      </c>
      <c r="I48" t="s">
        <v>1357</v>
      </c>
      <c r="J48">
        <v>155</v>
      </c>
      <c r="K48">
        <v>3.3</v>
      </c>
      <c r="AA48">
        <v>4</v>
      </c>
      <c r="AB48">
        <v>2020</v>
      </c>
      <c r="AC48" s="40">
        <f t="shared" si="3"/>
        <v>1</v>
      </c>
      <c r="AD48" s="40">
        <f t="shared" si="4"/>
        <v>1</v>
      </c>
      <c r="AF48">
        <f t="shared" si="2"/>
        <v>93</v>
      </c>
    </row>
    <row r="49" spans="1:32" x14ac:dyDescent="0.25">
      <c r="A49" s="40"/>
      <c r="B49" t="s">
        <v>1309</v>
      </c>
      <c r="C49" t="s">
        <v>144</v>
      </c>
      <c r="D49">
        <v>210</v>
      </c>
      <c r="E49" t="s">
        <v>94</v>
      </c>
      <c r="F49">
        <v>10</v>
      </c>
      <c r="H49" s="1">
        <v>50</v>
      </c>
      <c r="I49" t="s">
        <v>619</v>
      </c>
      <c r="J49">
        <v>150</v>
      </c>
      <c r="K49">
        <v>4.2</v>
      </c>
      <c r="AA49">
        <v>4</v>
      </c>
      <c r="AB49">
        <v>2021</v>
      </c>
      <c r="AC49" s="40">
        <f t="shared" si="3"/>
        <v>1</v>
      </c>
      <c r="AD49" s="40">
        <f t="shared" si="4"/>
        <v>1</v>
      </c>
      <c r="AF49">
        <f t="shared" si="2"/>
        <v>458</v>
      </c>
    </row>
    <row r="50" spans="1:32" x14ac:dyDescent="0.25">
      <c r="A50" s="40"/>
      <c r="B50" t="s">
        <v>1309</v>
      </c>
      <c r="C50" t="s">
        <v>146</v>
      </c>
      <c r="D50">
        <v>49</v>
      </c>
      <c r="E50" t="s">
        <v>94</v>
      </c>
      <c r="F50">
        <v>5</v>
      </c>
      <c r="H50" s="1">
        <v>6</v>
      </c>
      <c r="I50" t="s">
        <v>110</v>
      </c>
      <c r="J50">
        <v>110</v>
      </c>
      <c r="K50">
        <v>2.2000000000000002</v>
      </c>
      <c r="L50" t="s">
        <v>637</v>
      </c>
      <c r="O50">
        <v>10</v>
      </c>
      <c r="P50" t="s">
        <v>115</v>
      </c>
      <c r="Q50">
        <v>117</v>
      </c>
      <c r="R50">
        <v>3.6</v>
      </c>
      <c r="S50" t="s">
        <v>566</v>
      </c>
      <c r="AA50">
        <v>2</v>
      </c>
      <c r="AB50">
        <v>2021</v>
      </c>
      <c r="AC50" s="40">
        <f t="shared" si="3"/>
        <v>1</v>
      </c>
      <c r="AD50" s="40">
        <f t="shared" si="4"/>
        <v>1</v>
      </c>
      <c r="AF50">
        <f t="shared" si="2"/>
        <v>275</v>
      </c>
    </row>
    <row r="51" spans="1:32" x14ac:dyDescent="0.25">
      <c r="A51" s="40"/>
      <c r="B51" t="s">
        <v>1309</v>
      </c>
      <c r="C51" t="s">
        <v>527</v>
      </c>
      <c r="D51">
        <v>36</v>
      </c>
      <c r="E51" t="s">
        <v>94</v>
      </c>
      <c r="F51">
        <v>10</v>
      </c>
      <c r="H51" s="1">
        <v>10</v>
      </c>
      <c r="I51" t="s">
        <v>115</v>
      </c>
      <c r="J51">
        <v>117</v>
      </c>
      <c r="K51">
        <v>3.6</v>
      </c>
      <c r="L51" t="s">
        <v>1224</v>
      </c>
      <c r="M51">
        <v>91.5</v>
      </c>
      <c r="AA51">
        <v>1</v>
      </c>
      <c r="AB51">
        <v>2021</v>
      </c>
      <c r="AC51" s="40">
        <f t="shared" si="3"/>
        <v>1</v>
      </c>
      <c r="AD51" s="40">
        <f t="shared" si="4"/>
        <v>1</v>
      </c>
      <c r="AF51">
        <f t="shared" si="2"/>
        <v>185</v>
      </c>
    </row>
    <row r="52" spans="1:32" x14ac:dyDescent="0.25">
      <c r="A52" s="40"/>
      <c r="B52" t="s">
        <v>1309</v>
      </c>
      <c r="C52" t="s">
        <v>206</v>
      </c>
      <c r="D52">
        <v>32</v>
      </c>
      <c r="E52" t="s">
        <v>94</v>
      </c>
      <c r="F52">
        <v>20</v>
      </c>
      <c r="G52" t="s">
        <v>1375</v>
      </c>
      <c r="H52" s="1">
        <v>9</v>
      </c>
      <c r="I52" t="s">
        <v>108</v>
      </c>
      <c r="J52">
        <v>136</v>
      </c>
      <c r="K52">
        <v>3.6</v>
      </c>
      <c r="L52" t="s">
        <v>1224</v>
      </c>
      <c r="AA52">
        <v>3</v>
      </c>
      <c r="AB52">
        <v>2021</v>
      </c>
      <c r="AC52" s="40">
        <f t="shared" si="3"/>
        <v>1</v>
      </c>
      <c r="AD52" s="40">
        <f t="shared" si="4"/>
        <v>1</v>
      </c>
      <c r="AF52">
        <f t="shared" si="2"/>
        <v>366</v>
      </c>
    </row>
    <row r="53" spans="1:32" x14ac:dyDescent="0.25">
      <c r="A53" s="40"/>
      <c r="B53" t="s">
        <v>1309</v>
      </c>
      <c r="C53" t="s">
        <v>206</v>
      </c>
      <c r="D53">
        <v>42</v>
      </c>
      <c r="E53" t="s">
        <v>94</v>
      </c>
      <c r="H53" s="1">
        <v>8</v>
      </c>
      <c r="I53" t="s">
        <v>113</v>
      </c>
      <c r="J53">
        <v>100</v>
      </c>
      <c r="K53">
        <v>2</v>
      </c>
      <c r="L53" t="s">
        <v>637</v>
      </c>
      <c r="O53">
        <v>8</v>
      </c>
      <c r="P53" t="s">
        <v>115</v>
      </c>
      <c r="Q53">
        <v>117</v>
      </c>
      <c r="R53">
        <v>3</v>
      </c>
      <c r="S53" t="s">
        <v>615</v>
      </c>
      <c r="AA53">
        <v>3</v>
      </c>
      <c r="AB53">
        <v>2021</v>
      </c>
      <c r="AC53" s="40">
        <f t="shared" si="3"/>
        <v>1</v>
      </c>
      <c r="AD53" s="40">
        <f t="shared" si="4"/>
        <v>1</v>
      </c>
      <c r="AF53">
        <f t="shared" si="2"/>
        <v>366</v>
      </c>
    </row>
    <row r="54" spans="1:32" x14ac:dyDescent="0.25">
      <c r="A54" s="40"/>
      <c r="B54" t="s">
        <v>1309</v>
      </c>
      <c r="C54" t="s">
        <v>45</v>
      </c>
      <c r="D54">
        <v>151</v>
      </c>
      <c r="E54" t="s">
        <v>93</v>
      </c>
      <c r="F54">
        <v>10</v>
      </c>
      <c r="G54" t="s">
        <v>1376</v>
      </c>
      <c r="H54" s="1">
        <v>42</v>
      </c>
      <c r="I54" t="s">
        <v>108</v>
      </c>
      <c r="J54">
        <v>136</v>
      </c>
      <c r="K54">
        <v>3.6</v>
      </c>
      <c r="L54" t="s">
        <v>1224</v>
      </c>
      <c r="AC54" s="40">
        <f t="shared" si="3"/>
        <v>1</v>
      </c>
      <c r="AD54" s="40">
        <f t="shared" si="4"/>
        <v>1</v>
      </c>
      <c r="AF54" t="e">
        <f t="shared" si="2"/>
        <v>#NUM!</v>
      </c>
    </row>
    <row r="55" spans="1:32" s="11" customFormat="1" x14ac:dyDescent="0.25">
      <c r="A55" s="41">
        <f>SUM(D25:D55)</f>
        <v>3076</v>
      </c>
      <c r="B55" s="11" t="s">
        <v>1309</v>
      </c>
      <c r="C55" s="11" t="s">
        <v>1247</v>
      </c>
      <c r="D55" s="11">
        <v>278</v>
      </c>
      <c r="E55" s="11" t="s">
        <v>94</v>
      </c>
      <c r="F55" s="11">
        <v>10</v>
      </c>
      <c r="H55" s="28">
        <v>66</v>
      </c>
      <c r="I55" s="11" t="s">
        <v>619</v>
      </c>
      <c r="J55" s="11">
        <v>150</v>
      </c>
      <c r="K55" s="11">
        <v>4.2</v>
      </c>
      <c r="AA55" s="11">
        <v>2</v>
      </c>
      <c r="AB55" s="11">
        <v>2021</v>
      </c>
      <c r="AC55" s="41">
        <f t="shared" si="3"/>
        <v>1</v>
      </c>
      <c r="AD55" s="41">
        <f t="shared" si="4"/>
        <v>1</v>
      </c>
      <c r="AF55">
        <f t="shared" si="2"/>
        <v>275</v>
      </c>
    </row>
    <row r="56" spans="1:32" x14ac:dyDescent="0.25">
      <c r="A56" s="40"/>
      <c r="B56" t="s">
        <v>1310</v>
      </c>
      <c r="C56" t="s">
        <v>161</v>
      </c>
      <c r="D56">
        <v>166</v>
      </c>
      <c r="E56" t="s">
        <v>94</v>
      </c>
      <c r="F56">
        <v>20</v>
      </c>
      <c r="H56" s="1">
        <v>48</v>
      </c>
      <c r="I56" t="s">
        <v>109</v>
      </c>
      <c r="J56">
        <v>126</v>
      </c>
      <c r="K56">
        <v>3.45</v>
      </c>
      <c r="AA56">
        <v>3</v>
      </c>
      <c r="AB56">
        <v>2021</v>
      </c>
      <c r="AC56" s="40">
        <f t="shared" si="3"/>
        <v>1</v>
      </c>
      <c r="AD56" s="40">
        <f t="shared" si="4"/>
        <v>1</v>
      </c>
      <c r="AF56">
        <f t="shared" si="2"/>
        <v>358</v>
      </c>
    </row>
    <row r="57" spans="1:32" x14ac:dyDescent="0.25">
      <c r="A57" s="40"/>
      <c r="B57" t="s">
        <v>1311</v>
      </c>
      <c r="C57" t="s">
        <v>175</v>
      </c>
      <c r="D57">
        <v>101</v>
      </c>
      <c r="E57" t="s">
        <v>94</v>
      </c>
      <c r="F57">
        <v>20</v>
      </c>
      <c r="H57" s="1">
        <v>24</v>
      </c>
      <c r="I57" t="s">
        <v>619</v>
      </c>
      <c r="J57">
        <v>150</v>
      </c>
      <c r="K57">
        <v>4.2</v>
      </c>
      <c r="M57">
        <v>145</v>
      </c>
      <c r="AA57">
        <v>3</v>
      </c>
      <c r="AB57">
        <v>2021</v>
      </c>
      <c r="AC57" s="40">
        <f t="shared" si="3"/>
        <v>1</v>
      </c>
      <c r="AD57" s="40">
        <f t="shared" si="4"/>
        <v>1</v>
      </c>
      <c r="AF57">
        <f t="shared" si="2"/>
        <v>349</v>
      </c>
    </row>
    <row r="58" spans="1:32" x14ac:dyDescent="0.25">
      <c r="A58" s="40"/>
      <c r="B58" t="s">
        <v>1311</v>
      </c>
      <c r="C58" t="s">
        <v>161</v>
      </c>
      <c r="D58">
        <v>121</v>
      </c>
      <c r="E58" t="s">
        <v>94</v>
      </c>
      <c r="F58">
        <v>30</v>
      </c>
      <c r="G58" t="s">
        <v>1377</v>
      </c>
      <c r="H58" s="1">
        <v>55</v>
      </c>
      <c r="I58" t="s">
        <v>110</v>
      </c>
      <c r="J58">
        <v>110</v>
      </c>
      <c r="K58">
        <v>2.2000000000000002</v>
      </c>
      <c r="L58" t="s">
        <v>637</v>
      </c>
      <c r="M58">
        <v>120</v>
      </c>
      <c r="AA58">
        <v>3</v>
      </c>
      <c r="AB58">
        <v>2021</v>
      </c>
      <c r="AC58" s="40">
        <f t="shared" si="3"/>
        <v>1</v>
      </c>
      <c r="AD58" s="40">
        <f t="shared" si="4"/>
        <v>1</v>
      </c>
      <c r="AF58">
        <f t="shared" si="2"/>
        <v>349</v>
      </c>
    </row>
    <row r="59" spans="1:32" x14ac:dyDescent="0.25">
      <c r="A59" s="40"/>
      <c r="B59" t="s">
        <v>1312</v>
      </c>
      <c r="C59" t="s">
        <v>175</v>
      </c>
      <c r="D59">
        <v>50</v>
      </c>
      <c r="E59" t="s">
        <v>94</v>
      </c>
      <c r="F59">
        <v>10</v>
      </c>
      <c r="G59" t="s">
        <v>1378</v>
      </c>
      <c r="H59" s="1">
        <v>10</v>
      </c>
      <c r="I59" t="s">
        <v>619</v>
      </c>
      <c r="J59">
        <v>150</v>
      </c>
      <c r="K59">
        <v>3.8</v>
      </c>
      <c r="L59" t="s">
        <v>587</v>
      </c>
      <c r="O59">
        <v>3</v>
      </c>
      <c r="P59" t="s">
        <v>619</v>
      </c>
      <c r="Q59">
        <v>150</v>
      </c>
      <c r="R59">
        <v>4</v>
      </c>
      <c r="S59" t="s">
        <v>1356</v>
      </c>
      <c r="AA59">
        <v>3</v>
      </c>
      <c r="AB59">
        <v>2021</v>
      </c>
      <c r="AC59" s="40">
        <f t="shared" si="3"/>
        <v>1</v>
      </c>
      <c r="AD59" s="40">
        <f t="shared" si="4"/>
        <v>1</v>
      </c>
      <c r="AF59">
        <f t="shared" si="2"/>
        <v>345</v>
      </c>
    </row>
    <row r="60" spans="1:32" x14ac:dyDescent="0.25">
      <c r="B60" t="s">
        <v>1313</v>
      </c>
      <c r="C60" t="s">
        <v>605</v>
      </c>
      <c r="D60">
        <v>40</v>
      </c>
      <c r="E60" t="s">
        <v>94</v>
      </c>
      <c r="G60" t="s">
        <v>1379</v>
      </c>
      <c r="H60" s="1">
        <v>11</v>
      </c>
      <c r="I60" t="s">
        <v>781</v>
      </c>
      <c r="J60">
        <v>105</v>
      </c>
      <c r="K60">
        <v>3.6</v>
      </c>
      <c r="M60">
        <v>72.5</v>
      </c>
      <c r="AA60">
        <v>2</v>
      </c>
      <c r="AB60">
        <v>2021</v>
      </c>
      <c r="AC60" s="40">
        <f t="shared" si="3"/>
        <v>1</v>
      </c>
      <c r="AD60" s="40">
        <f t="shared" si="4"/>
        <v>1</v>
      </c>
      <c r="AF60">
        <f t="shared" si="2"/>
        <v>252</v>
      </c>
    </row>
    <row r="61" spans="1:32" x14ac:dyDescent="0.25">
      <c r="A61" s="40"/>
      <c r="B61" t="s">
        <v>1314</v>
      </c>
      <c r="C61" t="s">
        <v>142</v>
      </c>
      <c r="D61">
        <v>101</v>
      </c>
      <c r="E61" t="s">
        <v>93</v>
      </c>
      <c r="F61">
        <v>20</v>
      </c>
      <c r="H61" s="1">
        <v>42</v>
      </c>
      <c r="I61" t="s">
        <v>574</v>
      </c>
      <c r="J61">
        <v>120</v>
      </c>
      <c r="K61">
        <v>2.4</v>
      </c>
      <c r="L61" t="s">
        <v>1352</v>
      </c>
      <c r="AA61">
        <v>4</v>
      </c>
      <c r="AB61">
        <v>2020</v>
      </c>
      <c r="AC61" s="40">
        <f t="shared" si="3"/>
        <v>1</v>
      </c>
      <c r="AD61" s="40">
        <f t="shared" si="4"/>
        <v>1</v>
      </c>
      <c r="AF61">
        <f t="shared" si="2"/>
        <v>51</v>
      </c>
    </row>
    <row r="62" spans="1:32" x14ac:dyDescent="0.25">
      <c r="A62" s="40"/>
      <c r="B62" t="s">
        <v>1314</v>
      </c>
      <c r="C62" t="s">
        <v>142</v>
      </c>
      <c r="D62">
        <v>150</v>
      </c>
      <c r="E62" t="s">
        <v>93</v>
      </c>
      <c r="F62">
        <v>5</v>
      </c>
      <c r="H62" s="1">
        <v>53</v>
      </c>
      <c r="I62" t="s">
        <v>574</v>
      </c>
      <c r="J62">
        <v>120</v>
      </c>
      <c r="K62">
        <v>2.4</v>
      </c>
      <c r="L62" t="s">
        <v>1352</v>
      </c>
      <c r="O62">
        <v>7</v>
      </c>
      <c r="P62" t="s">
        <v>1357</v>
      </c>
      <c r="Q62">
        <v>155</v>
      </c>
      <c r="R62">
        <v>3.3</v>
      </c>
      <c r="AA62">
        <v>3</v>
      </c>
      <c r="AB62">
        <v>2020</v>
      </c>
      <c r="AC62" s="40">
        <f t="shared" si="3"/>
        <v>1</v>
      </c>
      <c r="AD62" s="40">
        <f t="shared" si="4"/>
        <v>1</v>
      </c>
      <c r="AF62">
        <f t="shared" si="2"/>
        <v>-41</v>
      </c>
    </row>
    <row r="63" spans="1:32" x14ac:dyDescent="0.25">
      <c r="B63" t="s">
        <v>1315</v>
      </c>
      <c r="C63" t="s">
        <v>175</v>
      </c>
      <c r="D63">
        <v>50</v>
      </c>
      <c r="E63" t="s">
        <v>94</v>
      </c>
      <c r="F63">
        <v>20</v>
      </c>
      <c r="G63" t="s">
        <v>1380</v>
      </c>
      <c r="H63" s="1">
        <v>10</v>
      </c>
      <c r="I63" t="s">
        <v>619</v>
      </c>
      <c r="J63">
        <v>150</v>
      </c>
      <c r="K63">
        <v>3.8</v>
      </c>
      <c r="L63" t="s">
        <v>587</v>
      </c>
      <c r="O63">
        <v>3</v>
      </c>
      <c r="P63" t="s">
        <v>619</v>
      </c>
      <c r="Q63">
        <v>150</v>
      </c>
      <c r="R63">
        <v>4</v>
      </c>
      <c r="S63" t="s">
        <v>1356</v>
      </c>
      <c r="AA63">
        <v>3</v>
      </c>
      <c r="AB63">
        <v>2021</v>
      </c>
      <c r="AC63" s="40">
        <f t="shared" si="3"/>
        <v>1</v>
      </c>
      <c r="AD63" s="40">
        <f t="shared" si="4"/>
        <v>1</v>
      </c>
      <c r="AF63">
        <f t="shared" si="2"/>
        <v>323</v>
      </c>
    </row>
    <row r="64" spans="1:32" x14ac:dyDescent="0.25">
      <c r="A64" s="40"/>
      <c r="B64" t="s">
        <v>1316</v>
      </c>
      <c r="C64" t="s">
        <v>138</v>
      </c>
      <c r="D64">
        <v>8</v>
      </c>
      <c r="E64" t="s">
        <v>94</v>
      </c>
      <c r="F64">
        <v>15</v>
      </c>
      <c r="G64" t="s">
        <v>1381</v>
      </c>
      <c r="H64" s="1">
        <v>8</v>
      </c>
      <c r="I64" t="s">
        <v>619</v>
      </c>
      <c r="J64">
        <v>150</v>
      </c>
      <c r="K64">
        <v>4.2</v>
      </c>
      <c r="M64">
        <v>166</v>
      </c>
      <c r="AA64">
        <v>4</v>
      </c>
      <c r="AB64">
        <v>2021</v>
      </c>
      <c r="AC64" s="40">
        <f t="shared" si="3"/>
        <v>1</v>
      </c>
      <c r="AD64" s="40">
        <f t="shared" si="4"/>
        <v>1</v>
      </c>
      <c r="AF64">
        <f t="shared" si="2"/>
        <v>414</v>
      </c>
    </row>
    <row r="65" spans="1:32" x14ac:dyDescent="0.25">
      <c r="A65" s="40"/>
      <c r="B65" t="s">
        <v>1317</v>
      </c>
      <c r="C65" t="s">
        <v>144</v>
      </c>
      <c r="D65">
        <v>86</v>
      </c>
      <c r="E65" t="s">
        <v>94</v>
      </c>
      <c r="F65">
        <v>20</v>
      </c>
      <c r="G65" t="s">
        <v>1382</v>
      </c>
      <c r="H65" s="1">
        <v>24</v>
      </c>
      <c r="I65" t="s">
        <v>108</v>
      </c>
      <c r="J65">
        <v>136</v>
      </c>
      <c r="K65">
        <v>3.6</v>
      </c>
      <c r="L65" t="s">
        <v>1224</v>
      </c>
      <c r="AA65">
        <v>1</v>
      </c>
      <c r="AB65">
        <v>2021</v>
      </c>
      <c r="AC65" s="40">
        <f t="shared" si="3"/>
        <v>1</v>
      </c>
      <c r="AD65" s="40">
        <f t="shared" si="4"/>
        <v>1</v>
      </c>
      <c r="AF65">
        <f t="shared" si="2"/>
        <v>136</v>
      </c>
    </row>
    <row r="66" spans="1:32" x14ac:dyDescent="0.25">
      <c r="A66" s="40"/>
      <c r="B66" t="s">
        <v>1318</v>
      </c>
      <c r="C66" t="s">
        <v>165</v>
      </c>
      <c r="D66">
        <v>443</v>
      </c>
      <c r="E66" t="s">
        <v>94</v>
      </c>
      <c r="F66">
        <v>30</v>
      </c>
      <c r="G66" t="s">
        <v>1383</v>
      </c>
      <c r="H66" s="1">
        <v>103</v>
      </c>
      <c r="I66" t="s">
        <v>1156</v>
      </c>
      <c r="J66">
        <v>117</v>
      </c>
      <c r="K66">
        <v>4.3</v>
      </c>
      <c r="L66" t="s">
        <v>1203</v>
      </c>
      <c r="AA66">
        <v>1</v>
      </c>
      <c r="AB66">
        <v>2023</v>
      </c>
      <c r="AC66" s="40">
        <f t="shared" ref="AC66:AC97" si="5">COUNTIF($I$144:$I$174,I66)</f>
        <v>1</v>
      </c>
      <c r="AD66" s="40">
        <f t="shared" ref="AD66:AD86" si="6">COUNTIF($C$143:$C$174,C66)</f>
        <v>1</v>
      </c>
      <c r="AF66">
        <f t="shared" si="2"/>
        <v>865</v>
      </c>
    </row>
    <row r="67" spans="1:32" x14ac:dyDescent="0.25">
      <c r="A67" s="40"/>
      <c r="B67" t="s">
        <v>1319</v>
      </c>
      <c r="C67" t="s">
        <v>161</v>
      </c>
      <c r="D67">
        <v>36</v>
      </c>
      <c r="E67" t="s">
        <v>93</v>
      </c>
      <c r="F67">
        <v>10</v>
      </c>
      <c r="G67" t="s">
        <v>1384</v>
      </c>
      <c r="H67" s="1">
        <v>5</v>
      </c>
      <c r="I67" t="s">
        <v>110</v>
      </c>
      <c r="J67">
        <v>110</v>
      </c>
      <c r="K67">
        <v>2</v>
      </c>
      <c r="O67">
        <v>13</v>
      </c>
      <c r="P67" t="s">
        <v>113</v>
      </c>
      <c r="Q67">
        <v>100</v>
      </c>
      <c r="R67">
        <v>2</v>
      </c>
      <c r="AA67">
        <v>1</v>
      </c>
      <c r="AB67">
        <v>2022</v>
      </c>
      <c r="AC67" s="40">
        <f t="shared" si="5"/>
        <v>1</v>
      </c>
      <c r="AD67" s="40">
        <f t="shared" si="6"/>
        <v>1</v>
      </c>
      <c r="AF67">
        <f t="shared" ref="AF67:AF121" si="7">_xlfn.DAYS(DATE(AB67,AA67*3-2,1),DATE(RIGHT(B67,4),MID(B67,4,2),LEFT(B67,2)))</f>
        <v>494</v>
      </c>
    </row>
    <row r="68" spans="1:32" x14ac:dyDescent="0.25">
      <c r="B68" t="s">
        <v>1320</v>
      </c>
      <c r="C68" t="s">
        <v>318</v>
      </c>
      <c r="D68">
        <v>86</v>
      </c>
      <c r="E68" t="s">
        <v>94</v>
      </c>
      <c r="F68">
        <v>20</v>
      </c>
      <c r="G68" t="s">
        <v>1385</v>
      </c>
      <c r="H68" s="1">
        <v>20</v>
      </c>
      <c r="I68" t="s">
        <v>619</v>
      </c>
      <c r="J68">
        <v>150</v>
      </c>
      <c r="K68">
        <v>4.3</v>
      </c>
      <c r="L68" t="s">
        <v>1203</v>
      </c>
      <c r="AA68">
        <v>3</v>
      </c>
      <c r="AB68">
        <v>2021</v>
      </c>
      <c r="AC68" s="40">
        <f t="shared" si="5"/>
        <v>1</v>
      </c>
      <c r="AD68" s="40">
        <f t="shared" si="6"/>
        <v>1</v>
      </c>
      <c r="AF68">
        <f t="shared" si="7"/>
        <v>309</v>
      </c>
    </row>
    <row r="69" spans="1:32" x14ac:dyDescent="0.25">
      <c r="B69" t="s">
        <v>1321</v>
      </c>
      <c r="C69" t="s">
        <v>141</v>
      </c>
      <c r="D69">
        <v>409</v>
      </c>
      <c r="E69" t="s">
        <v>94</v>
      </c>
      <c r="F69">
        <v>20</v>
      </c>
      <c r="G69" t="s">
        <v>1386</v>
      </c>
      <c r="H69" s="1">
        <v>97</v>
      </c>
      <c r="I69" t="s">
        <v>619</v>
      </c>
      <c r="J69">
        <v>150</v>
      </c>
      <c r="K69">
        <v>4.2</v>
      </c>
      <c r="AA69">
        <v>3</v>
      </c>
      <c r="AB69">
        <v>2021</v>
      </c>
      <c r="AC69" s="40">
        <f t="shared" si="5"/>
        <v>1</v>
      </c>
      <c r="AD69" s="40">
        <f t="shared" si="6"/>
        <v>1</v>
      </c>
      <c r="AF69">
        <f t="shared" si="7"/>
        <v>307</v>
      </c>
    </row>
    <row r="70" spans="1:32" x14ac:dyDescent="0.25">
      <c r="B70" t="s">
        <v>1322</v>
      </c>
      <c r="C70" t="s">
        <v>1328</v>
      </c>
      <c r="D70">
        <v>20</v>
      </c>
      <c r="E70" t="s">
        <v>94</v>
      </c>
      <c r="F70">
        <v>12</v>
      </c>
      <c r="G70" t="s">
        <v>67</v>
      </c>
      <c r="H70" s="1">
        <v>10</v>
      </c>
      <c r="I70" t="s">
        <v>113</v>
      </c>
      <c r="J70">
        <v>100</v>
      </c>
      <c r="K70">
        <v>2</v>
      </c>
      <c r="AA70">
        <v>2</v>
      </c>
      <c r="AB70">
        <v>2021</v>
      </c>
      <c r="AC70" s="40">
        <f t="shared" si="5"/>
        <v>1</v>
      </c>
      <c r="AD70" s="40">
        <f t="shared" si="6"/>
        <v>1</v>
      </c>
      <c r="AF70">
        <f t="shared" si="7"/>
        <v>195</v>
      </c>
    </row>
    <row r="71" spans="1:32" x14ac:dyDescent="0.25">
      <c r="B71" t="s">
        <v>1323</v>
      </c>
      <c r="C71" t="s">
        <v>1247</v>
      </c>
      <c r="D71">
        <v>46</v>
      </c>
      <c r="H71" s="1"/>
      <c r="I71" t="s">
        <v>379</v>
      </c>
      <c r="AA71">
        <v>4</v>
      </c>
      <c r="AB71">
        <v>2024</v>
      </c>
      <c r="AC71" s="40">
        <f t="shared" si="5"/>
        <v>0</v>
      </c>
      <c r="AD71" s="40">
        <f t="shared" si="6"/>
        <v>1</v>
      </c>
      <c r="AF71">
        <f t="shared" si="7"/>
        <v>1469</v>
      </c>
    </row>
    <row r="72" spans="1:32" x14ac:dyDescent="0.25">
      <c r="B72" t="s">
        <v>1324</v>
      </c>
      <c r="C72" t="s">
        <v>148</v>
      </c>
      <c r="D72">
        <v>144</v>
      </c>
      <c r="E72" t="s">
        <v>94</v>
      </c>
      <c r="F72">
        <v>10</v>
      </c>
      <c r="G72" t="s">
        <v>1387</v>
      </c>
      <c r="H72" s="1">
        <v>40</v>
      </c>
      <c r="I72" t="s">
        <v>114</v>
      </c>
      <c r="J72">
        <v>105</v>
      </c>
      <c r="K72">
        <v>3.6</v>
      </c>
      <c r="L72" t="s">
        <v>1224</v>
      </c>
      <c r="AA72">
        <v>3</v>
      </c>
      <c r="AB72">
        <v>2021</v>
      </c>
      <c r="AC72" s="40">
        <f t="shared" si="5"/>
        <v>1</v>
      </c>
      <c r="AD72" s="40">
        <f t="shared" si="6"/>
        <v>1</v>
      </c>
      <c r="AF72">
        <f t="shared" si="7"/>
        <v>279</v>
      </c>
    </row>
    <row r="73" spans="1:32" x14ac:dyDescent="0.25">
      <c r="B73" t="s">
        <v>1325</v>
      </c>
      <c r="C73" t="s">
        <v>527</v>
      </c>
      <c r="D73">
        <v>80</v>
      </c>
      <c r="E73" t="s">
        <v>94</v>
      </c>
      <c r="F73">
        <v>25</v>
      </c>
      <c r="G73" t="s">
        <v>1388</v>
      </c>
      <c r="H73" s="1">
        <v>19</v>
      </c>
      <c r="I73" t="s">
        <v>1156</v>
      </c>
      <c r="J73">
        <v>117</v>
      </c>
      <c r="K73">
        <v>4.2</v>
      </c>
      <c r="AC73" s="40">
        <f t="shared" si="5"/>
        <v>1</v>
      </c>
      <c r="AD73" s="40">
        <f t="shared" si="6"/>
        <v>1</v>
      </c>
      <c r="AF73" t="e">
        <f t="shared" si="7"/>
        <v>#NUM!</v>
      </c>
    </row>
    <row r="74" spans="1:32" x14ac:dyDescent="0.25">
      <c r="B74" t="s">
        <v>1326</v>
      </c>
      <c r="C74" t="s">
        <v>138</v>
      </c>
      <c r="D74">
        <v>25</v>
      </c>
      <c r="E74" t="s">
        <v>93</v>
      </c>
      <c r="F74">
        <v>20</v>
      </c>
      <c r="G74" t="s">
        <v>1389</v>
      </c>
      <c r="H74" s="1">
        <v>6</v>
      </c>
      <c r="I74" t="s">
        <v>108</v>
      </c>
      <c r="J74">
        <v>136</v>
      </c>
      <c r="K74">
        <v>3.6</v>
      </c>
      <c r="L74" t="s">
        <v>1224</v>
      </c>
      <c r="M74">
        <v>132</v>
      </c>
      <c r="O74">
        <v>1</v>
      </c>
      <c r="P74" t="s">
        <v>109</v>
      </c>
      <c r="Q74">
        <v>126</v>
      </c>
      <c r="R74">
        <v>3.45</v>
      </c>
      <c r="T74">
        <v>137</v>
      </c>
      <c r="AA74">
        <v>4</v>
      </c>
      <c r="AB74">
        <v>2021</v>
      </c>
      <c r="AC74" s="40">
        <f t="shared" si="5"/>
        <v>1</v>
      </c>
      <c r="AD74" s="40">
        <f t="shared" si="6"/>
        <v>1</v>
      </c>
      <c r="AF74">
        <f t="shared" si="7"/>
        <v>367</v>
      </c>
    </row>
    <row r="75" spans="1:32" x14ac:dyDescent="0.25">
      <c r="B75" t="s">
        <v>1326</v>
      </c>
      <c r="C75" t="s">
        <v>175</v>
      </c>
      <c r="D75">
        <v>53</v>
      </c>
      <c r="E75" t="s">
        <v>94</v>
      </c>
      <c r="F75">
        <v>20</v>
      </c>
      <c r="G75" t="s">
        <v>1390</v>
      </c>
      <c r="H75" s="1">
        <v>13</v>
      </c>
      <c r="I75" t="s">
        <v>619</v>
      </c>
      <c r="J75">
        <v>150</v>
      </c>
      <c r="K75">
        <v>4.2</v>
      </c>
      <c r="AA75">
        <v>3</v>
      </c>
      <c r="AB75">
        <v>2021</v>
      </c>
      <c r="AC75" s="40">
        <f t="shared" si="5"/>
        <v>1</v>
      </c>
      <c r="AD75" s="40">
        <f t="shared" si="6"/>
        <v>1</v>
      </c>
      <c r="AF75">
        <f t="shared" si="7"/>
        <v>275</v>
      </c>
    </row>
    <row r="76" spans="1:32" x14ac:dyDescent="0.25">
      <c r="B76" t="s">
        <v>1327</v>
      </c>
      <c r="C76" t="s">
        <v>1247</v>
      </c>
      <c r="D76">
        <v>95</v>
      </c>
      <c r="E76" t="s">
        <v>94</v>
      </c>
      <c r="F76">
        <v>10</v>
      </c>
      <c r="H76" s="1">
        <v>17</v>
      </c>
      <c r="I76" t="s">
        <v>1234</v>
      </c>
      <c r="J76">
        <v>150</v>
      </c>
      <c r="K76">
        <v>5.6</v>
      </c>
      <c r="AA76">
        <v>4</v>
      </c>
      <c r="AB76">
        <v>2021</v>
      </c>
      <c r="AC76" s="40">
        <f t="shared" si="5"/>
        <v>1</v>
      </c>
      <c r="AD76" s="40">
        <f t="shared" si="6"/>
        <v>1</v>
      </c>
      <c r="AF76">
        <f t="shared" si="7"/>
        <v>366</v>
      </c>
    </row>
    <row r="77" spans="1:32" x14ac:dyDescent="0.25">
      <c r="B77" t="s">
        <v>1327</v>
      </c>
      <c r="C77" t="s">
        <v>146</v>
      </c>
      <c r="D77">
        <v>28</v>
      </c>
      <c r="E77" t="s">
        <v>94</v>
      </c>
      <c r="F77">
        <v>20</v>
      </c>
      <c r="G77" t="s">
        <v>1391</v>
      </c>
      <c r="H77" s="1">
        <v>8</v>
      </c>
      <c r="I77" t="s">
        <v>108</v>
      </c>
      <c r="J77">
        <v>136</v>
      </c>
      <c r="K77">
        <v>3.45</v>
      </c>
      <c r="AA77">
        <v>1</v>
      </c>
      <c r="AB77">
        <v>2021</v>
      </c>
      <c r="AC77" s="40">
        <f t="shared" si="5"/>
        <v>1</v>
      </c>
      <c r="AD77" s="40">
        <f t="shared" si="6"/>
        <v>1</v>
      </c>
      <c r="AF77">
        <f t="shared" si="7"/>
        <v>93</v>
      </c>
    </row>
    <row r="78" spans="1:32" x14ac:dyDescent="0.25">
      <c r="B78" t="s">
        <v>1327</v>
      </c>
      <c r="C78" t="s">
        <v>1247</v>
      </c>
      <c r="D78">
        <v>185</v>
      </c>
      <c r="E78" t="s">
        <v>93</v>
      </c>
      <c r="F78">
        <v>20</v>
      </c>
      <c r="H78" s="1">
        <v>43</v>
      </c>
      <c r="I78" t="s">
        <v>619</v>
      </c>
      <c r="J78">
        <v>150</v>
      </c>
      <c r="K78">
        <v>4.3</v>
      </c>
      <c r="AA78">
        <v>2</v>
      </c>
      <c r="AB78">
        <v>2021</v>
      </c>
      <c r="AC78" s="40">
        <f t="shared" si="5"/>
        <v>1</v>
      </c>
      <c r="AD78" s="40">
        <f t="shared" si="6"/>
        <v>1</v>
      </c>
      <c r="AF78">
        <f t="shared" si="7"/>
        <v>183</v>
      </c>
    </row>
    <row r="79" spans="1:32" x14ac:dyDescent="0.25">
      <c r="B79" t="s">
        <v>1327</v>
      </c>
      <c r="C79" t="s">
        <v>1247</v>
      </c>
      <c r="D79">
        <v>184</v>
      </c>
      <c r="H79" s="1">
        <v>42</v>
      </c>
      <c r="I79" t="s">
        <v>574</v>
      </c>
      <c r="J79">
        <v>120</v>
      </c>
      <c r="K79">
        <v>2.2000000000000002</v>
      </c>
      <c r="O79">
        <v>42</v>
      </c>
      <c r="P79" t="s">
        <v>119</v>
      </c>
      <c r="Q79">
        <v>110</v>
      </c>
      <c r="R79">
        <v>2.2000000000000002</v>
      </c>
      <c r="AA79">
        <v>4</v>
      </c>
      <c r="AB79">
        <v>2021</v>
      </c>
      <c r="AC79" s="40">
        <f t="shared" si="5"/>
        <v>1</v>
      </c>
      <c r="AD79" s="40">
        <f t="shared" si="6"/>
        <v>1</v>
      </c>
      <c r="AF79">
        <f t="shared" si="7"/>
        <v>366</v>
      </c>
    </row>
    <row r="80" spans="1:32" x14ac:dyDescent="0.25">
      <c r="B80" t="s">
        <v>1327</v>
      </c>
      <c r="C80" t="s">
        <v>161</v>
      </c>
      <c r="D80">
        <v>40</v>
      </c>
      <c r="E80" t="s">
        <v>93</v>
      </c>
      <c r="F80">
        <v>20</v>
      </c>
      <c r="G80" t="s">
        <v>1351</v>
      </c>
      <c r="H80" s="1">
        <v>20</v>
      </c>
      <c r="I80" t="s">
        <v>113</v>
      </c>
      <c r="J80">
        <v>100</v>
      </c>
      <c r="K80">
        <v>2</v>
      </c>
      <c r="AA80">
        <v>3</v>
      </c>
      <c r="AB80">
        <v>2021</v>
      </c>
      <c r="AC80" s="40">
        <f t="shared" si="5"/>
        <v>1</v>
      </c>
      <c r="AD80" s="40">
        <f t="shared" si="6"/>
        <v>1</v>
      </c>
      <c r="AF80">
        <f t="shared" si="7"/>
        <v>274</v>
      </c>
    </row>
    <row r="81" spans="1:32" x14ac:dyDescent="0.25">
      <c r="B81" t="s">
        <v>1327</v>
      </c>
      <c r="C81" t="s">
        <v>142</v>
      </c>
      <c r="D81">
        <v>99</v>
      </c>
      <c r="E81" t="s">
        <v>94</v>
      </c>
      <c r="F81">
        <v>5</v>
      </c>
      <c r="H81" s="1">
        <v>30</v>
      </c>
      <c r="I81" t="s">
        <v>1357</v>
      </c>
      <c r="J81">
        <v>155</v>
      </c>
      <c r="K81">
        <v>3.3</v>
      </c>
      <c r="AC81" s="40">
        <f t="shared" si="5"/>
        <v>1</v>
      </c>
      <c r="AD81" s="40">
        <f t="shared" si="6"/>
        <v>1</v>
      </c>
      <c r="AF81" t="e">
        <f t="shared" si="7"/>
        <v>#NUM!</v>
      </c>
    </row>
    <row r="82" spans="1:32" x14ac:dyDescent="0.25">
      <c r="B82" t="s">
        <v>1327</v>
      </c>
      <c r="C82" t="s">
        <v>1329</v>
      </c>
      <c r="D82">
        <v>252</v>
      </c>
      <c r="E82" t="s">
        <v>93</v>
      </c>
      <c r="F82">
        <v>3</v>
      </c>
      <c r="G82" t="s">
        <v>1392</v>
      </c>
      <c r="H82" s="1">
        <v>70</v>
      </c>
      <c r="I82" t="s">
        <v>114</v>
      </c>
      <c r="J82">
        <v>105</v>
      </c>
      <c r="K82">
        <v>3.6</v>
      </c>
      <c r="L82" t="s">
        <v>1224</v>
      </c>
      <c r="AB82">
        <v>2023</v>
      </c>
      <c r="AC82" s="40">
        <f t="shared" si="5"/>
        <v>1</v>
      </c>
      <c r="AD82" s="40">
        <f t="shared" si="6"/>
        <v>1</v>
      </c>
      <c r="AF82">
        <f t="shared" si="7"/>
        <v>731</v>
      </c>
    </row>
    <row r="83" spans="1:32" x14ac:dyDescent="0.25">
      <c r="B83" t="s">
        <v>1327</v>
      </c>
      <c r="C83" t="s">
        <v>143</v>
      </c>
      <c r="D83">
        <v>252</v>
      </c>
      <c r="E83" t="s">
        <v>94</v>
      </c>
      <c r="G83" t="s">
        <v>1143</v>
      </c>
      <c r="H83" s="1">
        <v>60</v>
      </c>
      <c r="I83" t="s">
        <v>1364</v>
      </c>
      <c r="J83">
        <v>126</v>
      </c>
      <c r="K83">
        <v>4.2</v>
      </c>
      <c r="M83">
        <v>87</v>
      </c>
      <c r="AA83">
        <v>3</v>
      </c>
      <c r="AB83">
        <v>2021</v>
      </c>
      <c r="AC83" s="40">
        <f t="shared" si="5"/>
        <v>1</v>
      </c>
      <c r="AD83" s="40">
        <f t="shared" si="6"/>
        <v>1</v>
      </c>
      <c r="AF83">
        <f t="shared" si="7"/>
        <v>274</v>
      </c>
    </row>
    <row r="84" spans="1:32" x14ac:dyDescent="0.25">
      <c r="B84" t="s">
        <v>1327</v>
      </c>
      <c r="C84" t="s">
        <v>163</v>
      </c>
      <c r="D84">
        <v>54</v>
      </c>
      <c r="E84" t="s">
        <v>94</v>
      </c>
      <c r="F84">
        <v>20</v>
      </c>
      <c r="G84" t="s">
        <v>1351</v>
      </c>
      <c r="H84" s="1">
        <v>12</v>
      </c>
      <c r="I84" t="s">
        <v>121</v>
      </c>
      <c r="J84">
        <v>136</v>
      </c>
      <c r="K84">
        <v>4.2</v>
      </c>
      <c r="O84">
        <v>1</v>
      </c>
      <c r="P84" t="s">
        <v>109</v>
      </c>
      <c r="Q84">
        <v>126</v>
      </c>
      <c r="R84">
        <v>3.6</v>
      </c>
      <c r="S84" t="s">
        <v>566</v>
      </c>
      <c r="AA84">
        <v>2</v>
      </c>
      <c r="AB84">
        <v>2022</v>
      </c>
      <c r="AC84" s="40">
        <f t="shared" si="5"/>
        <v>1</v>
      </c>
      <c r="AD84" s="40">
        <f t="shared" si="6"/>
        <v>1</v>
      </c>
      <c r="AF84">
        <f t="shared" si="7"/>
        <v>548</v>
      </c>
    </row>
    <row r="85" spans="1:32" x14ac:dyDescent="0.25">
      <c r="B85" t="s">
        <v>1327</v>
      </c>
      <c r="C85" t="s">
        <v>42</v>
      </c>
      <c r="D85">
        <v>109</v>
      </c>
      <c r="E85" t="s">
        <v>94</v>
      </c>
      <c r="F85">
        <v>20</v>
      </c>
      <c r="G85" t="s">
        <v>1393</v>
      </c>
      <c r="H85" s="1">
        <v>26</v>
      </c>
      <c r="I85" t="s">
        <v>619</v>
      </c>
      <c r="J85">
        <v>150</v>
      </c>
      <c r="K85">
        <v>4.2</v>
      </c>
      <c r="AB85">
        <v>2021</v>
      </c>
      <c r="AC85" s="40">
        <f t="shared" si="5"/>
        <v>1</v>
      </c>
      <c r="AD85" s="40">
        <f t="shared" si="6"/>
        <v>1</v>
      </c>
      <c r="AF85">
        <f t="shared" si="7"/>
        <v>1</v>
      </c>
    </row>
    <row r="86" spans="1:32" s="11" customFormat="1" x14ac:dyDescent="0.25">
      <c r="A86" s="41">
        <f>SUM(D56:D86)</f>
        <v>3535</v>
      </c>
      <c r="B86" s="11" t="s">
        <v>1327</v>
      </c>
      <c r="C86" s="11" t="s">
        <v>1247</v>
      </c>
      <c r="D86" s="11">
        <v>22</v>
      </c>
      <c r="H86" s="28"/>
      <c r="I86" s="11" t="s">
        <v>1419</v>
      </c>
      <c r="AB86" s="11">
        <v>2024</v>
      </c>
      <c r="AC86" s="40">
        <f t="shared" si="5"/>
        <v>1</v>
      </c>
      <c r="AD86" s="40">
        <f t="shared" si="6"/>
        <v>1</v>
      </c>
      <c r="AF86">
        <f t="shared" si="7"/>
        <v>1096</v>
      </c>
    </row>
    <row r="87" spans="1:32" x14ac:dyDescent="0.25">
      <c r="A87" s="40"/>
      <c r="B87" t="s">
        <v>1330</v>
      </c>
      <c r="C87" t="s">
        <v>1247</v>
      </c>
      <c r="D87">
        <v>8</v>
      </c>
      <c r="H87" s="1"/>
      <c r="I87" t="s">
        <v>1419</v>
      </c>
      <c r="AB87">
        <v>2024</v>
      </c>
      <c r="AC87" s="40">
        <f t="shared" si="5"/>
        <v>1</v>
      </c>
      <c r="AD87" s="40">
        <f t="shared" ref="AD87:AD121" si="8">COUNTIF($C$143:$C$174,C87)</f>
        <v>1</v>
      </c>
      <c r="AF87">
        <f t="shared" si="7"/>
        <v>1087</v>
      </c>
    </row>
    <row r="88" spans="1:32" x14ac:dyDescent="0.25">
      <c r="A88" s="40"/>
      <c r="B88" t="s">
        <v>1331</v>
      </c>
      <c r="C88" t="s">
        <v>175</v>
      </c>
      <c r="D88">
        <v>29</v>
      </c>
      <c r="E88" t="s">
        <v>94</v>
      </c>
      <c r="F88">
        <v>20</v>
      </c>
      <c r="G88" t="s">
        <v>1394</v>
      </c>
      <c r="H88" s="1">
        <v>7</v>
      </c>
      <c r="I88" t="s">
        <v>619</v>
      </c>
      <c r="J88">
        <v>150</v>
      </c>
      <c r="K88">
        <v>4.2</v>
      </c>
      <c r="AA88">
        <v>3</v>
      </c>
      <c r="AB88">
        <v>2021</v>
      </c>
      <c r="AC88" s="40">
        <f t="shared" si="5"/>
        <v>1</v>
      </c>
      <c r="AD88" s="40">
        <f t="shared" si="8"/>
        <v>1</v>
      </c>
      <c r="AF88">
        <f t="shared" si="7"/>
        <v>262</v>
      </c>
    </row>
    <row r="89" spans="1:32" x14ac:dyDescent="0.25">
      <c r="A89" s="40"/>
      <c r="B89" t="s">
        <v>1332</v>
      </c>
      <c r="C89" t="s">
        <v>1247</v>
      </c>
      <c r="D89">
        <v>8</v>
      </c>
      <c r="H89" s="1"/>
      <c r="I89" t="s">
        <v>1419</v>
      </c>
      <c r="AB89">
        <v>2024</v>
      </c>
      <c r="AC89" s="40">
        <f t="shared" si="5"/>
        <v>1</v>
      </c>
      <c r="AD89" s="40">
        <f t="shared" si="8"/>
        <v>1</v>
      </c>
      <c r="AF89">
        <f t="shared" si="7"/>
        <v>1077</v>
      </c>
    </row>
    <row r="90" spans="1:32" x14ac:dyDescent="0.25">
      <c r="A90" s="40"/>
      <c r="B90" t="s">
        <v>1333</v>
      </c>
      <c r="C90" t="s">
        <v>175</v>
      </c>
      <c r="D90">
        <v>50</v>
      </c>
      <c r="E90" t="s">
        <v>94</v>
      </c>
      <c r="F90">
        <v>10</v>
      </c>
      <c r="G90" t="s">
        <v>1395</v>
      </c>
      <c r="H90" s="1">
        <v>12</v>
      </c>
      <c r="I90" t="s">
        <v>619</v>
      </c>
      <c r="J90">
        <v>150</v>
      </c>
      <c r="K90">
        <v>4.2</v>
      </c>
      <c r="AA90">
        <v>3</v>
      </c>
      <c r="AB90">
        <v>2021</v>
      </c>
      <c r="AC90" s="40">
        <f t="shared" si="5"/>
        <v>1</v>
      </c>
      <c r="AD90" s="40">
        <f t="shared" si="8"/>
        <v>1</v>
      </c>
      <c r="AF90">
        <f t="shared" si="7"/>
        <v>246</v>
      </c>
    </row>
    <row r="91" spans="1:32" x14ac:dyDescent="0.25">
      <c r="A91" s="40"/>
      <c r="B91" t="s">
        <v>1334</v>
      </c>
      <c r="C91" t="s">
        <v>161</v>
      </c>
      <c r="D91">
        <v>27</v>
      </c>
      <c r="E91" t="s">
        <v>94</v>
      </c>
      <c r="F91">
        <v>30</v>
      </c>
      <c r="G91" t="s">
        <v>328</v>
      </c>
      <c r="H91" s="1">
        <v>9</v>
      </c>
      <c r="I91" t="s">
        <v>108</v>
      </c>
      <c r="J91">
        <v>136</v>
      </c>
      <c r="K91">
        <v>3</v>
      </c>
      <c r="L91" t="s">
        <v>615</v>
      </c>
      <c r="M91">
        <v>122</v>
      </c>
      <c r="AA91">
        <v>1</v>
      </c>
      <c r="AB91">
        <v>2022</v>
      </c>
      <c r="AC91" s="40">
        <f t="shared" si="5"/>
        <v>1</v>
      </c>
      <c r="AD91" s="40">
        <f t="shared" si="8"/>
        <v>1</v>
      </c>
      <c r="AF91">
        <f t="shared" si="7"/>
        <v>421</v>
      </c>
    </row>
    <row r="92" spans="1:32" x14ac:dyDescent="0.25">
      <c r="A92" s="40"/>
      <c r="B92" t="s">
        <v>1335</v>
      </c>
      <c r="C92" t="s">
        <v>165</v>
      </c>
      <c r="D92">
        <v>50</v>
      </c>
      <c r="E92" t="s">
        <v>94</v>
      </c>
      <c r="F92">
        <v>20</v>
      </c>
      <c r="G92" t="s">
        <v>1359</v>
      </c>
      <c r="H92" s="1">
        <v>14</v>
      </c>
      <c r="I92" t="s">
        <v>112</v>
      </c>
      <c r="J92">
        <v>112</v>
      </c>
      <c r="K92">
        <v>3.6</v>
      </c>
      <c r="L92" t="s">
        <v>566</v>
      </c>
      <c r="AA92">
        <v>3</v>
      </c>
      <c r="AB92">
        <v>2021</v>
      </c>
      <c r="AC92" s="40">
        <f t="shared" si="5"/>
        <v>1</v>
      </c>
      <c r="AD92" s="40">
        <f t="shared" si="8"/>
        <v>1</v>
      </c>
      <c r="AF92">
        <f t="shared" si="7"/>
        <v>230</v>
      </c>
    </row>
    <row r="93" spans="1:32" x14ac:dyDescent="0.25">
      <c r="A93" s="40"/>
      <c r="B93" t="s">
        <v>1336</v>
      </c>
      <c r="C93" t="s">
        <v>138</v>
      </c>
      <c r="D93">
        <v>25</v>
      </c>
      <c r="E93" t="s">
        <v>94</v>
      </c>
      <c r="F93">
        <v>20</v>
      </c>
      <c r="G93" t="s">
        <v>1396</v>
      </c>
      <c r="H93" s="1">
        <v>6</v>
      </c>
      <c r="I93" t="s">
        <v>121</v>
      </c>
      <c r="J93">
        <v>136</v>
      </c>
      <c r="K93">
        <v>4.2</v>
      </c>
      <c r="M93">
        <v>149</v>
      </c>
      <c r="AA93">
        <v>2</v>
      </c>
      <c r="AB93">
        <v>2022</v>
      </c>
      <c r="AC93" s="40">
        <f t="shared" si="5"/>
        <v>1</v>
      </c>
      <c r="AD93" s="40">
        <f t="shared" si="8"/>
        <v>1</v>
      </c>
      <c r="AF93">
        <f t="shared" si="7"/>
        <v>491</v>
      </c>
    </row>
    <row r="94" spans="1:32" x14ac:dyDescent="0.25">
      <c r="A94" s="40"/>
      <c r="B94" t="s">
        <v>1336</v>
      </c>
      <c r="C94" t="s">
        <v>144</v>
      </c>
      <c r="D94">
        <v>328</v>
      </c>
      <c r="E94" t="s">
        <v>94</v>
      </c>
      <c r="F94">
        <v>15</v>
      </c>
      <c r="G94" t="s">
        <v>645</v>
      </c>
      <c r="H94" s="1">
        <v>72</v>
      </c>
      <c r="I94" t="s">
        <v>121</v>
      </c>
      <c r="J94">
        <v>136</v>
      </c>
      <c r="K94">
        <v>4.2</v>
      </c>
      <c r="AA94">
        <v>3</v>
      </c>
      <c r="AB94">
        <v>2021</v>
      </c>
      <c r="AC94" s="40">
        <f t="shared" si="5"/>
        <v>1</v>
      </c>
      <c r="AD94" s="40">
        <f t="shared" si="8"/>
        <v>1</v>
      </c>
      <c r="AF94">
        <f t="shared" si="7"/>
        <v>217</v>
      </c>
    </row>
    <row r="95" spans="1:32" x14ac:dyDescent="0.25">
      <c r="A95" s="40"/>
      <c r="B95" t="s">
        <v>1337</v>
      </c>
      <c r="C95" t="s">
        <v>148</v>
      </c>
      <c r="D95">
        <v>43</v>
      </c>
      <c r="E95" t="s">
        <v>93</v>
      </c>
      <c r="F95">
        <v>20</v>
      </c>
      <c r="G95" t="s">
        <v>1397</v>
      </c>
      <c r="H95" s="1">
        <v>12</v>
      </c>
      <c r="I95" t="s">
        <v>108</v>
      </c>
      <c r="J95">
        <v>136</v>
      </c>
      <c r="K95">
        <v>3.6</v>
      </c>
      <c r="L95" t="s">
        <v>1224</v>
      </c>
      <c r="AA95">
        <v>4</v>
      </c>
      <c r="AB95">
        <v>2021</v>
      </c>
      <c r="AC95" s="40">
        <f t="shared" si="5"/>
        <v>1</v>
      </c>
      <c r="AD95" s="40">
        <f t="shared" si="8"/>
        <v>1</v>
      </c>
      <c r="AF95">
        <f t="shared" si="7"/>
        <v>308</v>
      </c>
    </row>
    <row r="96" spans="1:32" x14ac:dyDescent="0.25">
      <c r="A96" s="40"/>
      <c r="B96" t="s">
        <v>1337</v>
      </c>
      <c r="C96" t="s">
        <v>161</v>
      </c>
      <c r="D96">
        <v>40</v>
      </c>
      <c r="E96" t="s">
        <v>93</v>
      </c>
      <c r="F96">
        <v>20</v>
      </c>
      <c r="G96" t="s">
        <v>1398</v>
      </c>
      <c r="H96" s="1">
        <v>12</v>
      </c>
      <c r="I96" t="s">
        <v>109</v>
      </c>
      <c r="J96">
        <v>126</v>
      </c>
      <c r="K96">
        <v>3.3</v>
      </c>
      <c r="L96" t="s">
        <v>594</v>
      </c>
      <c r="M96">
        <v>137</v>
      </c>
      <c r="AA96">
        <v>4</v>
      </c>
      <c r="AB96">
        <v>2021</v>
      </c>
      <c r="AC96" s="40">
        <f t="shared" si="5"/>
        <v>1</v>
      </c>
      <c r="AD96" s="40">
        <f t="shared" si="8"/>
        <v>1</v>
      </c>
      <c r="AF96">
        <f t="shared" si="7"/>
        <v>308</v>
      </c>
    </row>
    <row r="97" spans="1:32" x14ac:dyDescent="0.25">
      <c r="A97" s="40"/>
      <c r="B97" t="s">
        <v>1338</v>
      </c>
      <c r="C97" t="s">
        <v>141</v>
      </c>
      <c r="D97">
        <v>534</v>
      </c>
      <c r="E97" t="s">
        <v>94</v>
      </c>
      <c r="F97">
        <v>20</v>
      </c>
      <c r="G97" t="s">
        <v>1399</v>
      </c>
      <c r="H97" s="1">
        <v>91</v>
      </c>
      <c r="I97" t="s">
        <v>1400</v>
      </c>
      <c r="J97">
        <v>150</v>
      </c>
      <c r="K97">
        <v>4.5</v>
      </c>
      <c r="O97">
        <v>29</v>
      </c>
      <c r="P97" t="s">
        <v>1401</v>
      </c>
      <c r="Q97">
        <v>150</v>
      </c>
      <c r="R97">
        <v>4.3</v>
      </c>
      <c r="AC97" s="40">
        <f t="shared" si="5"/>
        <v>1</v>
      </c>
      <c r="AD97" s="40">
        <f t="shared" si="8"/>
        <v>1</v>
      </c>
      <c r="AF97" t="e">
        <f t="shared" si="7"/>
        <v>#NUM!</v>
      </c>
    </row>
    <row r="98" spans="1:32" x14ac:dyDescent="0.25">
      <c r="A98" s="40"/>
      <c r="B98" t="s">
        <v>1339</v>
      </c>
      <c r="C98" t="s">
        <v>318</v>
      </c>
      <c r="D98">
        <v>42</v>
      </c>
      <c r="E98" t="s">
        <v>94</v>
      </c>
      <c r="F98">
        <v>25</v>
      </c>
      <c r="G98" t="s">
        <v>1402</v>
      </c>
      <c r="H98" s="1">
        <v>10</v>
      </c>
      <c r="I98" t="s">
        <v>121</v>
      </c>
      <c r="J98">
        <v>136</v>
      </c>
      <c r="K98">
        <v>4.2</v>
      </c>
      <c r="M98">
        <v>112</v>
      </c>
      <c r="AA98">
        <v>3</v>
      </c>
      <c r="AB98">
        <v>2021</v>
      </c>
      <c r="AC98" s="40">
        <f t="shared" ref="AC98:AC121" si="9">COUNTIF($I$144:$I$174,I98)</f>
        <v>1</v>
      </c>
      <c r="AD98" s="40">
        <f t="shared" si="8"/>
        <v>1</v>
      </c>
      <c r="AF98">
        <f t="shared" si="7"/>
        <v>209</v>
      </c>
    </row>
    <row r="99" spans="1:32" x14ac:dyDescent="0.25">
      <c r="A99" s="40"/>
      <c r="B99" t="s">
        <v>1340</v>
      </c>
      <c r="C99" t="s">
        <v>318</v>
      </c>
      <c r="D99">
        <v>74</v>
      </c>
      <c r="E99" t="s">
        <v>94</v>
      </c>
      <c r="F99">
        <v>30</v>
      </c>
      <c r="G99" t="s">
        <v>1403</v>
      </c>
      <c r="H99" s="1">
        <v>8</v>
      </c>
      <c r="I99" t="s">
        <v>1404</v>
      </c>
      <c r="J99">
        <v>162</v>
      </c>
      <c r="K99">
        <v>6</v>
      </c>
      <c r="M99">
        <v>129</v>
      </c>
      <c r="O99">
        <v>6</v>
      </c>
      <c r="P99" t="s">
        <v>619</v>
      </c>
      <c r="Q99">
        <v>150</v>
      </c>
      <c r="R99">
        <v>4.3</v>
      </c>
      <c r="S99" t="s">
        <v>1405</v>
      </c>
      <c r="AA99">
        <v>3</v>
      </c>
      <c r="AB99">
        <v>2021</v>
      </c>
      <c r="AC99" s="40">
        <f t="shared" si="9"/>
        <v>1</v>
      </c>
      <c r="AD99" s="40">
        <f t="shared" si="8"/>
        <v>1</v>
      </c>
      <c r="AF99">
        <f t="shared" si="7"/>
        <v>206</v>
      </c>
    </row>
    <row r="100" spans="1:32" x14ac:dyDescent="0.25">
      <c r="A100" s="40"/>
      <c r="B100" t="s">
        <v>1341</v>
      </c>
      <c r="C100" t="s">
        <v>146</v>
      </c>
      <c r="D100">
        <v>39</v>
      </c>
      <c r="E100" t="s">
        <v>94</v>
      </c>
      <c r="F100">
        <v>15</v>
      </c>
      <c r="H100" s="1">
        <v>11</v>
      </c>
      <c r="I100" t="s">
        <v>108</v>
      </c>
      <c r="J100">
        <v>136</v>
      </c>
      <c r="K100">
        <v>3.5</v>
      </c>
      <c r="L100" t="s">
        <v>1406</v>
      </c>
      <c r="AA100">
        <v>2</v>
      </c>
      <c r="AB100">
        <v>2021</v>
      </c>
      <c r="AC100" s="40">
        <f t="shared" si="9"/>
        <v>1</v>
      </c>
      <c r="AD100" s="40">
        <f t="shared" si="8"/>
        <v>1</v>
      </c>
      <c r="AF100">
        <f t="shared" si="7"/>
        <v>114</v>
      </c>
    </row>
    <row r="101" spans="1:32" x14ac:dyDescent="0.25">
      <c r="A101" s="40"/>
      <c r="B101" t="s">
        <v>1342</v>
      </c>
      <c r="C101" t="s">
        <v>1247</v>
      </c>
      <c r="D101">
        <v>125</v>
      </c>
      <c r="H101" s="1">
        <v>20</v>
      </c>
      <c r="I101" t="s">
        <v>619</v>
      </c>
      <c r="J101">
        <v>150</v>
      </c>
      <c r="K101">
        <v>4.2</v>
      </c>
      <c r="O101">
        <v>20</v>
      </c>
      <c r="P101" t="s">
        <v>574</v>
      </c>
      <c r="Q101">
        <v>120</v>
      </c>
      <c r="R101">
        <v>2</v>
      </c>
      <c r="Z101" t="s">
        <v>1372</v>
      </c>
      <c r="AA101">
        <v>4</v>
      </c>
      <c r="AB101">
        <v>2021</v>
      </c>
      <c r="AC101" s="40">
        <f t="shared" si="9"/>
        <v>1</v>
      </c>
      <c r="AD101" s="40">
        <f t="shared" si="8"/>
        <v>1</v>
      </c>
      <c r="AF101">
        <f t="shared" si="7"/>
        <v>294</v>
      </c>
    </row>
    <row r="102" spans="1:32" x14ac:dyDescent="0.25">
      <c r="A102" s="40"/>
      <c r="B102" t="s">
        <v>1342</v>
      </c>
      <c r="C102" t="s">
        <v>1247</v>
      </c>
      <c r="D102">
        <v>234</v>
      </c>
      <c r="H102" s="1">
        <v>32</v>
      </c>
      <c r="I102" t="s">
        <v>619</v>
      </c>
      <c r="J102">
        <v>140</v>
      </c>
      <c r="K102">
        <v>4.3</v>
      </c>
      <c r="L102" t="s">
        <v>1203</v>
      </c>
      <c r="O102">
        <v>15</v>
      </c>
      <c r="P102" t="s">
        <v>1404</v>
      </c>
      <c r="Q102">
        <v>162</v>
      </c>
      <c r="R102">
        <v>6</v>
      </c>
      <c r="U102">
        <v>8</v>
      </c>
      <c r="V102" t="s">
        <v>110</v>
      </c>
      <c r="W102">
        <v>110</v>
      </c>
      <c r="X102">
        <v>2</v>
      </c>
      <c r="AA102">
        <v>4</v>
      </c>
      <c r="AB102">
        <v>2021</v>
      </c>
      <c r="AC102" s="40">
        <f t="shared" si="9"/>
        <v>1</v>
      </c>
      <c r="AD102" s="40">
        <f t="shared" si="8"/>
        <v>1</v>
      </c>
      <c r="AF102">
        <f t="shared" si="7"/>
        <v>294</v>
      </c>
    </row>
    <row r="103" spans="1:32" x14ac:dyDescent="0.25">
      <c r="A103" s="40"/>
      <c r="B103" t="s">
        <v>1343</v>
      </c>
      <c r="C103" t="s">
        <v>144</v>
      </c>
      <c r="D103">
        <v>97</v>
      </c>
      <c r="E103" t="s">
        <v>94</v>
      </c>
      <c r="F103">
        <v>15</v>
      </c>
      <c r="G103" t="s">
        <v>645</v>
      </c>
      <c r="H103" s="1">
        <v>23</v>
      </c>
      <c r="I103" t="s">
        <v>121</v>
      </c>
      <c r="J103">
        <v>136</v>
      </c>
      <c r="K103">
        <v>4.2</v>
      </c>
      <c r="AA103">
        <v>3</v>
      </c>
      <c r="AB103">
        <v>2021</v>
      </c>
      <c r="AC103" s="40">
        <f t="shared" si="9"/>
        <v>1</v>
      </c>
      <c r="AD103" s="40">
        <f t="shared" si="8"/>
        <v>1</v>
      </c>
      <c r="AF103">
        <f t="shared" si="7"/>
        <v>199</v>
      </c>
    </row>
    <row r="104" spans="1:32" x14ac:dyDescent="0.25">
      <c r="A104" s="40"/>
      <c r="B104" t="s">
        <v>1344</v>
      </c>
      <c r="C104" t="s">
        <v>175</v>
      </c>
      <c r="D104">
        <v>101</v>
      </c>
      <c r="E104" t="s">
        <v>94</v>
      </c>
      <c r="F104">
        <v>20</v>
      </c>
      <c r="G104" t="s">
        <v>1407</v>
      </c>
      <c r="H104" s="1">
        <v>24</v>
      </c>
      <c r="I104" t="s">
        <v>619</v>
      </c>
      <c r="J104">
        <v>150</v>
      </c>
      <c r="K104">
        <v>4.2</v>
      </c>
      <c r="AA104">
        <v>3</v>
      </c>
      <c r="AB104">
        <v>2021</v>
      </c>
      <c r="AC104" s="40">
        <f t="shared" si="9"/>
        <v>1</v>
      </c>
      <c r="AD104" s="40">
        <f t="shared" si="8"/>
        <v>1</v>
      </c>
      <c r="AF104">
        <f t="shared" si="7"/>
        <v>196</v>
      </c>
    </row>
    <row r="105" spans="1:32" x14ac:dyDescent="0.25">
      <c r="A105" s="40"/>
      <c r="B105" t="s">
        <v>1345</v>
      </c>
      <c r="C105" t="s">
        <v>140</v>
      </c>
      <c r="D105">
        <v>34</v>
      </c>
      <c r="E105" t="s">
        <v>94</v>
      </c>
      <c r="F105">
        <v>25</v>
      </c>
      <c r="G105" t="s">
        <v>1408</v>
      </c>
      <c r="H105" s="1">
        <v>8</v>
      </c>
      <c r="I105" t="s">
        <v>619</v>
      </c>
      <c r="J105">
        <v>150</v>
      </c>
      <c r="K105">
        <v>4.2</v>
      </c>
      <c r="AA105">
        <v>1</v>
      </c>
      <c r="AB105">
        <v>2022</v>
      </c>
      <c r="AC105" s="40">
        <f t="shared" si="9"/>
        <v>1</v>
      </c>
      <c r="AD105" s="40">
        <f t="shared" si="8"/>
        <v>1</v>
      </c>
      <c r="AF105">
        <f t="shared" si="7"/>
        <v>376</v>
      </c>
    </row>
    <row r="106" spans="1:32" x14ac:dyDescent="0.25">
      <c r="A106" s="40"/>
      <c r="B106" t="s">
        <v>1345</v>
      </c>
      <c r="C106" t="s">
        <v>527</v>
      </c>
      <c r="D106">
        <v>34</v>
      </c>
      <c r="E106" t="s">
        <v>94</v>
      </c>
      <c r="F106">
        <v>15</v>
      </c>
      <c r="G106" t="s">
        <v>1409</v>
      </c>
      <c r="H106" s="1">
        <v>9</v>
      </c>
      <c r="I106" t="s">
        <v>109</v>
      </c>
      <c r="J106">
        <v>126</v>
      </c>
      <c r="K106">
        <v>3.8</v>
      </c>
      <c r="L106" t="s">
        <v>587</v>
      </c>
      <c r="M106">
        <v>130</v>
      </c>
      <c r="AA106">
        <v>1</v>
      </c>
      <c r="AB106">
        <v>2022</v>
      </c>
      <c r="AC106" s="40">
        <f t="shared" si="9"/>
        <v>1</v>
      </c>
      <c r="AD106" s="40">
        <f t="shared" si="8"/>
        <v>1</v>
      </c>
      <c r="AF106">
        <f t="shared" si="7"/>
        <v>376</v>
      </c>
    </row>
    <row r="107" spans="1:32" x14ac:dyDescent="0.25">
      <c r="A107" s="40"/>
      <c r="B107" t="s">
        <v>1346</v>
      </c>
      <c r="C107" t="s">
        <v>141</v>
      </c>
      <c r="D107">
        <v>360</v>
      </c>
      <c r="E107" t="s">
        <v>94</v>
      </c>
      <c r="F107">
        <v>20</v>
      </c>
      <c r="G107" t="s">
        <v>1102</v>
      </c>
      <c r="H107" s="1">
        <v>80</v>
      </c>
      <c r="I107" t="s">
        <v>619</v>
      </c>
      <c r="J107">
        <v>150</v>
      </c>
      <c r="K107">
        <v>4.5</v>
      </c>
      <c r="L107" t="s">
        <v>1410</v>
      </c>
      <c r="AA107">
        <v>3</v>
      </c>
      <c r="AB107">
        <v>2022</v>
      </c>
      <c r="AC107" s="40">
        <f t="shared" si="9"/>
        <v>1</v>
      </c>
      <c r="AD107" s="40">
        <f t="shared" si="8"/>
        <v>1</v>
      </c>
      <c r="AF107">
        <f t="shared" si="7"/>
        <v>555</v>
      </c>
    </row>
    <row r="108" spans="1:32" x14ac:dyDescent="0.25">
      <c r="A108" s="40"/>
      <c r="B108" t="s">
        <v>1346</v>
      </c>
      <c r="C108" t="s">
        <v>1247</v>
      </c>
      <c r="D108">
        <v>138</v>
      </c>
      <c r="E108" t="s">
        <v>94</v>
      </c>
      <c r="F108">
        <v>20</v>
      </c>
      <c r="H108" s="1">
        <v>73</v>
      </c>
      <c r="I108" t="s">
        <v>110</v>
      </c>
      <c r="J108">
        <v>110</v>
      </c>
      <c r="K108">
        <v>2</v>
      </c>
      <c r="Z108" t="s">
        <v>1411</v>
      </c>
      <c r="AA108">
        <v>2</v>
      </c>
      <c r="AB108">
        <v>2021</v>
      </c>
      <c r="AC108" s="40">
        <f t="shared" si="9"/>
        <v>1</v>
      </c>
      <c r="AD108" s="40">
        <f t="shared" si="8"/>
        <v>1</v>
      </c>
      <c r="AF108">
        <f t="shared" si="7"/>
        <v>99</v>
      </c>
    </row>
    <row r="109" spans="1:32" x14ac:dyDescent="0.25">
      <c r="A109" s="40"/>
      <c r="B109" t="s">
        <v>1347</v>
      </c>
      <c r="C109" t="s">
        <v>162</v>
      </c>
      <c r="D109">
        <v>63</v>
      </c>
      <c r="E109" t="s">
        <v>94</v>
      </c>
      <c r="F109">
        <v>10</v>
      </c>
      <c r="G109" t="s">
        <v>1412</v>
      </c>
      <c r="H109" s="1">
        <v>9</v>
      </c>
      <c r="I109" t="s">
        <v>121</v>
      </c>
      <c r="J109">
        <v>136</v>
      </c>
      <c r="K109">
        <v>4.2</v>
      </c>
      <c r="O109">
        <v>7</v>
      </c>
      <c r="P109" t="s">
        <v>112</v>
      </c>
      <c r="Q109">
        <v>112</v>
      </c>
      <c r="R109">
        <v>3.6</v>
      </c>
      <c r="S109" t="s">
        <v>566</v>
      </c>
      <c r="AA109">
        <v>2</v>
      </c>
      <c r="AB109">
        <v>2022</v>
      </c>
      <c r="AC109" s="40">
        <f t="shared" si="9"/>
        <v>1</v>
      </c>
      <c r="AD109" s="40">
        <f t="shared" si="8"/>
        <v>1</v>
      </c>
      <c r="AF109">
        <f t="shared" si="7"/>
        <v>459</v>
      </c>
    </row>
    <row r="110" spans="1:32" x14ac:dyDescent="0.25">
      <c r="A110" s="40"/>
      <c r="B110" t="s">
        <v>1347</v>
      </c>
      <c r="C110" t="s">
        <v>1247</v>
      </c>
      <c r="D110">
        <v>210</v>
      </c>
      <c r="E110" t="s">
        <v>94</v>
      </c>
      <c r="F110">
        <v>10</v>
      </c>
      <c r="H110" s="1">
        <v>50</v>
      </c>
      <c r="I110" t="s">
        <v>619</v>
      </c>
      <c r="J110">
        <v>150</v>
      </c>
      <c r="K110">
        <v>4.2</v>
      </c>
      <c r="AA110">
        <v>1</v>
      </c>
      <c r="AB110">
        <v>2022</v>
      </c>
      <c r="AC110" s="40">
        <f t="shared" si="9"/>
        <v>1</v>
      </c>
      <c r="AD110" s="40">
        <f t="shared" si="8"/>
        <v>1</v>
      </c>
      <c r="AF110">
        <f t="shared" si="7"/>
        <v>369</v>
      </c>
    </row>
    <row r="111" spans="1:32" x14ac:dyDescent="0.25">
      <c r="A111" s="40"/>
      <c r="B111" t="s">
        <v>1348</v>
      </c>
      <c r="C111" t="s">
        <v>527</v>
      </c>
      <c r="D111">
        <v>207</v>
      </c>
      <c r="E111" t="s">
        <v>94</v>
      </c>
      <c r="F111">
        <v>25</v>
      </c>
      <c r="G111" t="s">
        <v>1413</v>
      </c>
      <c r="H111" s="1">
        <v>37</v>
      </c>
      <c r="I111" t="s">
        <v>1220</v>
      </c>
      <c r="J111">
        <v>162</v>
      </c>
      <c r="K111">
        <v>5.6</v>
      </c>
      <c r="M111">
        <v>168</v>
      </c>
      <c r="N111">
        <v>136.5</v>
      </c>
      <c r="AA111">
        <v>1</v>
      </c>
      <c r="AB111">
        <v>2022</v>
      </c>
      <c r="AC111" s="40">
        <f t="shared" si="9"/>
        <v>1</v>
      </c>
      <c r="AD111" s="40">
        <f t="shared" si="8"/>
        <v>1</v>
      </c>
      <c r="AF111">
        <f t="shared" si="7"/>
        <v>368</v>
      </c>
    </row>
    <row r="112" spans="1:32" x14ac:dyDescent="0.25">
      <c r="A112" s="40"/>
      <c r="B112" t="s">
        <v>1348</v>
      </c>
      <c r="C112" t="s">
        <v>146</v>
      </c>
      <c r="D112">
        <v>20</v>
      </c>
      <c r="E112" t="s">
        <v>94</v>
      </c>
      <c r="F112">
        <v>18</v>
      </c>
      <c r="G112" t="s">
        <v>1414</v>
      </c>
      <c r="H112" s="1">
        <v>5</v>
      </c>
      <c r="I112" t="s">
        <v>121</v>
      </c>
      <c r="J112">
        <v>136</v>
      </c>
      <c r="K112">
        <v>4</v>
      </c>
      <c r="L112" t="s">
        <v>1356</v>
      </c>
      <c r="AA112">
        <v>3</v>
      </c>
      <c r="AB112">
        <v>2021</v>
      </c>
      <c r="AC112" s="40">
        <f t="shared" si="9"/>
        <v>1</v>
      </c>
      <c r="AD112" s="40">
        <f t="shared" si="8"/>
        <v>1</v>
      </c>
      <c r="AF112">
        <f t="shared" si="7"/>
        <v>184</v>
      </c>
    </row>
    <row r="113" spans="1:32" x14ac:dyDescent="0.25">
      <c r="A113" s="40"/>
      <c r="B113" t="s">
        <v>1349</v>
      </c>
      <c r="C113" t="s">
        <v>146</v>
      </c>
      <c r="D113">
        <v>52</v>
      </c>
      <c r="E113" t="s">
        <v>94</v>
      </c>
      <c r="F113">
        <v>20</v>
      </c>
      <c r="H113" s="1">
        <v>14</v>
      </c>
      <c r="I113" t="s">
        <v>121</v>
      </c>
      <c r="J113">
        <v>136</v>
      </c>
      <c r="K113">
        <v>4</v>
      </c>
      <c r="L113" t="s">
        <v>1415</v>
      </c>
      <c r="AA113">
        <v>3</v>
      </c>
      <c r="AB113">
        <v>2021</v>
      </c>
      <c r="AC113" s="40">
        <f t="shared" si="9"/>
        <v>1</v>
      </c>
      <c r="AD113" s="40">
        <f t="shared" si="8"/>
        <v>1</v>
      </c>
      <c r="AF113">
        <f t="shared" si="7"/>
        <v>183</v>
      </c>
    </row>
    <row r="114" spans="1:32" x14ac:dyDescent="0.25">
      <c r="A114" s="40"/>
      <c r="B114" t="s">
        <v>1350</v>
      </c>
      <c r="C114" t="s">
        <v>318</v>
      </c>
      <c r="D114">
        <v>90</v>
      </c>
      <c r="E114" t="s">
        <v>94</v>
      </c>
      <c r="F114">
        <v>30</v>
      </c>
      <c r="G114" t="s">
        <v>1416</v>
      </c>
      <c r="H114" s="1">
        <v>15</v>
      </c>
      <c r="I114" t="s">
        <v>1404</v>
      </c>
      <c r="J114">
        <v>162</v>
      </c>
      <c r="K114">
        <v>6</v>
      </c>
      <c r="AA114">
        <v>2</v>
      </c>
      <c r="AB114">
        <v>2023</v>
      </c>
      <c r="AC114" s="40">
        <f t="shared" si="9"/>
        <v>1</v>
      </c>
      <c r="AD114" s="40">
        <f t="shared" si="8"/>
        <v>1</v>
      </c>
      <c r="AF114">
        <f t="shared" si="7"/>
        <v>821</v>
      </c>
    </row>
    <row r="115" spans="1:32" x14ac:dyDescent="0.25">
      <c r="A115" s="40"/>
      <c r="B115" t="s">
        <v>1350</v>
      </c>
      <c r="C115" t="s">
        <v>141</v>
      </c>
      <c r="D115">
        <v>95</v>
      </c>
      <c r="E115" t="s">
        <v>94</v>
      </c>
      <c r="F115">
        <v>10</v>
      </c>
      <c r="G115" t="s">
        <v>456</v>
      </c>
      <c r="H115" s="1">
        <v>21</v>
      </c>
      <c r="I115" t="s">
        <v>619</v>
      </c>
      <c r="J115">
        <v>150</v>
      </c>
      <c r="K115">
        <v>4.5</v>
      </c>
      <c r="L115" t="s">
        <v>1410</v>
      </c>
      <c r="AA115">
        <v>3</v>
      </c>
      <c r="AB115">
        <v>2022</v>
      </c>
      <c r="AC115" s="40">
        <f t="shared" si="9"/>
        <v>1</v>
      </c>
      <c r="AD115" s="40">
        <f t="shared" si="8"/>
        <v>1</v>
      </c>
      <c r="AF115">
        <f t="shared" si="7"/>
        <v>547</v>
      </c>
    </row>
    <row r="116" spans="1:32" x14ac:dyDescent="0.25">
      <c r="A116" s="40"/>
      <c r="B116" t="s">
        <v>1350</v>
      </c>
      <c r="C116" t="s">
        <v>166</v>
      </c>
      <c r="D116">
        <v>46</v>
      </c>
      <c r="H116" s="1">
        <v>11</v>
      </c>
      <c r="I116" t="s">
        <v>121</v>
      </c>
      <c r="J116">
        <v>136</v>
      </c>
      <c r="K116">
        <v>4.2</v>
      </c>
      <c r="AA116">
        <v>3</v>
      </c>
      <c r="AB116">
        <v>2021</v>
      </c>
      <c r="AC116" s="40">
        <f t="shared" si="9"/>
        <v>1</v>
      </c>
      <c r="AD116" s="40">
        <f t="shared" si="8"/>
        <v>1</v>
      </c>
      <c r="AF116">
        <f t="shared" si="7"/>
        <v>182</v>
      </c>
    </row>
    <row r="117" spans="1:32" x14ac:dyDescent="0.25">
      <c r="A117" s="40"/>
      <c r="B117" t="s">
        <v>1350</v>
      </c>
      <c r="C117" t="s">
        <v>166</v>
      </c>
      <c r="D117">
        <v>35</v>
      </c>
      <c r="H117" s="1">
        <v>16</v>
      </c>
      <c r="I117" t="s">
        <v>574</v>
      </c>
      <c r="J117">
        <v>120</v>
      </c>
      <c r="K117">
        <v>2.2000000000000002</v>
      </c>
      <c r="AA117">
        <v>4</v>
      </c>
      <c r="AB117">
        <v>2021</v>
      </c>
      <c r="AC117" s="40">
        <f t="shared" si="9"/>
        <v>1</v>
      </c>
      <c r="AD117" s="40">
        <f t="shared" si="8"/>
        <v>1</v>
      </c>
      <c r="AF117">
        <f t="shared" si="7"/>
        <v>274</v>
      </c>
    </row>
    <row r="118" spans="1:32" x14ac:dyDescent="0.25">
      <c r="A118" s="40"/>
      <c r="B118" t="s">
        <v>1350</v>
      </c>
      <c r="C118" t="s">
        <v>137</v>
      </c>
      <c r="D118">
        <v>17</v>
      </c>
      <c r="G118" t="s">
        <v>1417</v>
      </c>
      <c r="H118" s="1">
        <v>7</v>
      </c>
      <c r="I118" t="s">
        <v>574</v>
      </c>
      <c r="J118">
        <v>120</v>
      </c>
      <c r="K118">
        <v>2.2000000000000002</v>
      </c>
      <c r="O118">
        <v>1</v>
      </c>
      <c r="P118" t="s">
        <v>113</v>
      </c>
      <c r="Q118">
        <v>100</v>
      </c>
      <c r="R118">
        <v>2</v>
      </c>
      <c r="AA118">
        <v>1</v>
      </c>
      <c r="AB118">
        <v>2021</v>
      </c>
      <c r="AC118" s="40">
        <f t="shared" si="9"/>
        <v>1</v>
      </c>
      <c r="AD118" s="40">
        <f t="shared" si="8"/>
        <v>1</v>
      </c>
      <c r="AF118">
        <f t="shared" si="7"/>
        <v>1</v>
      </c>
    </row>
    <row r="119" spans="1:32" x14ac:dyDescent="0.25">
      <c r="A119" s="40"/>
      <c r="B119" t="s">
        <v>1350</v>
      </c>
      <c r="C119" t="s">
        <v>146</v>
      </c>
      <c r="D119">
        <v>51</v>
      </c>
      <c r="E119" t="s">
        <v>94</v>
      </c>
      <c r="F119">
        <v>15</v>
      </c>
      <c r="H119" s="1">
        <v>11</v>
      </c>
      <c r="I119" t="s">
        <v>121</v>
      </c>
      <c r="J119">
        <v>136</v>
      </c>
      <c r="K119">
        <v>4.3</v>
      </c>
      <c r="L119" t="s">
        <v>1203</v>
      </c>
      <c r="O119">
        <v>1</v>
      </c>
      <c r="P119" t="s">
        <v>115</v>
      </c>
      <c r="Q119">
        <v>117</v>
      </c>
      <c r="R119">
        <v>3.45</v>
      </c>
      <c r="AA119">
        <v>3</v>
      </c>
      <c r="AB119">
        <v>2021</v>
      </c>
      <c r="AC119" s="40">
        <f t="shared" si="9"/>
        <v>1</v>
      </c>
      <c r="AD119" s="40">
        <f t="shared" si="8"/>
        <v>1</v>
      </c>
      <c r="AF119">
        <f t="shared" si="7"/>
        <v>182</v>
      </c>
    </row>
    <row r="120" spans="1:32" x14ac:dyDescent="0.25">
      <c r="A120" s="40"/>
      <c r="B120" t="s">
        <v>1350</v>
      </c>
      <c r="C120" t="s">
        <v>852</v>
      </c>
      <c r="D120">
        <v>8</v>
      </c>
      <c r="E120" t="s">
        <v>93</v>
      </c>
      <c r="F120">
        <v>20</v>
      </c>
      <c r="G120" t="s">
        <v>1418</v>
      </c>
      <c r="H120" s="1">
        <v>2</v>
      </c>
      <c r="I120" t="s">
        <v>574</v>
      </c>
      <c r="J120">
        <v>120</v>
      </c>
      <c r="K120">
        <v>2.2000000000000002</v>
      </c>
      <c r="O120">
        <v>1</v>
      </c>
      <c r="P120" t="s">
        <v>118</v>
      </c>
      <c r="Q120">
        <v>136</v>
      </c>
      <c r="R120">
        <v>3.6</v>
      </c>
      <c r="AA120">
        <v>4</v>
      </c>
      <c r="AB120">
        <v>2021</v>
      </c>
      <c r="AC120" s="40">
        <f t="shared" si="9"/>
        <v>1</v>
      </c>
      <c r="AD120" s="40">
        <f t="shared" si="8"/>
        <v>1</v>
      </c>
      <c r="AF120">
        <f t="shared" si="7"/>
        <v>274</v>
      </c>
    </row>
    <row r="121" spans="1:32" s="11" customFormat="1" x14ac:dyDescent="0.25">
      <c r="A121">
        <f>SUM(D87:D121)</f>
        <v>3818</v>
      </c>
      <c r="B121" s="11" t="s">
        <v>1350</v>
      </c>
      <c r="C121" s="11" t="s">
        <v>1328</v>
      </c>
      <c r="D121" s="11">
        <v>504</v>
      </c>
      <c r="E121" s="11" t="s">
        <v>94</v>
      </c>
      <c r="F121" s="11">
        <v>15</v>
      </c>
      <c r="H121" s="28">
        <v>90</v>
      </c>
      <c r="I121" s="11" t="s">
        <v>1220</v>
      </c>
      <c r="J121" s="11">
        <v>162</v>
      </c>
      <c r="K121" s="11">
        <v>5.6</v>
      </c>
      <c r="AC121" s="40">
        <f t="shared" si="9"/>
        <v>1</v>
      </c>
      <c r="AD121" s="40">
        <f t="shared" si="8"/>
        <v>1</v>
      </c>
      <c r="AF121" t="e">
        <f t="shared" si="7"/>
        <v>#NUM!</v>
      </c>
    </row>
    <row r="122" spans="1:32" ht="15.75" thickBot="1" x14ac:dyDescent="0.3">
      <c r="A122" s="40"/>
      <c r="H122" s="1"/>
      <c r="AC122" s="40"/>
      <c r="AD122" s="40"/>
    </row>
    <row r="123" spans="1:32" x14ac:dyDescent="0.25">
      <c r="A123" s="40"/>
      <c r="B123" s="72" t="s">
        <v>1573</v>
      </c>
      <c r="C123" s="73"/>
      <c r="D123" s="74"/>
      <c r="E123" s="74"/>
      <c r="H123" s="1"/>
      <c r="AC123" s="40"/>
      <c r="AD123" s="40"/>
    </row>
    <row r="124" spans="1:32" x14ac:dyDescent="0.25">
      <c r="A124" s="40"/>
      <c r="B124" s="75" t="s">
        <v>1574</v>
      </c>
      <c r="D124" s="76">
        <v>1247</v>
      </c>
      <c r="E124" s="76"/>
      <c r="H124" s="1"/>
      <c r="AC124" s="40"/>
      <c r="AD124" s="40"/>
    </row>
    <row r="125" spans="1:32" x14ac:dyDescent="0.25">
      <c r="B125" s="77" t="s">
        <v>1575</v>
      </c>
      <c r="D125" s="76">
        <v>1072</v>
      </c>
      <c r="E125" s="76"/>
      <c r="H125" s="1"/>
      <c r="AC125" s="40"/>
      <c r="AD125" s="40"/>
    </row>
    <row r="126" spans="1:32" x14ac:dyDescent="0.25">
      <c r="B126" s="77" t="s">
        <v>1576</v>
      </c>
      <c r="D126" s="76">
        <v>697</v>
      </c>
      <c r="E126" s="76"/>
      <c r="H126" s="1"/>
      <c r="AC126" s="40"/>
      <c r="AD126" s="40"/>
    </row>
    <row r="127" spans="1:32" x14ac:dyDescent="0.25">
      <c r="B127" s="77" t="s">
        <v>1577</v>
      </c>
      <c r="D127" s="76">
        <v>1740</v>
      </c>
      <c r="E127" s="76"/>
      <c r="H127" s="1"/>
      <c r="AC127" s="40"/>
      <c r="AD127" s="40"/>
    </row>
    <row r="128" spans="1:32" ht="15.75" thickBot="1" x14ac:dyDescent="0.3">
      <c r="B128" s="82" t="s">
        <v>1163</v>
      </c>
      <c r="C128" s="60"/>
      <c r="D128" s="83">
        <f>SUM(D2:D127)</f>
        <v>17249</v>
      </c>
      <c r="E128" s="76"/>
      <c r="H128" s="1"/>
      <c r="AC128" s="40"/>
      <c r="AD128" s="40"/>
    </row>
    <row r="129" spans="1:30" ht="15.75" thickBot="1" x14ac:dyDescent="0.3">
      <c r="B129" s="88" t="s">
        <v>1625</v>
      </c>
      <c r="C129" s="60"/>
      <c r="D129" s="60">
        <f>SUM(D124:D127)</f>
        <v>4756</v>
      </c>
      <c r="E129" s="79">
        <f>D129/D128</f>
        <v>0.2757261290509595</v>
      </c>
      <c r="H129" s="1"/>
      <c r="AC129" s="40"/>
      <c r="AD129" s="40"/>
    </row>
    <row r="130" spans="1:30" x14ac:dyDescent="0.25">
      <c r="B130" s="2"/>
      <c r="H130" s="1"/>
      <c r="AC130" s="40"/>
      <c r="AD130" s="40"/>
    </row>
    <row r="131" spans="1:30" x14ac:dyDescent="0.25">
      <c r="B131" s="2"/>
      <c r="H131" s="1"/>
      <c r="AC131" s="40"/>
      <c r="AD131" s="40"/>
    </row>
    <row r="132" spans="1:30" x14ac:dyDescent="0.25">
      <c r="B132" s="2"/>
      <c r="H132" s="1"/>
    </row>
    <row r="134" spans="1:30" x14ac:dyDescent="0.25">
      <c r="C134" s="5" t="s">
        <v>150</v>
      </c>
      <c r="D134" s="6" t="s">
        <v>91</v>
      </c>
      <c r="E134" s="6" t="s">
        <v>130</v>
      </c>
      <c r="F134" s="6"/>
      <c r="G134" s="7" t="s">
        <v>395</v>
      </c>
      <c r="I134" s="13" t="s">
        <v>124</v>
      </c>
      <c r="J134" s="14"/>
      <c r="K134" s="14"/>
      <c r="L134" s="14" t="s">
        <v>135</v>
      </c>
      <c r="M134" s="14" t="s">
        <v>378</v>
      </c>
      <c r="N134" s="15" t="s">
        <v>130</v>
      </c>
      <c r="P134" s="13"/>
      <c r="Q134" s="14"/>
      <c r="R134" s="14"/>
      <c r="S134" s="14"/>
      <c r="T134" s="15"/>
    </row>
    <row r="135" spans="1:30" x14ac:dyDescent="0.25">
      <c r="C135" s="8" t="s">
        <v>129</v>
      </c>
      <c r="D135" s="1">
        <f>SUM(M135:M137,T135:T137)</f>
        <v>3089.9047619047619</v>
      </c>
      <c r="E135">
        <f>SUM(D2:D127)</f>
        <v>17249</v>
      </c>
      <c r="G135" s="23">
        <f>E135/D135</f>
        <v>5.5823727037356674</v>
      </c>
      <c r="I135" s="8" t="s">
        <v>133</v>
      </c>
      <c r="L135">
        <f>COUNTIF(K2:K132,"&lt;3")+COUNTIF(R2:R132,"&lt;3")</f>
        <v>30</v>
      </c>
      <c r="M135" s="1">
        <f>SUMIF(K2:K132,"&lt;3",H2:H132)+SUMIF(R2:R132,"&lt;3",O2:O132)+SUMIF(X2:X132,"&lt;3",U2:U132)</f>
        <v>723</v>
      </c>
      <c r="N135" s="9">
        <f>SUMIF(K2:K132,"&lt;3",D2:D132)</f>
        <v>1417</v>
      </c>
      <c r="P135" s="8"/>
      <c r="T135" s="9"/>
    </row>
    <row r="136" spans="1:30" x14ac:dyDescent="0.25">
      <c r="C136" s="8" t="s">
        <v>125</v>
      </c>
      <c r="D136">
        <f>COUNT(D2:D121)</f>
        <v>120</v>
      </c>
      <c r="G136" s="23">
        <f>SUM(D2:D121)/SUM(H2:H120)</f>
        <v>4.3036203474352455</v>
      </c>
      <c r="I136" s="8" t="s">
        <v>132</v>
      </c>
      <c r="L136">
        <f>COUNTIF(K2:K132,"&lt;4")+COUNTIF(R2:R132,"&lt;4")-L135</f>
        <v>45</v>
      </c>
      <c r="M136" s="1">
        <f>SUMIF(K2:K132,"&lt;4",H2:H132)+SUMIF(R2:R132,"&lt;4",O2:O132)+SUMIF(X2:X132,"&lt;4",U2:U132)-M135</f>
        <v>740</v>
      </c>
      <c r="N136" s="9">
        <f>SUMIF(K2:K132,"&lt;4",D2:D132)-N135</f>
        <v>2485</v>
      </c>
      <c r="P136" s="8"/>
      <c r="T136" s="9"/>
    </row>
    <row r="137" spans="1:30" x14ac:dyDescent="0.25">
      <c r="C137" s="8" t="s">
        <v>386</v>
      </c>
      <c r="D137">
        <f>COUNTIF(E2:E121,"AOM5000")</f>
        <v>80</v>
      </c>
      <c r="E137">
        <f>SUMIF(E2:E121,"AOM5000",D2:D121)</f>
        <v>9504</v>
      </c>
      <c r="F137" t="s">
        <v>396</v>
      </c>
      <c r="G137" s="21">
        <f>AVERAGEIF(E2:E132,"AOM5000",F2:F132)</f>
        <v>18.109589041095891</v>
      </c>
      <c r="I137" s="8" t="s">
        <v>134</v>
      </c>
      <c r="L137">
        <f>COUNTIF(K2:K132,"&lt;5")+COUNTIF(R2:R132,"&lt;5")-L136-L135</f>
        <v>59</v>
      </c>
      <c r="M137" s="1">
        <f>SUMIF(K2:K132,"&lt;5",H2:H132)+SUMIF(R2:R132,"&lt;5",O2:O132)+SUMIF(X2:X132,"&lt;5",U2:U132)-M136-M135</f>
        <v>1626.9047619047619</v>
      </c>
      <c r="N137" s="9">
        <f>SUMIF(K2:K132,"&lt;5",D2:D132)-N136-N135</f>
        <v>7134</v>
      </c>
      <c r="P137" s="8"/>
      <c r="T137" s="9"/>
    </row>
    <row r="138" spans="1:30" x14ac:dyDescent="0.25">
      <c r="C138" s="8" t="s">
        <v>387</v>
      </c>
      <c r="D138">
        <f>COUNTIF(E2:E121,"AOM4000")</f>
        <v>28</v>
      </c>
      <c r="E138">
        <f>SUMIF(E2:E121,"AOM4000",D2:D121)</f>
        <v>2087</v>
      </c>
      <c r="F138" t="s">
        <v>397</v>
      </c>
      <c r="G138" s="21">
        <f>AVERAGEIF(E2:E132,"AOM4000",F2:F132)</f>
        <v>12.75</v>
      </c>
      <c r="I138" s="8" t="s">
        <v>1716</v>
      </c>
      <c r="L138">
        <f>COUNTIF(K2:K132,"&lt;7")+COUNTIF(R2:R132,"&lt;7")-L137-L136-L135</f>
        <v>9</v>
      </c>
      <c r="M138" s="1">
        <f>SUMIF(K3:K133,"&lt;7",H3:H133)+SUMIF(R3:R133,"&lt;7",O3:O133)+SUMIF(X3:X133,"&lt;7",U3:U133)-M137-M136-M135</f>
        <v>209</v>
      </c>
      <c r="N138" s="9">
        <f>SUMIF(K3:K133,"&lt;7",D3:D133)-N137-N136-N135</f>
        <v>1313</v>
      </c>
      <c r="P138" s="8"/>
      <c r="T138" s="9"/>
    </row>
    <row r="139" spans="1:30" x14ac:dyDescent="0.25">
      <c r="C139" s="8" t="s">
        <v>390</v>
      </c>
      <c r="D139" s="18">
        <f>D137/(D138+D137)*100</f>
        <v>74.074074074074076</v>
      </c>
      <c r="E139" s="18">
        <f>E137/(E138+E137)*100</f>
        <v>81.994651022344925</v>
      </c>
      <c r="G139" s="9"/>
      <c r="I139" s="8" t="s">
        <v>1698</v>
      </c>
      <c r="N139" s="9"/>
      <c r="P139" s="8"/>
      <c r="T139" s="9"/>
    </row>
    <row r="140" spans="1:30" x14ac:dyDescent="0.25">
      <c r="C140" s="16" t="s">
        <v>128</v>
      </c>
      <c r="D140" s="22">
        <f>D137/D136*100</f>
        <v>66.666666666666657</v>
      </c>
      <c r="E140" s="22">
        <f>E137/E135*100</f>
        <v>55.098846309931012</v>
      </c>
      <c r="F140" s="11"/>
      <c r="G140" s="12"/>
      <c r="I140" s="8" t="s">
        <v>136</v>
      </c>
      <c r="L140">
        <f>COUNTA(L2:L132)</f>
        <v>50</v>
      </c>
      <c r="N140" s="9"/>
      <c r="P140" s="8"/>
      <c r="T140" s="9"/>
    </row>
    <row r="141" spans="1:30" x14ac:dyDescent="0.25">
      <c r="F141" t="s">
        <v>388</v>
      </c>
      <c r="I141" s="10"/>
      <c r="J141" s="11"/>
      <c r="K141" s="11"/>
      <c r="L141" s="11"/>
      <c r="M141" s="11"/>
      <c r="N141" s="12"/>
      <c r="P141" s="10"/>
      <c r="Q141" s="11"/>
      <c r="R141" s="11"/>
      <c r="S141" s="11"/>
      <c r="T141" s="12"/>
    </row>
    <row r="142" spans="1:30" ht="15.75" thickBot="1" x14ac:dyDescent="0.3">
      <c r="B142" t="s">
        <v>544</v>
      </c>
      <c r="C142" s="5" t="s">
        <v>149</v>
      </c>
      <c r="D142" s="6" t="s">
        <v>135</v>
      </c>
      <c r="E142" s="7" t="s">
        <v>130</v>
      </c>
      <c r="F142" s="5" t="s">
        <v>93</v>
      </c>
      <c r="G142" s="7" t="s">
        <v>94</v>
      </c>
    </row>
    <row r="143" spans="1:30" x14ac:dyDescent="0.25">
      <c r="A143">
        <f t="shared" ref="A143:A165" si="10">COUNTIF($C$143:$C$174,C143)</f>
        <v>1</v>
      </c>
      <c r="B143" s="18">
        <f>E143/$E$135*100</f>
        <v>12.707983071482404</v>
      </c>
      <c r="C143" s="13" t="s">
        <v>1247</v>
      </c>
      <c r="D143" s="14">
        <f t="shared" ref="D143:D165" si="11">COUNTIF(C$2:C$132,C143)</f>
        <v>15</v>
      </c>
      <c r="E143" s="15">
        <f t="shared" ref="E143:E165" si="12">SUMIF(C$2:C$132,C143,D$2:D$132)</f>
        <v>2192</v>
      </c>
      <c r="F143" s="8">
        <f t="shared" ref="F143:F165" si="13">SUMIFS($D$2:$D$132,$C$2:$C$132,C143,$E$2:$E$132,$F$142)</f>
        <v>259</v>
      </c>
      <c r="G143" s="9">
        <f t="shared" ref="G143:G165" si="14">SUMIFS($D$2:$D$132,$C$2:$C$132,C143,$E$2:$E$132,$G$142)</f>
        <v>1306</v>
      </c>
      <c r="H143">
        <f>E143-F143-G143</f>
        <v>627</v>
      </c>
      <c r="I143" s="116" t="s">
        <v>376</v>
      </c>
      <c r="J143" s="119"/>
      <c r="K143" s="117" t="s">
        <v>377</v>
      </c>
      <c r="M143" s="116" t="s">
        <v>376</v>
      </c>
      <c r="N143" s="74"/>
    </row>
    <row r="144" spans="1:30" x14ac:dyDescent="0.25">
      <c r="A144">
        <f t="shared" si="10"/>
        <v>1</v>
      </c>
      <c r="B144" s="18">
        <f t="shared" ref="B144:B165" si="15">E144/$E$135*100</f>
        <v>7.7163893559046901</v>
      </c>
      <c r="C144" s="8" t="s">
        <v>142</v>
      </c>
      <c r="D144">
        <f t="shared" si="11"/>
        <v>15</v>
      </c>
      <c r="E144" s="9">
        <f t="shared" si="12"/>
        <v>1331</v>
      </c>
      <c r="F144" s="8">
        <f t="shared" si="13"/>
        <v>981</v>
      </c>
      <c r="G144" s="9">
        <f t="shared" si="14"/>
        <v>350</v>
      </c>
      <c r="H144">
        <f>E144-F144-G144</f>
        <v>0</v>
      </c>
      <c r="I144" s="77" t="s">
        <v>244</v>
      </c>
      <c r="K144" s="120">
        <f t="shared" ref="K144:K166" si="16">SUMIF(I$2:I$132,I144,H$2:H$132)+SUMIF(P$2:P$132,I144,O$2:O$132)+SUMIF(V$2:V$132,I144,U$2:U$132)</f>
        <v>1</v>
      </c>
      <c r="M144" s="77" t="s">
        <v>948</v>
      </c>
      <c r="N144" s="81">
        <f>SUMIF(I$2:I$132,M144&amp;"*",H$2:H$132)+SUMIF(P$2:P$132,M144&amp;"*",O$2:O$132)+SUMIF(V$2:V$132,M144&amp;"*",U$2:U$132)</f>
        <v>1</v>
      </c>
    </row>
    <row r="145" spans="1:14" x14ac:dyDescent="0.25">
      <c r="A145">
        <f t="shared" si="10"/>
        <v>1</v>
      </c>
      <c r="B145" s="18">
        <f t="shared" si="15"/>
        <v>1.4783465708156993</v>
      </c>
      <c r="C145" s="8" t="s">
        <v>605</v>
      </c>
      <c r="D145">
        <f t="shared" si="11"/>
        <v>3</v>
      </c>
      <c r="E145" s="9">
        <f t="shared" si="12"/>
        <v>255</v>
      </c>
      <c r="F145" s="8">
        <f t="shared" si="13"/>
        <v>0</v>
      </c>
      <c r="G145" s="9">
        <f t="shared" si="14"/>
        <v>116</v>
      </c>
      <c r="H145">
        <f t="shared" ref="H145:H165" si="17">E145-F145-G145</f>
        <v>139</v>
      </c>
      <c r="I145" s="77" t="s">
        <v>113</v>
      </c>
      <c r="K145" s="120">
        <f t="shared" si="16"/>
        <v>124</v>
      </c>
      <c r="M145" s="77" t="s">
        <v>949</v>
      </c>
      <c r="N145" s="81">
        <f t="shared" ref="N145:N155" si="18">SUMIF(I$2:I$132,M145&amp;"*",H$2:H$132)+SUMIF(P$2:P$132,M145&amp;"*",O$2:O$132)+SUMIF(V$2:V$132,M145&amp;"*",U$2:U$132)</f>
        <v>124</v>
      </c>
    </row>
    <row r="146" spans="1:14" x14ac:dyDescent="0.25">
      <c r="A146">
        <f t="shared" si="10"/>
        <v>1</v>
      </c>
      <c r="B146" s="18">
        <f t="shared" si="15"/>
        <v>0.74786944170676561</v>
      </c>
      <c r="C146" s="8" t="s">
        <v>138</v>
      </c>
      <c r="D146">
        <f t="shared" si="11"/>
        <v>5</v>
      </c>
      <c r="E146" s="9">
        <f t="shared" si="12"/>
        <v>129</v>
      </c>
      <c r="F146" s="8">
        <f t="shared" si="13"/>
        <v>68</v>
      </c>
      <c r="G146" s="9">
        <f t="shared" si="14"/>
        <v>61</v>
      </c>
      <c r="H146">
        <f t="shared" si="17"/>
        <v>0</v>
      </c>
      <c r="I146" s="77" t="s">
        <v>114</v>
      </c>
      <c r="K146" s="120">
        <f t="shared" si="16"/>
        <v>127</v>
      </c>
      <c r="M146" s="77" t="s">
        <v>950</v>
      </c>
      <c r="N146" s="81">
        <f t="shared" si="18"/>
        <v>138</v>
      </c>
    </row>
    <row r="147" spans="1:14" x14ac:dyDescent="0.25">
      <c r="A147">
        <f t="shared" si="10"/>
        <v>1</v>
      </c>
      <c r="B147" s="18">
        <f t="shared" si="15"/>
        <v>9.8556438054379955E-2</v>
      </c>
      <c r="C147" s="8" t="s">
        <v>137</v>
      </c>
      <c r="D147">
        <f t="shared" si="11"/>
        <v>1</v>
      </c>
      <c r="E147" s="9">
        <f t="shared" si="12"/>
        <v>17</v>
      </c>
      <c r="F147" s="8">
        <f t="shared" si="13"/>
        <v>0</v>
      </c>
      <c r="G147" s="9">
        <f t="shared" si="14"/>
        <v>0</v>
      </c>
      <c r="H147">
        <f t="shared" si="17"/>
        <v>17</v>
      </c>
      <c r="I147" s="77" t="s">
        <v>781</v>
      </c>
      <c r="K147" s="120">
        <f t="shared" si="16"/>
        <v>11</v>
      </c>
      <c r="M147" s="77" t="s">
        <v>951</v>
      </c>
      <c r="N147" s="81">
        <f t="shared" si="18"/>
        <v>278</v>
      </c>
    </row>
    <row r="148" spans="1:14" x14ac:dyDescent="0.25">
      <c r="A148">
        <f t="shared" si="10"/>
        <v>1</v>
      </c>
      <c r="B148" s="18">
        <f t="shared" si="15"/>
        <v>2.492898139022552</v>
      </c>
      <c r="C148" s="8" t="s">
        <v>140</v>
      </c>
      <c r="D148">
        <f t="shared" si="11"/>
        <v>4</v>
      </c>
      <c r="E148" s="9">
        <f t="shared" si="12"/>
        <v>430</v>
      </c>
      <c r="F148" s="8">
        <f t="shared" si="13"/>
        <v>0</v>
      </c>
      <c r="G148" s="9">
        <f t="shared" si="14"/>
        <v>430</v>
      </c>
      <c r="H148">
        <f t="shared" si="17"/>
        <v>0</v>
      </c>
      <c r="I148" s="77" t="s">
        <v>110</v>
      </c>
      <c r="K148" s="120">
        <f t="shared" si="16"/>
        <v>215</v>
      </c>
      <c r="M148" s="77" t="s">
        <v>952</v>
      </c>
      <c r="N148" s="81">
        <f t="shared" si="18"/>
        <v>34</v>
      </c>
    </row>
    <row r="149" spans="1:14" x14ac:dyDescent="0.25">
      <c r="A149">
        <f t="shared" si="10"/>
        <v>1</v>
      </c>
      <c r="B149" s="18">
        <f t="shared" si="15"/>
        <v>0.87541306742419855</v>
      </c>
      <c r="C149" s="8" t="s">
        <v>45</v>
      </c>
      <c r="D149">
        <f t="shared" si="11"/>
        <v>1</v>
      </c>
      <c r="E149" s="9">
        <f t="shared" si="12"/>
        <v>151</v>
      </c>
      <c r="F149" s="8">
        <f t="shared" si="13"/>
        <v>151</v>
      </c>
      <c r="G149" s="9">
        <f t="shared" si="14"/>
        <v>0</v>
      </c>
      <c r="H149">
        <f t="shared" si="17"/>
        <v>0</v>
      </c>
      <c r="I149" s="77" t="s">
        <v>119</v>
      </c>
      <c r="K149" s="120">
        <f t="shared" si="16"/>
        <v>63</v>
      </c>
      <c r="M149" s="77" t="s">
        <v>954</v>
      </c>
      <c r="N149" s="81">
        <f t="shared" si="18"/>
        <v>199</v>
      </c>
    </row>
    <row r="150" spans="1:14" x14ac:dyDescent="0.25">
      <c r="A150">
        <f t="shared" si="10"/>
        <v>1</v>
      </c>
      <c r="B150" s="18">
        <f t="shared" si="15"/>
        <v>1.7682184474462288</v>
      </c>
      <c r="C150" s="8" t="s">
        <v>146</v>
      </c>
      <c r="D150">
        <f t="shared" si="11"/>
        <v>8</v>
      </c>
      <c r="E150" s="9">
        <f t="shared" si="12"/>
        <v>305</v>
      </c>
      <c r="F150" s="8">
        <f t="shared" si="13"/>
        <v>66</v>
      </c>
      <c r="G150" s="9">
        <f t="shared" si="14"/>
        <v>239</v>
      </c>
      <c r="H150">
        <f t="shared" si="17"/>
        <v>0</v>
      </c>
      <c r="I150" s="77" t="s">
        <v>112</v>
      </c>
      <c r="K150" s="120">
        <f t="shared" si="16"/>
        <v>34</v>
      </c>
      <c r="M150" s="77" t="s">
        <v>955</v>
      </c>
      <c r="N150" s="81">
        <f t="shared" si="18"/>
        <v>320</v>
      </c>
    </row>
    <row r="151" spans="1:14" x14ac:dyDescent="0.25">
      <c r="A151">
        <f t="shared" si="10"/>
        <v>1</v>
      </c>
      <c r="B151" s="18">
        <f t="shared" si="15"/>
        <v>3.0378572670879471</v>
      </c>
      <c r="C151" s="8" t="s">
        <v>1328</v>
      </c>
      <c r="D151">
        <f t="shared" si="11"/>
        <v>2</v>
      </c>
      <c r="E151" s="9">
        <f t="shared" si="12"/>
        <v>524</v>
      </c>
      <c r="F151" s="8">
        <f t="shared" si="13"/>
        <v>0</v>
      </c>
      <c r="G151" s="9">
        <f t="shared" si="14"/>
        <v>524</v>
      </c>
      <c r="H151">
        <f t="shared" si="17"/>
        <v>0</v>
      </c>
      <c r="I151" s="77" t="s">
        <v>115</v>
      </c>
      <c r="K151" s="120">
        <f t="shared" si="16"/>
        <v>33</v>
      </c>
      <c r="M151" s="77" t="s">
        <v>956</v>
      </c>
      <c r="N151" s="81">
        <f t="shared" si="18"/>
        <v>213</v>
      </c>
    </row>
    <row r="152" spans="1:14" x14ac:dyDescent="0.25">
      <c r="A152">
        <f t="shared" si="10"/>
        <v>1</v>
      </c>
      <c r="B152" s="18">
        <f t="shared" si="15"/>
        <v>0.62612325352194331</v>
      </c>
      <c r="C152" s="8" t="s">
        <v>34</v>
      </c>
      <c r="D152">
        <f t="shared" si="11"/>
        <v>1</v>
      </c>
      <c r="E152" s="9">
        <f t="shared" si="12"/>
        <v>108</v>
      </c>
      <c r="F152" s="8">
        <f t="shared" si="13"/>
        <v>0</v>
      </c>
      <c r="G152" s="9">
        <f t="shared" si="14"/>
        <v>108</v>
      </c>
      <c r="H152">
        <f t="shared" si="17"/>
        <v>0</v>
      </c>
      <c r="I152" s="77" t="s">
        <v>1156</v>
      </c>
      <c r="K152" s="120">
        <f t="shared" si="16"/>
        <v>166</v>
      </c>
      <c r="M152" s="77" t="s">
        <v>957</v>
      </c>
      <c r="N152" s="81">
        <f t="shared" si="18"/>
        <v>496</v>
      </c>
    </row>
    <row r="153" spans="1:14" x14ac:dyDescent="0.25">
      <c r="A153">
        <f t="shared" si="10"/>
        <v>1</v>
      </c>
      <c r="B153" s="18">
        <f t="shared" si="15"/>
        <v>4.1799524610122329</v>
      </c>
      <c r="C153" s="8" t="s">
        <v>144</v>
      </c>
      <c r="D153">
        <f t="shared" si="11"/>
        <v>4</v>
      </c>
      <c r="E153" s="9">
        <f t="shared" si="12"/>
        <v>721</v>
      </c>
      <c r="F153" s="8">
        <f t="shared" si="13"/>
        <v>0</v>
      </c>
      <c r="G153" s="9">
        <f t="shared" si="14"/>
        <v>721</v>
      </c>
      <c r="H153">
        <f t="shared" si="17"/>
        <v>0</v>
      </c>
      <c r="I153" s="77" t="s">
        <v>574</v>
      </c>
      <c r="K153" s="120">
        <f t="shared" si="16"/>
        <v>320</v>
      </c>
      <c r="M153" s="77" t="s">
        <v>958</v>
      </c>
      <c r="N153" s="81">
        <f t="shared" si="18"/>
        <v>1167.9047619047619</v>
      </c>
    </row>
    <row r="154" spans="1:14" x14ac:dyDescent="0.25">
      <c r="A154">
        <f t="shared" si="10"/>
        <v>1</v>
      </c>
      <c r="B154" s="18">
        <f t="shared" si="15"/>
        <v>0.46379500260884693</v>
      </c>
      <c r="C154" s="8" t="s">
        <v>139</v>
      </c>
      <c r="D154">
        <f t="shared" si="11"/>
        <v>1</v>
      </c>
      <c r="E154" s="9">
        <f t="shared" si="12"/>
        <v>80</v>
      </c>
      <c r="F154" s="8">
        <f t="shared" si="13"/>
        <v>0</v>
      </c>
      <c r="G154" s="9">
        <f t="shared" si="14"/>
        <v>80</v>
      </c>
      <c r="H154">
        <f t="shared" si="17"/>
        <v>0</v>
      </c>
      <c r="I154" s="77" t="s">
        <v>109</v>
      </c>
      <c r="K154" s="120">
        <f t="shared" si="16"/>
        <v>99</v>
      </c>
      <c r="M154" s="77" t="s">
        <v>1626</v>
      </c>
      <c r="N154" s="81">
        <f t="shared" si="18"/>
        <v>141</v>
      </c>
    </row>
    <row r="155" spans="1:14" ht="15.75" thickBot="1" x14ac:dyDescent="0.3">
      <c r="A155">
        <f t="shared" si="10"/>
        <v>1</v>
      </c>
      <c r="B155" s="18">
        <f t="shared" si="15"/>
        <v>8.1048176705895987</v>
      </c>
      <c r="C155" s="8" t="s">
        <v>141</v>
      </c>
      <c r="D155">
        <f t="shared" si="11"/>
        <v>4</v>
      </c>
      <c r="E155" s="9">
        <f t="shared" si="12"/>
        <v>1398</v>
      </c>
      <c r="F155" s="8">
        <f t="shared" si="13"/>
        <v>0</v>
      </c>
      <c r="G155" s="9">
        <f t="shared" si="14"/>
        <v>1398</v>
      </c>
      <c r="H155">
        <f t="shared" si="17"/>
        <v>0</v>
      </c>
      <c r="I155" s="77" t="s">
        <v>1364</v>
      </c>
      <c r="K155" s="120">
        <f t="shared" si="16"/>
        <v>114</v>
      </c>
      <c r="M155" s="118" t="s">
        <v>1627</v>
      </c>
      <c r="N155" s="135">
        <f t="shared" si="18"/>
        <v>217</v>
      </c>
    </row>
    <row r="156" spans="1:14" x14ac:dyDescent="0.25">
      <c r="A156">
        <f t="shared" si="10"/>
        <v>1</v>
      </c>
      <c r="B156" s="18">
        <f t="shared" si="15"/>
        <v>0.63192069105455395</v>
      </c>
      <c r="C156" s="8" t="s">
        <v>42</v>
      </c>
      <c r="D156">
        <f t="shared" si="11"/>
        <v>1</v>
      </c>
      <c r="E156" s="9">
        <f t="shared" si="12"/>
        <v>109</v>
      </c>
      <c r="F156" s="8">
        <f t="shared" si="13"/>
        <v>0</v>
      </c>
      <c r="G156" s="9">
        <f t="shared" si="14"/>
        <v>109</v>
      </c>
      <c r="H156">
        <f t="shared" si="17"/>
        <v>0</v>
      </c>
      <c r="I156" s="77" t="s">
        <v>108</v>
      </c>
      <c r="K156" s="120">
        <f t="shared" si="16"/>
        <v>274</v>
      </c>
    </row>
    <row r="157" spans="1:14" x14ac:dyDescent="0.25">
      <c r="A157">
        <f t="shared" si="10"/>
        <v>1</v>
      </c>
      <c r="B157" s="18">
        <f t="shared" si="15"/>
        <v>1.4609542582178676</v>
      </c>
      <c r="C157" s="8" t="s">
        <v>1329</v>
      </c>
      <c r="D157">
        <f t="shared" si="11"/>
        <v>1</v>
      </c>
      <c r="E157" s="9">
        <f t="shared" si="12"/>
        <v>252</v>
      </c>
      <c r="F157" s="8">
        <f t="shared" si="13"/>
        <v>252</v>
      </c>
      <c r="G157" s="9">
        <f t="shared" si="14"/>
        <v>0</v>
      </c>
      <c r="H157">
        <f t="shared" si="17"/>
        <v>0</v>
      </c>
      <c r="I157" s="77" t="s">
        <v>118</v>
      </c>
      <c r="K157" s="120">
        <f t="shared" si="16"/>
        <v>1</v>
      </c>
    </row>
    <row r="158" spans="1:14" x14ac:dyDescent="0.25">
      <c r="A158">
        <f t="shared" si="10"/>
        <v>1</v>
      </c>
      <c r="B158" s="18">
        <f t="shared" si="15"/>
        <v>0.3652385645544669</v>
      </c>
      <c r="C158" s="8" t="s">
        <v>162</v>
      </c>
      <c r="D158">
        <f t="shared" si="11"/>
        <v>1</v>
      </c>
      <c r="E158" s="9">
        <f t="shared" si="12"/>
        <v>63</v>
      </c>
      <c r="F158" s="8">
        <f t="shared" si="13"/>
        <v>0</v>
      </c>
      <c r="G158" s="9">
        <f t="shared" si="14"/>
        <v>63</v>
      </c>
      <c r="H158">
        <f t="shared" si="17"/>
        <v>0</v>
      </c>
      <c r="I158" s="77" t="s">
        <v>121</v>
      </c>
      <c r="K158" s="120">
        <f t="shared" si="16"/>
        <v>221</v>
      </c>
    </row>
    <row r="159" spans="1:14" x14ac:dyDescent="0.25">
      <c r="A159">
        <f t="shared" si="10"/>
        <v>1</v>
      </c>
      <c r="B159" s="18">
        <f t="shared" si="15"/>
        <v>4.6379500260884686E-2</v>
      </c>
      <c r="C159" s="8" t="s">
        <v>852</v>
      </c>
      <c r="D159">
        <f t="shared" si="11"/>
        <v>1</v>
      </c>
      <c r="E159" s="9">
        <f t="shared" si="12"/>
        <v>8</v>
      </c>
      <c r="F159" s="8">
        <f t="shared" si="13"/>
        <v>8</v>
      </c>
      <c r="G159" s="9">
        <f t="shared" si="14"/>
        <v>0</v>
      </c>
      <c r="H159">
        <f t="shared" si="17"/>
        <v>0</v>
      </c>
      <c r="I159" s="77" t="s">
        <v>619</v>
      </c>
      <c r="K159" s="120">
        <f t="shared" si="16"/>
        <v>1025.9047619047619</v>
      </c>
    </row>
    <row r="160" spans="1:14" x14ac:dyDescent="0.25">
      <c r="A160">
        <f t="shared" si="10"/>
        <v>1</v>
      </c>
      <c r="B160" s="18">
        <f t="shared" si="15"/>
        <v>1.0609310684677373</v>
      </c>
      <c r="C160" s="8" t="s">
        <v>206</v>
      </c>
      <c r="D160">
        <f t="shared" si="11"/>
        <v>3</v>
      </c>
      <c r="E160" s="9">
        <f t="shared" si="12"/>
        <v>183</v>
      </c>
      <c r="F160" s="8">
        <f t="shared" si="13"/>
        <v>0</v>
      </c>
      <c r="G160" s="9">
        <f t="shared" si="14"/>
        <v>183</v>
      </c>
      <c r="H160">
        <f t="shared" si="17"/>
        <v>0</v>
      </c>
      <c r="I160" s="77" t="s">
        <v>1401</v>
      </c>
      <c r="K160" s="120">
        <f t="shared" si="16"/>
        <v>29</v>
      </c>
    </row>
    <row r="161" spans="1:13" x14ac:dyDescent="0.25">
      <c r="A161">
        <f t="shared" si="10"/>
        <v>1</v>
      </c>
      <c r="B161" s="18">
        <f t="shared" si="15"/>
        <v>5.3220476549365179</v>
      </c>
      <c r="C161" s="8" t="s">
        <v>175</v>
      </c>
      <c r="D161">
        <f t="shared" si="11"/>
        <v>14</v>
      </c>
      <c r="E161" s="9">
        <f t="shared" si="12"/>
        <v>918</v>
      </c>
      <c r="F161" s="8">
        <f t="shared" si="13"/>
        <v>29</v>
      </c>
      <c r="G161" s="9">
        <f t="shared" si="14"/>
        <v>889</v>
      </c>
      <c r="H161">
        <f t="shared" si="17"/>
        <v>0</v>
      </c>
      <c r="I161" s="77" t="s">
        <v>1400</v>
      </c>
      <c r="K161" s="120">
        <f t="shared" si="16"/>
        <v>91</v>
      </c>
    </row>
    <row r="162" spans="1:13" x14ac:dyDescent="0.25">
      <c r="A162">
        <f t="shared" si="10"/>
        <v>1</v>
      </c>
      <c r="B162" s="18">
        <f t="shared" si="15"/>
        <v>1.0841208185981797</v>
      </c>
      <c r="C162" s="8" t="s">
        <v>148</v>
      </c>
      <c r="D162">
        <f t="shared" si="11"/>
        <v>2</v>
      </c>
      <c r="E162" s="9">
        <f t="shared" si="12"/>
        <v>187</v>
      </c>
      <c r="F162" s="8">
        <f t="shared" si="13"/>
        <v>43</v>
      </c>
      <c r="G162" s="9">
        <f t="shared" si="14"/>
        <v>144</v>
      </c>
      <c r="H162">
        <f t="shared" si="17"/>
        <v>0</v>
      </c>
      <c r="I162" s="77" t="s">
        <v>1234</v>
      </c>
      <c r="K162" s="120">
        <f t="shared" si="16"/>
        <v>22</v>
      </c>
    </row>
    <row r="163" spans="1:13" x14ac:dyDescent="0.25">
      <c r="A163">
        <f t="shared" si="10"/>
        <v>1</v>
      </c>
      <c r="B163" s="18">
        <f t="shared" si="15"/>
        <v>0.46959244014145751</v>
      </c>
      <c r="C163" s="8" t="s">
        <v>166</v>
      </c>
      <c r="D163">
        <f t="shared" si="11"/>
        <v>2</v>
      </c>
      <c r="E163" s="9">
        <f t="shared" si="12"/>
        <v>81</v>
      </c>
      <c r="F163" s="8">
        <f t="shared" si="13"/>
        <v>0</v>
      </c>
      <c r="G163" s="9">
        <f t="shared" si="14"/>
        <v>0</v>
      </c>
      <c r="H163">
        <f t="shared" si="17"/>
        <v>81</v>
      </c>
      <c r="I163" s="77" t="s">
        <v>1357</v>
      </c>
      <c r="K163" s="120">
        <f t="shared" si="16"/>
        <v>141</v>
      </c>
    </row>
    <row r="164" spans="1:13" x14ac:dyDescent="0.25">
      <c r="A164">
        <f t="shared" si="10"/>
        <v>1</v>
      </c>
      <c r="B164" s="18">
        <f t="shared" si="15"/>
        <v>3.3509188938489185</v>
      </c>
      <c r="C164" s="8" t="s">
        <v>165</v>
      </c>
      <c r="D164">
        <f t="shared" si="11"/>
        <v>4</v>
      </c>
      <c r="E164" s="9">
        <f t="shared" si="12"/>
        <v>578</v>
      </c>
      <c r="F164" s="8">
        <f t="shared" si="13"/>
        <v>0</v>
      </c>
      <c r="G164" s="9">
        <f t="shared" si="14"/>
        <v>540</v>
      </c>
      <c r="H164">
        <f t="shared" si="17"/>
        <v>38</v>
      </c>
      <c r="I164" s="77" t="s">
        <v>1220</v>
      </c>
      <c r="K164" s="120">
        <f t="shared" si="16"/>
        <v>179</v>
      </c>
    </row>
    <row r="165" spans="1:13" x14ac:dyDescent="0.25">
      <c r="A165">
        <f t="shared" si="10"/>
        <v>1</v>
      </c>
      <c r="B165" s="18">
        <f t="shared" si="15"/>
        <v>2.77117514058786</v>
      </c>
      <c r="C165" s="8" t="s">
        <v>143</v>
      </c>
      <c r="D165">
        <f t="shared" si="11"/>
        <v>2</v>
      </c>
      <c r="E165" s="9">
        <f t="shared" si="12"/>
        <v>478</v>
      </c>
      <c r="F165" s="8">
        <f t="shared" si="13"/>
        <v>0</v>
      </c>
      <c r="G165" s="9">
        <f t="shared" si="14"/>
        <v>478</v>
      </c>
      <c r="H165">
        <f t="shared" si="17"/>
        <v>0</v>
      </c>
      <c r="I165" s="136" t="s">
        <v>1404</v>
      </c>
      <c r="J165" s="11"/>
      <c r="K165" s="137">
        <f t="shared" si="16"/>
        <v>38</v>
      </c>
    </row>
    <row r="166" spans="1:13" x14ac:dyDescent="0.25">
      <c r="A166">
        <f>COUNTIF($C$143:$C$174,C166)</f>
        <v>1</v>
      </c>
      <c r="B166" s="18">
        <f t="shared" ref="B166:B171" si="19">E166/$E$135*100</f>
        <v>3.8552959591860398</v>
      </c>
      <c r="C166" s="8" t="s">
        <v>161</v>
      </c>
      <c r="D166">
        <f>COUNTIF(C$2:C$132,C166)</f>
        <v>11</v>
      </c>
      <c r="E166" s="9">
        <f>SUMIF(C$2:C$132,C166,D$2:D$132)</f>
        <v>665</v>
      </c>
      <c r="F166" s="8">
        <f>SUMIFS($D$2:$D$132,$C$2:$C$132,C166,$E$2:$E$132,$F$142)</f>
        <v>184</v>
      </c>
      <c r="G166" s="9">
        <f>SUMIFS($D$2:$D$132,$C$2:$C$132,C166,$E$2:$E$132,$G$142)</f>
        <v>481</v>
      </c>
      <c r="H166">
        <f>E166-F166-G166</f>
        <v>0</v>
      </c>
      <c r="I166" s="77" t="s">
        <v>1419</v>
      </c>
      <c r="K166" s="120">
        <f t="shared" si="16"/>
        <v>0</v>
      </c>
    </row>
    <row r="167" spans="1:13" ht="15.75" thickBot="1" x14ac:dyDescent="0.3">
      <c r="A167">
        <f>COUNTIF($C$143:$C$174,C167)</f>
        <v>1</v>
      </c>
      <c r="B167" s="18">
        <f t="shared" si="19"/>
        <v>0.88700794248941972</v>
      </c>
      <c r="C167" s="8" t="s">
        <v>163</v>
      </c>
      <c r="D167">
        <f>COUNTIF(C$2:C$132,C167)</f>
        <v>3</v>
      </c>
      <c r="E167" s="9">
        <f>SUMIF(C$2:C$132,C167,D$2:D$132)</f>
        <v>153</v>
      </c>
      <c r="F167" s="8">
        <f>SUMIFS($D$2:$D$132,$C$2:$C$132,C167,$E$2:$E$132,$F$142)</f>
        <v>0</v>
      </c>
      <c r="G167" s="9">
        <f>SUMIFS($D$2:$D$132,$C$2:$C$132,C167,$E$2:$E$132,$G$142)</f>
        <v>153</v>
      </c>
      <c r="H167">
        <f>E167-F167-G167</f>
        <v>0</v>
      </c>
      <c r="I167" s="118"/>
      <c r="J167" s="60"/>
      <c r="K167" s="122">
        <f>SUM(K144:K166)</f>
        <v>3328.9047619047619</v>
      </c>
    </row>
    <row r="168" spans="1:13" x14ac:dyDescent="0.25">
      <c r="A168">
        <f>COUNTIF($C$143:$C$174,C168)</f>
        <v>1</v>
      </c>
      <c r="B168" s="18">
        <f t="shared" si="19"/>
        <v>2.6204417647399851</v>
      </c>
      <c r="C168" s="8" t="s">
        <v>318</v>
      </c>
      <c r="D168">
        <f>COUNTIF(C$2:C$132,C168)</f>
        <v>5</v>
      </c>
      <c r="E168" s="9">
        <f>SUMIF(C$2:C$132,C168,D$2:D$132)</f>
        <v>452</v>
      </c>
      <c r="F168" s="8">
        <f>SUMIFS($D$2:$D$132,$C$2:$C$132,C168,$E$2:$E$132,$F$142)</f>
        <v>0</v>
      </c>
      <c r="G168" s="9">
        <f>SUMIFS($D$2:$D$132,$C$2:$C$132,C168,$E$2:$E$132,$G$142)</f>
        <v>452</v>
      </c>
      <c r="H168">
        <f>E168-F168-G168</f>
        <v>0</v>
      </c>
      <c r="M168" s="17">
        <f>K167-SUM(H2:H64)-SUM(O2:O128)-SUM(U2:U64)</f>
        <v>1494</v>
      </c>
    </row>
    <row r="169" spans="1:13" x14ac:dyDescent="0.25">
      <c r="A169">
        <f>COUNTIF($C$143:$C$174,C169)</f>
        <v>1</v>
      </c>
      <c r="B169" s="18">
        <f t="shared" si="19"/>
        <v>4.2031422111426746</v>
      </c>
      <c r="C169" s="10" t="s">
        <v>527</v>
      </c>
      <c r="D169" s="11">
        <f>COUNTIF(C$2:C$132,C169)</f>
        <v>6</v>
      </c>
      <c r="E169" s="12">
        <f>SUMIF(C$2:C$132,C169,D$2:D$132)</f>
        <v>725</v>
      </c>
      <c r="F169" s="8">
        <f>SUMIFS($D$2:$D$132,$C$2:$C$132,C169,$E$2:$E$132,$F$142)</f>
        <v>46</v>
      </c>
      <c r="G169" s="9">
        <f>SUMIFS($D$2:$D$132,$C$2:$C$132,C169,$E$2:$E$132,$G$142)</f>
        <v>679</v>
      </c>
      <c r="H169">
        <f>E169-F169-G169</f>
        <v>0</v>
      </c>
    </row>
    <row r="170" spans="1:13" x14ac:dyDescent="0.25">
      <c r="B170" s="18">
        <f t="shared" si="19"/>
        <v>72.427387094904049</v>
      </c>
      <c r="C170" s="8"/>
      <c r="E170" s="9">
        <f>SUM(E143:E169)</f>
        <v>12493</v>
      </c>
      <c r="F170" s="13">
        <f>SUM(F143:F169)</f>
        <v>2087</v>
      </c>
      <c r="G170" s="15">
        <f>SUM(G143:G169)</f>
        <v>9504</v>
      </c>
    </row>
    <row r="171" spans="1:13" x14ac:dyDescent="0.25">
      <c r="B171" s="18">
        <f t="shared" si="19"/>
        <v>27.572612905095951</v>
      </c>
      <c r="C171" s="10" t="s">
        <v>1636</v>
      </c>
      <c r="D171" s="11"/>
      <c r="E171" s="12">
        <f>E135-E170</f>
        <v>4756</v>
      </c>
      <c r="F171" s="10" t="s">
        <v>389</v>
      </c>
      <c r="G171" s="12">
        <f>E135-F170-G170</f>
        <v>5658</v>
      </c>
    </row>
    <row r="172" spans="1:13" x14ac:dyDescent="0.25">
      <c r="B172" s="18"/>
    </row>
    <row r="173" spans="1:13" x14ac:dyDescent="0.25">
      <c r="B173" s="18"/>
    </row>
    <row r="174" spans="1:13" x14ac:dyDescent="0.25">
      <c r="B174" s="18"/>
    </row>
    <row r="178" spans="2:7" x14ac:dyDescent="0.25">
      <c r="C178" s="13"/>
      <c r="D178" s="14" t="s">
        <v>93</v>
      </c>
      <c r="E178" s="15" t="s">
        <v>94</v>
      </c>
    </row>
    <row r="179" spans="2:7" x14ac:dyDescent="0.25">
      <c r="C179" s="8" t="s">
        <v>402</v>
      </c>
      <c r="D179">
        <f>SUMIFS($D$2:$D$121,$E$2:$E$121,D$178,$F$2:$F$121,"&lt;5.1")</f>
        <v>993</v>
      </c>
      <c r="E179" s="9">
        <f>SUMIFS($D$2:$D$121,$E$2:$E$121,E$178,$F$2:$F$121,"&lt;5.1")</f>
        <v>399</v>
      </c>
      <c r="F179" s="3">
        <f>SUMIFS(D2:D121,E2:E121,E178,F2:F121,"&lt;5,1")</f>
        <v>0</v>
      </c>
      <c r="G179" s="3"/>
    </row>
    <row r="180" spans="2:7" x14ac:dyDescent="0.25">
      <c r="C180" s="29" t="s">
        <v>403</v>
      </c>
      <c r="D180">
        <f>SUMIFS($D$2:$D$121,$E$2:$E$121,D$178,$F$2:$F$121,"&lt;10.1")-D179</f>
        <v>327</v>
      </c>
      <c r="E180" s="9">
        <f>SUMIFS($D$2:$D$121,$E$2:$E$121,E$178,$F$2:$F$121,"&lt;10.1")-E179</f>
        <v>1615</v>
      </c>
      <c r="G180" s="18"/>
    </row>
    <row r="181" spans="2:7" x14ac:dyDescent="0.25">
      <c r="C181" s="29" t="s">
        <v>404</v>
      </c>
      <c r="D181">
        <f>SUMIFS($D$2:$D$132,$E$2:$E$132,D$178,$F$2:$F$132,"&lt;15.1")-D180-D179</f>
        <v>46</v>
      </c>
      <c r="E181" s="9">
        <f>SUMIFS($D$2:$D$121,$E$2:$E$121,E$178,$F$2:$F$121,"&lt;15.1")-E180-E179</f>
        <v>1189</v>
      </c>
    </row>
    <row r="182" spans="2:7" x14ac:dyDescent="0.25">
      <c r="C182" s="29" t="s">
        <v>102</v>
      </c>
      <c r="D182">
        <f>SUMIFS($D$2:$D$132,$E$2:$E$132,D$178,$F$2:$F$132,"&lt;20.1")-D181-D180-D179</f>
        <v>653</v>
      </c>
      <c r="E182" s="9">
        <f>SUMIFS($D$2:$D$121,$E$2:$E$121,E$178,$F$2:$F$121,"&lt;20.1")-E181-E180-E179</f>
        <v>3255</v>
      </c>
      <c r="G182" s="18"/>
    </row>
    <row r="183" spans="2:7" x14ac:dyDescent="0.25">
      <c r="C183" s="8" t="s">
        <v>405</v>
      </c>
      <c r="D183">
        <f>SUMIFS($D$2:$D$132,$E$2:$E$132,D$178,$F$2:$F$132,"&lt;40.1")-D182-D181-D180-D179</f>
        <v>68</v>
      </c>
      <c r="E183" s="9">
        <f>SUMIFS($D$2:$D$121,$E$2:$E$121,E$178,$F$2:$F$121,"&lt;40.1")-E182-E181-E180-E179</f>
        <v>2125</v>
      </c>
      <c r="G183" s="18"/>
    </row>
    <row r="184" spans="2:7" x14ac:dyDescent="0.25">
      <c r="C184" s="10" t="s">
        <v>406</v>
      </c>
      <c r="D184" s="11">
        <f>E138-SUM(D179:D183)</f>
        <v>0</v>
      </c>
      <c r="E184" s="12">
        <f>E137-SUM(E179:E183)</f>
        <v>921</v>
      </c>
    </row>
    <row r="185" spans="2:7" x14ac:dyDescent="0.25">
      <c r="C185" s="25"/>
      <c r="D185" s="18"/>
      <c r="E185" s="18"/>
    </row>
    <row r="186" spans="2:7" x14ac:dyDescent="0.25">
      <c r="B186" s="3" t="s">
        <v>1495</v>
      </c>
      <c r="C186" t="s">
        <v>1492</v>
      </c>
      <c r="E186" s="24">
        <f>AVERAGE(F2:F121)</f>
        <v>16.623762376237625</v>
      </c>
    </row>
    <row r="187" spans="2:7" x14ac:dyDescent="0.25">
      <c r="C187" t="s">
        <v>1499</v>
      </c>
      <c r="E187" s="24">
        <f>SUMPRODUCT(F2:F121,D2:D121)/SUM(D2:D121)</f>
        <v>14.699831905867285</v>
      </c>
    </row>
    <row r="189" spans="2:7" x14ac:dyDescent="0.25">
      <c r="B189" s="3" t="s">
        <v>1496</v>
      </c>
      <c r="C189" t="s">
        <v>1491</v>
      </c>
      <c r="E189" s="24">
        <f>AVERAGE(J2:J121)</f>
        <v>135.18965517241378</v>
      </c>
    </row>
    <row r="190" spans="2:7" x14ac:dyDescent="0.25">
      <c r="C190" t="s">
        <v>1493</v>
      </c>
      <c r="E190" s="24">
        <f>SUMPRODUCT(J2:J121,D2:D121)/SUM(D2:D121)</f>
        <v>138.17617866004963</v>
      </c>
    </row>
    <row r="191" spans="2:7" x14ac:dyDescent="0.25">
      <c r="C191" t="s">
        <v>1494</v>
      </c>
      <c r="E191" s="24">
        <f>SUMPRODUCT(J2:J121,H2:H121)/SUM(H2:H121)</f>
        <v>135.98318244737555</v>
      </c>
    </row>
    <row r="193" spans="2:5" x14ac:dyDescent="0.25">
      <c r="B193" s="3" t="s">
        <v>1497</v>
      </c>
      <c r="C193" t="s">
        <v>1498</v>
      </c>
      <c r="E193" s="24">
        <f>AVERAGE(K2:K121)</f>
        <v>3.7280172413793093</v>
      </c>
    </row>
    <row r="194" spans="2:5" x14ac:dyDescent="0.25">
      <c r="C194" t="s">
        <v>1493</v>
      </c>
      <c r="E194" s="24">
        <f>SUMPRODUCT(K2:K121,D2:D121)/SUM(D2:D121)</f>
        <v>3.9976466821419989</v>
      </c>
    </row>
    <row r="195" spans="2:5" x14ac:dyDescent="0.25">
      <c r="C195" t="s">
        <v>1500</v>
      </c>
      <c r="E195" s="24">
        <f>SUMPRODUCT(K2:K121,H2:H121)/SUM(H2:H121)</f>
        <v>3.8035958059537638</v>
      </c>
    </row>
    <row r="217" spans="2:8" x14ac:dyDescent="0.25">
      <c r="B217" s="36" t="s">
        <v>1643</v>
      </c>
      <c r="C217" s="97" t="s">
        <v>149</v>
      </c>
      <c r="D217" s="37" t="s">
        <v>1644</v>
      </c>
      <c r="E217" s="37" t="s">
        <v>130</v>
      </c>
      <c r="F217" s="38" t="s">
        <v>1645</v>
      </c>
    </row>
    <row r="218" spans="2:8" x14ac:dyDescent="0.25">
      <c r="B218" s="32" t="s">
        <v>1642</v>
      </c>
      <c r="C218" s="32" t="s">
        <v>1329</v>
      </c>
      <c r="D218" s="95">
        <f t="shared" ref="D218:D244" si="20">COUNTIF(C$2:C$132,C218)</f>
        <v>1</v>
      </c>
      <c r="E218" s="98">
        <f t="shared" ref="E218:E244" si="21">SUMIF(C$2:C$132,C218,D$2:D$132)</f>
        <v>252</v>
      </c>
      <c r="F218" s="96">
        <f>SUMIF(C$2:C$132,C218,O$2:O$132)+SUMIF(C$2:C$132,C218,U$2:U$132)+SUMIF(C$2:C$132,C218,H$2:H$132)</f>
        <v>70</v>
      </c>
      <c r="G218">
        <f>E218</f>
        <v>252</v>
      </c>
      <c r="H218" s="34">
        <f>G218/E$245</f>
        <v>2.0171295925718404E-2</v>
      </c>
    </row>
    <row r="219" spans="2:8" x14ac:dyDescent="0.25">
      <c r="B219" s="13" t="s">
        <v>1638</v>
      </c>
      <c r="C219" s="13" t="s">
        <v>142</v>
      </c>
      <c r="D219" s="14">
        <f t="shared" si="20"/>
        <v>15</v>
      </c>
      <c r="E219" s="15">
        <f t="shared" si="21"/>
        <v>1331</v>
      </c>
      <c r="F219" s="42">
        <f t="shared" ref="F219:F244" si="22">SUMIF(C$2:C$132,C219,O$2:O$132)+SUMIF(C$2:C$132,C219,U$2:U$132)+SUMIF(C$2:C$132,C219,H$2:H$132)</f>
        <v>448</v>
      </c>
    </row>
    <row r="220" spans="2:8" x14ac:dyDescent="0.25">
      <c r="B220" s="8" t="s">
        <v>1638</v>
      </c>
      <c r="C220" s="8" t="s">
        <v>137</v>
      </c>
      <c r="D220">
        <f t="shared" si="20"/>
        <v>1</v>
      </c>
      <c r="E220" s="9">
        <f t="shared" si="21"/>
        <v>17</v>
      </c>
      <c r="F220" s="19">
        <f t="shared" si="22"/>
        <v>8</v>
      </c>
    </row>
    <row r="221" spans="2:8" x14ac:dyDescent="0.25">
      <c r="B221" s="8" t="s">
        <v>1638</v>
      </c>
      <c r="C221" s="8" t="s">
        <v>605</v>
      </c>
      <c r="D221">
        <f t="shared" si="20"/>
        <v>3</v>
      </c>
      <c r="E221" s="9">
        <f t="shared" si="21"/>
        <v>255</v>
      </c>
      <c r="F221" s="19">
        <f t="shared" si="22"/>
        <v>65</v>
      </c>
    </row>
    <row r="222" spans="2:8" x14ac:dyDescent="0.25">
      <c r="B222" s="10" t="s">
        <v>1638</v>
      </c>
      <c r="C222" s="10" t="s">
        <v>175</v>
      </c>
      <c r="D222" s="11">
        <f t="shared" si="20"/>
        <v>14</v>
      </c>
      <c r="E222" s="12">
        <f t="shared" si="21"/>
        <v>918</v>
      </c>
      <c r="F222" s="20">
        <f t="shared" si="22"/>
        <v>224.9047619047619</v>
      </c>
      <c r="G222">
        <f>SUM(E219:E222)</f>
        <v>2521</v>
      </c>
      <c r="H222" s="34">
        <f>G222/E$245</f>
        <v>0.20179300408228609</v>
      </c>
    </row>
    <row r="223" spans="2:8" x14ac:dyDescent="0.25">
      <c r="B223" s="32" t="s">
        <v>1641</v>
      </c>
      <c r="C223" s="32" t="s">
        <v>144</v>
      </c>
      <c r="D223" s="95">
        <f t="shared" si="20"/>
        <v>4</v>
      </c>
      <c r="E223" s="98">
        <f t="shared" si="21"/>
        <v>721</v>
      </c>
      <c r="F223" s="96">
        <f t="shared" si="22"/>
        <v>169</v>
      </c>
      <c r="G223">
        <f>E223</f>
        <v>721</v>
      </c>
      <c r="H223" s="34">
        <f>G223/E$245</f>
        <v>5.7712318898583206E-2</v>
      </c>
    </row>
    <row r="224" spans="2:8" x14ac:dyDescent="0.25">
      <c r="B224" s="13" t="s">
        <v>1639</v>
      </c>
      <c r="C224" s="13" t="s">
        <v>163</v>
      </c>
      <c r="D224" s="14">
        <f t="shared" si="20"/>
        <v>3</v>
      </c>
      <c r="E224" s="15">
        <f t="shared" si="21"/>
        <v>153</v>
      </c>
      <c r="F224" s="42">
        <f t="shared" si="22"/>
        <v>39</v>
      </c>
    </row>
    <row r="225" spans="2:8" x14ac:dyDescent="0.25">
      <c r="B225" s="8" t="s">
        <v>1639</v>
      </c>
      <c r="C225" s="8" t="s">
        <v>318</v>
      </c>
      <c r="D225">
        <f t="shared" si="20"/>
        <v>5</v>
      </c>
      <c r="E225" s="9">
        <f t="shared" si="21"/>
        <v>452</v>
      </c>
      <c r="F225" s="19">
        <f t="shared" si="22"/>
        <v>97</v>
      </c>
    </row>
    <row r="226" spans="2:8" x14ac:dyDescent="0.25">
      <c r="B226" s="8" t="s">
        <v>1639</v>
      </c>
      <c r="C226" s="8" t="s">
        <v>206</v>
      </c>
      <c r="D226">
        <f t="shared" si="20"/>
        <v>3</v>
      </c>
      <c r="E226" s="9">
        <f t="shared" si="21"/>
        <v>183</v>
      </c>
      <c r="F226" s="19">
        <f t="shared" si="22"/>
        <v>51</v>
      </c>
    </row>
    <row r="227" spans="2:8" x14ac:dyDescent="0.25">
      <c r="B227" s="8" t="s">
        <v>1639</v>
      </c>
      <c r="C227" s="8" t="s">
        <v>138</v>
      </c>
      <c r="D227">
        <f t="shared" si="20"/>
        <v>5</v>
      </c>
      <c r="E227" s="9">
        <f t="shared" si="21"/>
        <v>129</v>
      </c>
      <c r="F227" s="19">
        <f t="shared" si="22"/>
        <v>38</v>
      </c>
    </row>
    <row r="228" spans="2:8" x14ac:dyDescent="0.25">
      <c r="B228" s="8" t="s">
        <v>1639</v>
      </c>
      <c r="C228" s="8" t="s">
        <v>148</v>
      </c>
      <c r="D228">
        <f t="shared" si="20"/>
        <v>2</v>
      </c>
      <c r="E228" s="9">
        <f t="shared" si="21"/>
        <v>187</v>
      </c>
      <c r="F228" s="19">
        <f t="shared" si="22"/>
        <v>52</v>
      </c>
    </row>
    <row r="229" spans="2:8" x14ac:dyDescent="0.25">
      <c r="B229" s="8" t="s">
        <v>1639</v>
      </c>
      <c r="C229" s="8" t="s">
        <v>162</v>
      </c>
      <c r="D229">
        <f t="shared" si="20"/>
        <v>1</v>
      </c>
      <c r="E229" s="9">
        <f t="shared" si="21"/>
        <v>63</v>
      </c>
      <c r="F229" s="19">
        <f t="shared" si="22"/>
        <v>16</v>
      </c>
    </row>
    <row r="230" spans="2:8" x14ac:dyDescent="0.25">
      <c r="B230" s="8" t="s">
        <v>1639</v>
      </c>
      <c r="C230" s="8" t="s">
        <v>146</v>
      </c>
      <c r="D230">
        <f t="shared" si="20"/>
        <v>8</v>
      </c>
      <c r="E230" s="9">
        <f t="shared" si="21"/>
        <v>305</v>
      </c>
      <c r="F230" s="19">
        <f t="shared" si="22"/>
        <v>85</v>
      </c>
    </row>
    <row r="231" spans="2:8" x14ac:dyDescent="0.25">
      <c r="B231" s="8" t="s">
        <v>1639</v>
      </c>
      <c r="C231" s="8" t="s">
        <v>527</v>
      </c>
      <c r="D231">
        <f t="shared" si="20"/>
        <v>6</v>
      </c>
      <c r="E231" s="9">
        <f t="shared" si="21"/>
        <v>725</v>
      </c>
      <c r="F231" s="19">
        <f t="shared" si="22"/>
        <v>187</v>
      </c>
    </row>
    <row r="232" spans="2:8" x14ac:dyDescent="0.25">
      <c r="B232" s="8" t="s">
        <v>1639</v>
      </c>
      <c r="C232" s="8" t="s">
        <v>139</v>
      </c>
      <c r="D232">
        <f t="shared" si="20"/>
        <v>1</v>
      </c>
      <c r="E232" s="9">
        <f t="shared" si="21"/>
        <v>80</v>
      </c>
      <c r="F232" s="19">
        <f t="shared" si="22"/>
        <v>19</v>
      </c>
    </row>
    <row r="233" spans="2:8" x14ac:dyDescent="0.25">
      <c r="B233" s="8" t="s">
        <v>1639</v>
      </c>
      <c r="C233" s="8" t="s">
        <v>161</v>
      </c>
      <c r="D233">
        <f t="shared" si="20"/>
        <v>11</v>
      </c>
      <c r="E233" s="9">
        <f t="shared" si="21"/>
        <v>665</v>
      </c>
      <c r="F233" s="19">
        <f t="shared" si="22"/>
        <v>268</v>
      </c>
    </row>
    <row r="234" spans="2:8" x14ac:dyDescent="0.25">
      <c r="B234" s="8" t="s">
        <v>1639</v>
      </c>
      <c r="C234" s="8" t="s">
        <v>852</v>
      </c>
      <c r="D234">
        <f t="shared" si="20"/>
        <v>1</v>
      </c>
      <c r="E234" s="9">
        <f t="shared" si="21"/>
        <v>8</v>
      </c>
      <c r="F234" s="19">
        <f t="shared" si="22"/>
        <v>3</v>
      </c>
    </row>
    <row r="235" spans="2:8" x14ac:dyDescent="0.25">
      <c r="B235" s="8" t="s">
        <v>1639</v>
      </c>
      <c r="C235" s="8" t="s">
        <v>143</v>
      </c>
      <c r="D235">
        <f t="shared" si="20"/>
        <v>2</v>
      </c>
      <c r="E235" s="9">
        <f t="shared" si="21"/>
        <v>478</v>
      </c>
      <c r="F235" s="19">
        <f t="shared" si="22"/>
        <v>114</v>
      </c>
    </row>
    <row r="236" spans="2:8" x14ac:dyDescent="0.25">
      <c r="B236" s="8" t="s">
        <v>1639</v>
      </c>
      <c r="C236" s="8" t="s">
        <v>166</v>
      </c>
      <c r="D236">
        <f t="shared" si="20"/>
        <v>2</v>
      </c>
      <c r="E236" s="9">
        <f t="shared" si="21"/>
        <v>81</v>
      </c>
      <c r="F236" s="19">
        <f t="shared" si="22"/>
        <v>27</v>
      </c>
    </row>
    <row r="237" spans="2:8" x14ac:dyDescent="0.25">
      <c r="B237" s="8" t="s">
        <v>1639</v>
      </c>
      <c r="C237" s="8" t="s">
        <v>140</v>
      </c>
      <c r="D237">
        <f t="shared" si="20"/>
        <v>4</v>
      </c>
      <c r="E237" s="9">
        <f t="shared" si="21"/>
        <v>430</v>
      </c>
      <c r="F237" s="19">
        <f t="shared" si="22"/>
        <v>98</v>
      </c>
    </row>
    <row r="238" spans="2:8" x14ac:dyDescent="0.25">
      <c r="B238" s="10" t="s">
        <v>1639</v>
      </c>
      <c r="C238" s="10" t="s">
        <v>165</v>
      </c>
      <c r="D238" s="11">
        <f t="shared" si="20"/>
        <v>4</v>
      </c>
      <c r="E238" s="12">
        <f t="shared" si="21"/>
        <v>578</v>
      </c>
      <c r="F238" s="20">
        <f t="shared" si="22"/>
        <v>139</v>
      </c>
      <c r="G238">
        <f>SUM(E224:E238)</f>
        <v>4517</v>
      </c>
      <c r="H238" s="34">
        <f>G238/E$245</f>
        <v>0.36156247498599214</v>
      </c>
    </row>
    <row r="239" spans="2:8" x14ac:dyDescent="0.25">
      <c r="B239" s="13" t="s">
        <v>1419</v>
      </c>
      <c r="C239" s="13" t="s">
        <v>45</v>
      </c>
      <c r="D239" s="14">
        <f t="shared" si="20"/>
        <v>1</v>
      </c>
      <c r="E239" s="15">
        <f t="shared" si="21"/>
        <v>151</v>
      </c>
      <c r="F239" s="42">
        <f t="shared" si="22"/>
        <v>42</v>
      </c>
    </row>
    <row r="240" spans="2:8" x14ac:dyDescent="0.25">
      <c r="B240" s="8" t="s">
        <v>1419</v>
      </c>
      <c r="C240" s="8" t="s">
        <v>34</v>
      </c>
      <c r="D240">
        <f t="shared" si="20"/>
        <v>1</v>
      </c>
      <c r="E240" s="9">
        <f t="shared" si="21"/>
        <v>108</v>
      </c>
      <c r="F240" s="19">
        <f t="shared" si="22"/>
        <v>26</v>
      </c>
    </row>
    <row r="241" spans="2:8" x14ac:dyDescent="0.25">
      <c r="B241" s="10" t="s">
        <v>1419</v>
      </c>
      <c r="C241" s="10" t="s">
        <v>1247</v>
      </c>
      <c r="D241" s="11">
        <f t="shared" si="20"/>
        <v>15</v>
      </c>
      <c r="E241" s="12">
        <f t="shared" si="21"/>
        <v>2192</v>
      </c>
      <c r="F241" s="20">
        <f t="shared" si="22"/>
        <v>599</v>
      </c>
      <c r="G241">
        <f>SUM(E239:E241)</f>
        <v>2451</v>
      </c>
      <c r="H241" s="34">
        <f>G241/E$245</f>
        <v>0.19618986632514207</v>
      </c>
    </row>
    <row r="242" spans="2:8" x14ac:dyDescent="0.25">
      <c r="B242" s="8" t="s">
        <v>1640</v>
      </c>
      <c r="C242" s="8" t="s">
        <v>141</v>
      </c>
      <c r="D242">
        <f t="shared" si="20"/>
        <v>4</v>
      </c>
      <c r="E242" s="9">
        <f t="shared" si="21"/>
        <v>1398</v>
      </c>
      <c r="F242" s="19">
        <f t="shared" si="22"/>
        <v>318</v>
      </c>
    </row>
    <row r="243" spans="2:8" x14ac:dyDescent="0.25">
      <c r="B243" s="8" t="s">
        <v>1640</v>
      </c>
      <c r="C243" s="8" t="s">
        <v>42</v>
      </c>
      <c r="D243">
        <f t="shared" si="20"/>
        <v>1</v>
      </c>
      <c r="E243" s="9">
        <f t="shared" si="21"/>
        <v>109</v>
      </c>
      <c r="F243" s="19">
        <f t="shared" si="22"/>
        <v>26</v>
      </c>
    </row>
    <row r="244" spans="2:8" x14ac:dyDescent="0.25">
      <c r="B244" s="10" t="s">
        <v>1640</v>
      </c>
      <c r="C244" s="10" t="s">
        <v>1328</v>
      </c>
      <c r="D244" s="11">
        <f t="shared" si="20"/>
        <v>2</v>
      </c>
      <c r="E244" s="12">
        <f t="shared" si="21"/>
        <v>524</v>
      </c>
      <c r="F244" s="20">
        <f t="shared" si="22"/>
        <v>100</v>
      </c>
      <c r="G244">
        <f>SUM(E242:E244)</f>
        <v>2031</v>
      </c>
      <c r="H244" s="34">
        <f>G244/E$245</f>
        <v>0.16257103978227808</v>
      </c>
    </row>
    <row r="245" spans="2:8" x14ac:dyDescent="0.25">
      <c r="E245" s="9">
        <f>SUM(E218:E244)</f>
        <v>12493</v>
      </c>
    </row>
  </sheetData>
  <sortState xmlns:xlrd2="http://schemas.microsoft.com/office/spreadsheetml/2017/richdata2" ref="B218:F244">
    <sortCondition ref="B218:B244"/>
    <sortCondition ref="C218:C244"/>
  </sortState>
  <phoneticPr fontId="6" type="noConversion"/>
  <conditionalFormatting sqref="AC2:AD121">
    <cfRule type="cellIs" dxfId="0" priority="1" operator="equal">
      <formula>1</formula>
    </cfRule>
  </conditionalFormatting>
  <pageMargins left="0.7" right="0.7" top="0.75" bottom="0.75" header="0.3" footer="0.3"/>
  <pageSetup paperSize="9" orientation="portrait" r:id="rId1"/>
  <headerFooter>
    <oddFooter>&amp;L&amp;1#&amp;"Arial"&amp;8&amp;KD5DAD9</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64"/>
  <sheetViews>
    <sheetView zoomScale="90" zoomScaleNormal="90" workbookViewId="0">
      <selection activeCell="Q51" sqref="Q51"/>
    </sheetView>
  </sheetViews>
  <sheetFormatPr defaultRowHeight="15" x14ac:dyDescent="0.25"/>
  <cols>
    <col min="2" max="9" width="13.7109375" customWidth="1"/>
    <col min="10" max="10" width="7.7109375" bestFit="1" customWidth="1"/>
    <col min="11" max="11" width="6.140625" bestFit="1" customWidth="1"/>
    <col min="12" max="12" width="6.140625" customWidth="1"/>
    <col min="13" max="13" width="12" bestFit="1" customWidth="1"/>
    <col min="14" max="14" width="17.42578125" bestFit="1" customWidth="1"/>
    <col min="15" max="15" width="12" customWidth="1"/>
    <col min="16" max="16" width="4.140625" customWidth="1"/>
    <col min="17" max="17" width="15.140625" customWidth="1"/>
    <col min="18" max="18" width="7.7109375" bestFit="1" customWidth="1"/>
    <col min="19" max="20" width="3.28515625" customWidth="1"/>
    <col min="21" max="22" width="12" bestFit="1" customWidth="1"/>
    <col min="23" max="23" width="4.42578125" customWidth="1"/>
    <col min="24" max="24" width="13.28515625" bestFit="1" customWidth="1"/>
    <col min="25" max="25" width="5" customWidth="1"/>
    <col min="26" max="26" width="6.5703125" customWidth="1"/>
    <col min="27" max="27" width="3.85546875" customWidth="1"/>
  </cols>
  <sheetData>
    <row r="1" spans="2:33" x14ac:dyDescent="0.25">
      <c r="B1" s="3" t="s">
        <v>86</v>
      </c>
      <c r="C1" s="3" t="s">
        <v>87</v>
      </c>
      <c r="D1" s="3" t="s">
        <v>88</v>
      </c>
      <c r="E1" s="3" t="s">
        <v>98</v>
      </c>
      <c r="F1" s="3" t="s">
        <v>100</v>
      </c>
      <c r="G1" s="3" t="s">
        <v>89</v>
      </c>
      <c r="H1" s="3" t="s">
        <v>91</v>
      </c>
      <c r="I1" s="3" t="s">
        <v>90</v>
      </c>
      <c r="J1" s="3" t="s">
        <v>131</v>
      </c>
      <c r="K1" s="3" t="s">
        <v>130</v>
      </c>
      <c r="L1" s="3"/>
      <c r="M1" s="3" t="s">
        <v>103</v>
      </c>
      <c r="N1" s="3" t="s">
        <v>101</v>
      </c>
      <c r="O1" s="3" t="s">
        <v>107</v>
      </c>
      <c r="P1" s="3" t="s">
        <v>91</v>
      </c>
      <c r="Q1" s="3" t="s">
        <v>105</v>
      </c>
      <c r="R1" s="3" t="s">
        <v>131</v>
      </c>
      <c r="S1" s="3" t="s">
        <v>130</v>
      </c>
      <c r="T1" s="3"/>
      <c r="U1" s="3" t="s">
        <v>103</v>
      </c>
      <c r="V1" s="3" t="s">
        <v>101</v>
      </c>
      <c r="W1" s="3" t="s">
        <v>91</v>
      </c>
      <c r="X1" s="3" t="s">
        <v>105</v>
      </c>
      <c r="Y1" s="3" t="s">
        <v>131</v>
      </c>
      <c r="Z1" s="3" t="s">
        <v>130</v>
      </c>
      <c r="AB1" s="3" t="s">
        <v>601</v>
      </c>
      <c r="AD1" s="3" t="s">
        <v>682</v>
      </c>
      <c r="AE1" t="s">
        <v>683</v>
      </c>
      <c r="AG1" s="3"/>
    </row>
    <row r="2" spans="2:33" x14ac:dyDescent="0.25">
      <c r="B2" s="2" t="s">
        <v>1141</v>
      </c>
      <c r="C2" t="s">
        <v>1140</v>
      </c>
      <c r="D2">
        <v>18</v>
      </c>
      <c r="E2" t="s">
        <v>93</v>
      </c>
      <c r="F2">
        <v>5</v>
      </c>
      <c r="G2" t="s">
        <v>1161</v>
      </c>
      <c r="H2" s="1">
        <v>5</v>
      </c>
      <c r="I2" t="s">
        <v>114</v>
      </c>
      <c r="J2">
        <v>105</v>
      </c>
      <c r="K2">
        <v>3.45</v>
      </c>
      <c r="L2">
        <f>K2*H2</f>
        <v>17.25</v>
      </c>
      <c r="AD2">
        <f t="shared" ref="AD2:AD33" si="0">COUNTIF($I$113:$I$143,I2)</f>
        <v>1</v>
      </c>
      <c r="AE2">
        <f t="shared" ref="AE2:AE33" si="1">COUNTIF($C$112:$C$143,C2)</f>
        <v>1</v>
      </c>
    </row>
    <row r="3" spans="2:33" x14ac:dyDescent="0.25">
      <c r="B3" s="2" t="s">
        <v>1159</v>
      </c>
      <c r="C3" t="s">
        <v>137</v>
      </c>
      <c r="D3">
        <v>101</v>
      </c>
      <c r="E3" t="s">
        <v>94</v>
      </c>
      <c r="F3">
        <v>15</v>
      </c>
      <c r="G3" t="s">
        <v>1160</v>
      </c>
      <c r="H3" s="1">
        <v>46</v>
      </c>
      <c r="I3" t="s">
        <v>574</v>
      </c>
      <c r="J3">
        <v>120</v>
      </c>
      <c r="K3">
        <v>2.2000000000000002</v>
      </c>
      <c r="L3">
        <f t="shared" ref="L3:L66" si="2">K3*H3</f>
        <v>101.2</v>
      </c>
      <c r="AD3">
        <f t="shared" si="0"/>
        <v>1</v>
      </c>
      <c r="AE3">
        <f t="shared" si="1"/>
        <v>1</v>
      </c>
    </row>
    <row r="4" spans="2:33" x14ac:dyDescent="0.25">
      <c r="B4" s="2" t="s">
        <v>1162</v>
      </c>
      <c r="C4" t="s">
        <v>142</v>
      </c>
      <c r="D4">
        <v>101</v>
      </c>
      <c r="E4" t="s">
        <v>93</v>
      </c>
      <c r="F4">
        <v>2</v>
      </c>
      <c r="H4" s="1">
        <v>46</v>
      </c>
      <c r="I4" t="s">
        <v>574</v>
      </c>
      <c r="J4">
        <v>120</v>
      </c>
      <c r="K4">
        <v>2.2000000000000002</v>
      </c>
      <c r="L4">
        <f t="shared" si="2"/>
        <v>101.2</v>
      </c>
      <c r="U4" s="4"/>
      <c r="AD4">
        <f t="shared" si="0"/>
        <v>1</v>
      </c>
      <c r="AE4">
        <f t="shared" si="1"/>
        <v>1</v>
      </c>
    </row>
    <row r="5" spans="2:33" x14ac:dyDescent="0.25">
      <c r="B5" s="2" t="s">
        <v>1176</v>
      </c>
      <c r="C5" t="s">
        <v>143</v>
      </c>
      <c r="D5">
        <v>99</v>
      </c>
      <c r="G5" t="s">
        <v>1177</v>
      </c>
      <c r="H5" s="1">
        <v>26</v>
      </c>
      <c r="I5" t="s">
        <v>109</v>
      </c>
      <c r="J5">
        <v>126</v>
      </c>
      <c r="K5">
        <v>3.8</v>
      </c>
      <c r="L5">
        <f t="shared" si="2"/>
        <v>98.8</v>
      </c>
      <c r="M5" t="s">
        <v>587</v>
      </c>
      <c r="AD5">
        <f t="shared" si="0"/>
        <v>1</v>
      </c>
      <c r="AE5">
        <f t="shared" si="1"/>
        <v>1</v>
      </c>
    </row>
    <row r="6" spans="2:33" x14ac:dyDescent="0.25">
      <c r="B6" s="2" t="s">
        <v>1174</v>
      </c>
      <c r="C6" t="s">
        <v>144</v>
      </c>
      <c r="D6">
        <v>214</v>
      </c>
      <c r="E6" t="s">
        <v>93</v>
      </c>
      <c r="F6">
        <v>25</v>
      </c>
      <c r="G6" t="s">
        <v>1179</v>
      </c>
      <c r="H6" s="1">
        <v>51</v>
      </c>
      <c r="I6" t="s">
        <v>619</v>
      </c>
      <c r="J6">
        <v>150</v>
      </c>
      <c r="K6">
        <v>4.2</v>
      </c>
      <c r="L6">
        <f t="shared" si="2"/>
        <v>214.20000000000002</v>
      </c>
      <c r="AB6" t="s">
        <v>1178</v>
      </c>
      <c r="AD6">
        <f t="shared" si="0"/>
        <v>1</v>
      </c>
      <c r="AE6">
        <f t="shared" si="1"/>
        <v>1</v>
      </c>
    </row>
    <row r="7" spans="2:33" x14ac:dyDescent="0.25">
      <c r="B7" s="2" t="s">
        <v>1175</v>
      </c>
      <c r="C7" t="s">
        <v>1247</v>
      </c>
      <c r="D7">
        <v>224</v>
      </c>
      <c r="E7" t="s">
        <v>94</v>
      </c>
      <c r="F7">
        <v>10</v>
      </c>
      <c r="H7" s="1">
        <f>D7/K7</f>
        <v>112</v>
      </c>
      <c r="I7" t="s">
        <v>110</v>
      </c>
      <c r="J7">
        <v>110</v>
      </c>
      <c r="K7">
        <v>2</v>
      </c>
      <c r="L7">
        <f t="shared" si="2"/>
        <v>224</v>
      </c>
      <c r="AD7">
        <f t="shared" si="0"/>
        <v>1</v>
      </c>
      <c r="AE7">
        <f t="shared" si="1"/>
        <v>1</v>
      </c>
    </row>
    <row r="8" spans="2:33" x14ac:dyDescent="0.25">
      <c r="B8" s="2" t="s">
        <v>1180</v>
      </c>
      <c r="C8" t="s">
        <v>34</v>
      </c>
      <c r="D8">
        <v>96</v>
      </c>
      <c r="E8" t="s">
        <v>94</v>
      </c>
      <c r="F8">
        <v>25</v>
      </c>
      <c r="G8" t="s">
        <v>17</v>
      </c>
      <c r="H8" s="1">
        <f>D8/K8</f>
        <v>22.857142857142858</v>
      </c>
      <c r="I8" t="s">
        <v>619</v>
      </c>
      <c r="J8">
        <v>150</v>
      </c>
      <c r="K8">
        <v>4.2</v>
      </c>
      <c r="L8">
        <f t="shared" si="2"/>
        <v>96</v>
      </c>
      <c r="AD8">
        <f t="shared" si="0"/>
        <v>1</v>
      </c>
      <c r="AE8">
        <f t="shared" si="1"/>
        <v>1</v>
      </c>
    </row>
    <row r="9" spans="2:33" x14ac:dyDescent="0.25">
      <c r="B9" s="2" t="s">
        <v>1181</v>
      </c>
      <c r="C9" t="s">
        <v>163</v>
      </c>
      <c r="D9">
        <v>17</v>
      </c>
      <c r="E9" t="s">
        <v>94</v>
      </c>
      <c r="F9">
        <v>20</v>
      </c>
      <c r="G9" t="s">
        <v>1184</v>
      </c>
      <c r="H9" s="1">
        <f>D9/K9</f>
        <v>4.0476190476190474</v>
      </c>
      <c r="I9" t="s">
        <v>121</v>
      </c>
      <c r="J9">
        <v>136</v>
      </c>
      <c r="K9">
        <v>4.2</v>
      </c>
      <c r="L9">
        <f t="shared" si="2"/>
        <v>17</v>
      </c>
      <c r="N9">
        <v>82</v>
      </c>
      <c r="AB9" t="s">
        <v>1185</v>
      </c>
      <c r="AD9">
        <f t="shared" si="0"/>
        <v>1</v>
      </c>
      <c r="AE9">
        <f t="shared" si="1"/>
        <v>1</v>
      </c>
    </row>
    <row r="10" spans="2:33" x14ac:dyDescent="0.25">
      <c r="B10" s="2" t="s">
        <v>1182</v>
      </c>
      <c r="C10" t="s">
        <v>1186</v>
      </c>
      <c r="D10">
        <v>119</v>
      </c>
      <c r="E10" t="s">
        <v>94</v>
      </c>
      <c r="F10">
        <v>25</v>
      </c>
      <c r="G10" t="s">
        <v>1187</v>
      </c>
      <c r="H10" s="1">
        <v>33</v>
      </c>
      <c r="I10" t="s">
        <v>112</v>
      </c>
      <c r="J10">
        <v>112</v>
      </c>
      <c r="K10">
        <v>3.6</v>
      </c>
      <c r="L10">
        <f t="shared" si="2"/>
        <v>118.8</v>
      </c>
      <c r="M10" t="s">
        <v>566</v>
      </c>
      <c r="N10">
        <v>69</v>
      </c>
      <c r="AD10">
        <f t="shared" si="0"/>
        <v>1</v>
      </c>
      <c r="AE10">
        <f t="shared" si="1"/>
        <v>1</v>
      </c>
    </row>
    <row r="11" spans="2:33" x14ac:dyDescent="0.25">
      <c r="B11" s="2" t="s">
        <v>1182</v>
      </c>
      <c r="C11" t="s">
        <v>175</v>
      </c>
      <c r="D11">
        <v>42</v>
      </c>
      <c r="E11" t="s">
        <v>94</v>
      </c>
      <c r="F11">
        <v>10</v>
      </c>
      <c r="H11" s="1">
        <v>10</v>
      </c>
      <c r="I11" t="s">
        <v>619</v>
      </c>
      <c r="J11">
        <v>150</v>
      </c>
      <c r="K11">
        <v>4.2</v>
      </c>
      <c r="L11">
        <f t="shared" si="2"/>
        <v>42</v>
      </c>
      <c r="N11">
        <v>105</v>
      </c>
      <c r="AD11">
        <f t="shared" si="0"/>
        <v>1</v>
      </c>
      <c r="AE11">
        <f t="shared" si="1"/>
        <v>1</v>
      </c>
    </row>
    <row r="12" spans="2:33" x14ac:dyDescent="0.25">
      <c r="B12" s="2" t="s">
        <v>1182</v>
      </c>
      <c r="C12" t="s">
        <v>1140</v>
      </c>
      <c r="D12">
        <v>43</v>
      </c>
      <c r="E12" t="s">
        <v>93</v>
      </c>
      <c r="F12">
        <v>20</v>
      </c>
      <c r="G12" t="s">
        <v>1188</v>
      </c>
      <c r="H12" s="1">
        <v>12</v>
      </c>
      <c r="I12" t="s">
        <v>114</v>
      </c>
      <c r="J12">
        <v>105</v>
      </c>
      <c r="K12">
        <v>3.6</v>
      </c>
      <c r="L12">
        <f t="shared" si="2"/>
        <v>43.2</v>
      </c>
      <c r="M12" t="s">
        <v>566</v>
      </c>
      <c r="N12">
        <v>100</v>
      </c>
      <c r="AD12">
        <f t="shared" si="0"/>
        <v>1</v>
      </c>
      <c r="AE12">
        <f t="shared" si="1"/>
        <v>1</v>
      </c>
    </row>
    <row r="13" spans="2:33" x14ac:dyDescent="0.25">
      <c r="B13" s="2" t="s">
        <v>1182</v>
      </c>
      <c r="C13" t="s">
        <v>165</v>
      </c>
      <c r="D13">
        <v>47</v>
      </c>
      <c r="E13" t="s">
        <v>94</v>
      </c>
      <c r="F13">
        <v>10</v>
      </c>
      <c r="G13" t="s">
        <v>1189</v>
      </c>
      <c r="H13" s="1">
        <v>13</v>
      </c>
      <c r="I13" t="s">
        <v>108</v>
      </c>
      <c r="J13">
        <v>136</v>
      </c>
      <c r="K13">
        <v>3.6</v>
      </c>
      <c r="L13">
        <f t="shared" si="2"/>
        <v>46.800000000000004</v>
      </c>
      <c r="M13" t="s">
        <v>566</v>
      </c>
      <c r="N13">
        <v>82</v>
      </c>
      <c r="AB13" t="s">
        <v>1185</v>
      </c>
      <c r="AD13">
        <f t="shared" si="0"/>
        <v>1</v>
      </c>
      <c r="AE13">
        <f t="shared" si="1"/>
        <v>1</v>
      </c>
    </row>
    <row r="14" spans="2:33" x14ac:dyDescent="0.25">
      <c r="B14" s="2" t="s">
        <v>1182</v>
      </c>
      <c r="C14" t="s">
        <v>1247</v>
      </c>
      <c r="D14">
        <v>220</v>
      </c>
      <c r="E14" t="s">
        <v>94</v>
      </c>
      <c r="F14">
        <v>25</v>
      </c>
      <c r="H14" s="1">
        <v>100</v>
      </c>
      <c r="I14" t="s">
        <v>574</v>
      </c>
      <c r="J14">
        <v>120</v>
      </c>
      <c r="K14">
        <v>2.2000000000000002</v>
      </c>
      <c r="L14">
        <f t="shared" si="2"/>
        <v>220.00000000000003</v>
      </c>
      <c r="AD14">
        <f t="shared" si="0"/>
        <v>1</v>
      </c>
      <c r="AE14">
        <f t="shared" si="1"/>
        <v>1</v>
      </c>
    </row>
    <row r="15" spans="2:33" x14ac:dyDescent="0.25">
      <c r="B15" s="2" t="s">
        <v>1182</v>
      </c>
      <c r="C15" t="s">
        <v>141</v>
      </c>
      <c r="D15">
        <v>361</v>
      </c>
      <c r="G15" t="s">
        <v>17</v>
      </c>
      <c r="H15" s="1">
        <v>86</v>
      </c>
      <c r="I15" t="s">
        <v>619</v>
      </c>
      <c r="J15">
        <v>150</v>
      </c>
      <c r="K15">
        <v>4.2</v>
      </c>
      <c r="L15">
        <f t="shared" si="2"/>
        <v>361.2</v>
      </c>
      <c r="AD15">
        <f t="shared" si="0"/>
        <v>1</v>
      </c>
      <c r="AE15">
        <f t="shared" si="1"/>
        <v>1</v>
      </c>
    </row>
    <row r="16" spans="2:33" x14ac:dyDescent="0.25">
      <c r="B16" s="2" t="s">
        <v>1183</v>
      </c>
      <c r="C16" t="s">
        <v>1247</v>
      </c>
      <c r="D16">
        <v>182</v>
      </c>
      <c r="E16" t="s">
        <v>94</v>
      </c>
      <c r="F16">
        <v>10</v>
      </c>
      <c r="H16" s="1">
        <f>D16/K16</f>
        <v>43.333333333333329</v>
      </c>
      <c r="I16" t="s">
        <v>619</v>
      </c>
      <c r="J16">
        <v>150</v>
      </c>
      <c r="K16">
        <v>4.2</v>
      </c>
      <c r="L16">
        <f t="shared" si="2"/>
        <v>182</v>
      </c>
      <c r="AD16">
        <f t="shared" si="0"/>
        <v>1</v>
      </c>
      <c r="AE16">
        <f t="shared" si="1"/>
        <v>1</v>
      </c>
    </row>
    <row r="17" spans="1:32" x14ac:dyDescent="0.25">
      <c r="B17" s="2" t="s">
        <v>1183</v>
      </c>
      <c r="C17" t="s">
        <v>1247</v>
      </c>
      <c r="D17">
        <v>143</v>
      </c>
      <c r="E17" t="s">
        <v>94</v>
      </c>
      <c r="F17">
        <v>30</v>
      </c>
      <c r="G17" t="s">
        <v>570</v>
      </c>
      <c r="H17" s="1">
        <f>D17/K17</f>
        <v>41.449275362318836</v>
      </c>
      <c r="I17" t="s">
        <v>109</v>
      </c>
      <c r="J17">
        <v>126</v>
      </c>
      <c r="K17">
        <v>3.45</v>
      </c>
      <c r="L17">
        <f t="shared" si="2"/>
        <v>143</v>
      </c>
      <c r="AD17">
        <f t="shared" si="0"/>
        <v>1</v>
      </c>
      <c r="AE17">
        <f t="shared" si="1"/>
        <v>1</v>
      </c>
    </row>
    <row r="18" spans="1:32" s="11" customFormat="1" x14ac:dyDescent="0.25">
      <c r="A18" s="11">
        <f>SUM(D2:D18)</f>
        <v>2233</v>
      </c>
      <c r="B18" s="30" t="s">
        <v>1183</v>
      </c>
      <c r="C18" s="11" t="s">
        <v>141</v>
      </c>
      <c r="D18" s="11">
        <v>206</v>
      </c>
      <c r="G18" s="11" t="s">
        <v>1190</v>
      </c>
      <c r="H18" s="28">
        <v>49</v>
      </c>
      <c r="I18" s="11" t="s">
        <v>619</v>
      </c>
      <c r="J18" s="11">
        <v>150</v>
      </c>
      <c r="K18" s="11">
        <v>4.2</v>
      </c>
      <c r="L18">
        <f t="shared" si="2"/>
        <v>205.8</v>
      </c>
      <c r="N18" s="11">
        <v>125</v>
      </c>
      <c r="T18"/>
      <c r="AA18"/>
      <c r="AD18" s="11">
        <f t="shared" si="0"/>
        <v>1</v>
      </c>
      <c r="AE18" s="11">
        <f t="shared" si="1"/>
        <v>1</v>
      </c>
    </row>
    <row r="19" spans="1:32" x14ac:dyDescent="0.25">
      <c r="B19" s="2" t="s">
        <v>1194</v>
      </c>
      <c r="C19" t="s">
        <v>161</v>
      </c>
      <c r="D19">
        <v>132</v>
      </c>
      <c r="E19" t="s">
        <v>93</v>
      </c>
      <c r="F19">
        <v>20</v>
      </c>
      <c r="G19" t="s">
        <v>1196</v>
      </c>
      <c r="H19" s="1">
        <f>D19/K19</f>
        <v>40</v>
      </c>
      <c r="I19" t="s">
        <v>109</v>
      </c>
      <c r="J19">
        <v>126</v>
      </c>
      <c r="K19">
        <v>3.3</v>
      </c>
      <c r="L19">
        <f t="shared" si="2"/>
        <v>132</v>
      </c>
      <c r="M19" t="s">
        <v>1195</v>
      </c>
      <c r="N19">
        <v>117</v>
      </c>
      <c r="O19">
        <v>137</v>
      </c>
      <c r="AD19">
        <f t="shared" si="0"/>
        <v>1</v>
      </c>
      <c r="AE19">
        <f t="shared" si="1"/>
        <v>1</v>
      </c>
    </row>
    <row r="20" spans="1:32" x14ac:dyDescent="0.25">
      <c r="B20" s="2" t="s">
        <v>1199</v>
      </c>
      <c r="C20" t="s">
        <v>318</v>
      </c>
      <c r="D20">
        <v>71</v>
      </c>
      <c r="E20" t="s">
        <v>94</v>
      </c>
      <c r="F20">
        <v>25</v>
      </c>
      <c r="G20" t="s">
        <v>1200</v>
      </c>
      <c r="H20" s="1">
        <v>17</v>
      </c>
      <c r="I20" t="s">
        <v>619</v>
      </c>
      <c r="J20">
        <v>150</v>
      </c>
      <c r="K20">
        <v>4.2</v>
      </c>
      <c r="L20">
        <f t="shared" si="2"/>
        <v>71.400000000000006</v>
      </c>
      <c r="N20">
        <v>135</v>
      </c>
      <c r="O20">
        <v>155</v>
      </c>
      <c r="AD20">
        <f t="shared" si="0"/>
        <v>1</v>
      </c>
      <c r="AE20">
        <f t="shared" si="1"/>
        <v>1</v>
      </c>
    </row>
    <row r="21" spans="1:32" x14ac:dyDescent="0.25">
      <c r="A21" s="40"/>
      <c r="B21" s="2" t="s">
        <v>1201</v>
      </c>
      <c r="C21" t="s">
        <v>1247</v>
      </c>
      <c r="D21">
        <v>420</v>
      </c>
      <c r="H21" s="1">
        <f>D21/K21</f>
        <v>190.90909090909091</v>
      </c>
      <c r="I21" t="s">
        <v>574</v>
      </c>
      <c r="J21">
        <v>120</v>
      </c>
      <c r="K21">
        <v>2.2000000000000002</v>
      </c>
      <c r="L21">
        <f t="shared" si="2"/>
        <v>420</v>
      </c>
      <c r="P21" s="40"/>
      <c r="Q21" s="40"/>
      <c r="R21" s="40"/>
      <c r="S21" s="40"/>
      <c r="U21" s="40"/>
      <c r="V21" s="40"/>
      <c r="W21" s="40"/>
      <c r="X21" s="40"/>
      <c r="Y21" s="40"/>
      <c r="Z21" s="40"/>
      <c r="AB21" s="40"/>
      <c r="AC21" s="40"/>
      <c r="AD21" s="40">
        <f t="shared" si="0"/>
        <v>1</v>
      </c>
      <c r="AE21" s="40">
        <f t="shared" si="1"/>
        <v>1</v>
      </c>
      <c r="AF21" s="40"/>
    </row>
    <row r="22" spans="1:32" x14ac:dyDescent="0.25">
      <c r="A22" s="40"/>
      <c r="B22" s="2" t="s">
        <v>1202</v>
      </c>
      <c r="C22" t="s">
        <v>1247</v>
      </c>
      <c r="D22">
        <v>459</v>
      </c>
      <c r="E22" t="s">
        <v>93</v>
      </c>
      <c r="F22">
        <v>12</v>
      </c>
      <c r="G22" t="s">
        <v>941</v>
      </c>
      <c r="H22" s="1">
        <f>D22/K22</f>
        <v>106.74418604651163</v>
      </c>
      <c r="I22" t="s">
        <v>121</v>
      </c>
      <c r="J22">
        <v>136</v>
      </c>
      <c r="K22">
        <v>4.3</v>
      </c>
      <c r="L22">
        <f t="shared" si="2"/>
        <v>459</v>
      </c>
      <c r="M22" t="s">
        <v>1203</v>
      </c>
      <c r="P22" s="40"/>
      <c r="Q22" s="40"/>
      <c r="R22" s="40"/>
      <c r="S22" s="40"/>
      <c r="U22" s="40"/>
      <c r="V22" s="40"/>
      <c r="W22" s="40"/>
      <c r="X22" s="40"/>
      <c r="Y22" s="40"/>
      <c r="Z22" s="40"/>
      <c r="AB22" s="40"/>
      <c r="AC22" s="40"/>
      <c r="AD22" s="40">
        <f t="shared" si="0"/>
        <v>1</v>
      </c>
      <c r="AE22" s="40">
        <f t="shared" si="1"/>
        <v>1</v>
      </c>
      <c r="AF22" s="40"/>
    </row>
    <row r="23" spans="1:32" x14ac:dyDescent="0.25">
      <c r="A23" s="40"/>
      <c r="B23" s="2" t="s">
        <v>1204</v>
      </c>
      <c r="C23" t="s">
        <v>1247</v>
      </c>
      <c r="D23">
        <v>228</v>
      </c>
      <c r="E23" t="s">
        <v>93</v>
      </c>
      <c r="F23">
        <v>13</v>
      </c>
      <c r="G23" t="s">
        <v>941</v>
      </c>
      <c r="H23" s="1">
        <f>D23/K23</f>
        <v>53.02325581395349</v>
      </c>
      <c r="I23" t="s">
        <v>121</v>
      </c>
      <c r="J23">
        <v>136</v>
      </c>
      <c r="K23">
        <v>4.3</v>
      </c>
      <c r="L23">
        <f t="shared" si="2"/>
        <v>228</v>
      </c>
      <c r="M23" t="s">
        <v>1203</v>
      </c>
      <c r="P23" s="40"/>
      <c r="Q23" s="40"/>
      <c r="R23" s="40"/>
      <c r="S23" s="40"/>
      <c r="U23" s="40"/>
      <c r="V23" s="40"/>
      <c r="W23" s="40"/>
      <c r="X23" s="40"/>
      <c r="Y23" s="40"/>
      <c r="Z23" s="40"/>
      <c r="AB23" s="40"/>
      <c r="AC23" s="40"/>
      <c r="AD23" s="40">
        <f t="shared" si="0"/>
        <v>1</v>
      </c>
      <c r="AE23" s="40">
        <f t="shared" si="1"/>
        <v>1</v>
      </c>
      <c r="AF23" s="40"/>
    </row>
    <row r="24" spans="1:32" x14ac:dyDescent="0.25">
      <c r="A24" s="40"/>
      <c r="B24" s="2" t="s">
        <v>1205</v>
      </c>
      <c r="C24" t="s">
        <v>1247</v>
      </c>
      <c r="D24">
        <v>249</v>
      </c>
      <c r="E24" t="s">
        <v>94</v>
      </c>
      <c r="F24">
        <v>5</v>
      </c>
      <c r="G24" t="s">
        <v>220</v>
      </c>
      <c r="H24" s="1">
        <f>D24/K24</f>
        <v>113.18181818181817</v>
      </c>
      <c r="I24" t="s">
        <v>574</v>
      </c>
      <c r="J24">
        <v>120</v>
      </c>
      <c r="K24">
        <v>2.2000000000000002</v>
      </c>
      <c r="L24">
        <f t="shared" si="2"/>
        <v>249</v>
      </c>
      <c r="P24" s="40"/>
      <c r="Q24" s="40"/>
      <c r="R24" s="40"/>
      <c r="S24" s="40"/>
      <c r="U24" s="40"/>
      <c r="V24" s="40"/>
      <c r="W24" s="40"/>
      <c r="X24" s="40"/>
      <c r="Y24" s="40"/>
      <c r="Z24" s="40"/>
      <c r="AB24" s="40"/>
      <c r="AC24" s="40"/>
      <c r="AD24" s="40">
        <f t="shared" si="0"/>
        <v>1</v>
      </c>
      <c r="AE24" s="40">
        <f t="shared" si="1"/>
        <v>1</v>
      </c>
      <c r="AF24" s="40"/>
    </row>
    <row r="25" spans="1:32" x14ac:dyDescent="0.25">
      <c r="A25" s="40"/>
      <c r="B25" s="2" t="s">
        <v>1206</v>
      </c>
      <c r="C25" t="s">
        <v>318</v>
      </c>
      <c r="D25">
        <v>90</v>
      </c>
      <c r="E25" t="s">
        <v>94</v>
      </c>
      <c r="G25" t="s">
        <v>80</v>
      </c>
      <c r="H25" s="1">
        <v>21</v>
      </c>
      <c r="I25" t="s">
        <v>619</v>
      </c>
      <c r="J25">
        <v>150</v>
      </c>
      <c r="K25">
        <v>4.3</v>
      </c>
      <c r="L25">
        <f t="shared" si="2"/>
        <v>90.3</v>
      </c>
      <c r="M25" t="s">
        <v>1203</v>
      </c>
      <c r="P25" s="40"/>
      <c r="Q25" s="40"/>
      <c r="R25" s="40"/>
      <c r="S25" s="40"/>
      <c r="U25" s="40"/>
      <c r="V25" s="40"/>
      <c r="W25" s="40"/>
      <c r="X25" s="40"/>
      <c r="Y25" s="40"/>
      <c r="Z25" s="40"/>
      <c r="AB25" s="40"/>
      <c r="AC25" s="40"/>
      <c r="AD25" s="40">
        <f t="shared" si="0"/>
        <v>1</v>
      </c>
      <c r="AE25" s="40">
        <f t="shared" si="1"/>
        <v>1</v>
      </c>
      <c r="AF25" s="40"/>
    </row>
    <row r="26" spans="1:32" x14ac:dyDescent="0.25">
      <c r="A26" s="40"/>
      <c r="B26" s="2" t="s">
        <v>1207</v>
      </c>
      <c r="C26" t="s">
        <v>142</v>
      </c>
      <c r="D26">
        <v>44</v>
      </c>
      <c r="E26" t="s">
        <v>93</v>
      </c>
      <c r="F26">
        <v>2</v>
      </c>
      <c r="H26" s="1">
        <v>20</v>
      </c>
      <c r="I26" t="s">
        <v>574</v>
      </c>
      <c r="J26">
        <v>120</v>
      </c>
      <c r="K26">
        <v>2.2000000000000002</v>
      </c>
      <c r="L26">
        <f t="shared" si="2"/>
        <v>44</v>
      </c>
      <c r="N26">
        <v>152</v>
      </c>
      <c r="P26" s="40"/>
      <c r="Q26" s="40"/>
      <c r="R26" s="40"/>
      <c r="S26" s="40"/>
      <c r="U26" s="40"/>
      <c r="V26" s="40"/>
      <c r="W26" s="40"/>
      <c r="X26" s="40"/>
      <c r="Y26" s="40"/>
      <c r="Z26" s="40"/>
      <c r="AB26" s="40"/>
      <c r="AC26" s="40"/>
      <c r="AD26" s="40">
        <f t="shared" si="0"/>
        <v>1</v>
      </c>
      <c r="AE26" s="40">
        <f t="shared" si="1"/>
        <v>1</v>
      </c>
      <c r="AF26" s="40"/>
    </row>
    <row r="27" spans="1:32" x14ac:dyDescent="0.25">
      <c r="A27" s="40"/>
      <c r="B27" s="2" t="s">
        <v>1208</v>
      </c>
      <c r="C27" t="s">
        <v>141</v>
      </c>
      <c r="D27">
        <v>147</v>
      </c>
      <c r="G27" t="s">
        <v>1209</v>
      </c>
      <c r="H27" s="1">
        <v>35</v>
      </c>
      <c r="I27" t="s">
        <v>619</v>
      </c>
      <c r="J27">
        <v>150</v>
      </c>
      <c r="K27">
        <v>4.2</v>
      </c>
      <c r="L27">
        <f t="shared" si="2"/>
        <v>147</v>
      </c>
      <c r="N27">
        <v>105</v>
      </c>
      <c r="P27" s="40"/>
      <c r="Q27" s="40"/>
      <c r="R27" s="40"/>
      <c r="S27" s="40"/>
      <c r="U27" s="40"/>
      <c r="V27" s="40"/>
      <c r="W27" s="40"/>
      <c r="X27" s="40"/>
      <c r="Y27" s="40"/>
      <c r="Z27" s="40"/>
      <c r="AB27" s="40"/>
      <c r="AC27" s="40"/>
      <c r="AD27" s="40">
        <f t="shared" si="0"/>
        <v>1</v>
      </c>
      <c r="AE27" s="40">
        <f t="shared" si="1"/>
        <v>1</v>
      </c>
      <c r="AF27" s="40"/>
    </row>
    <row r="28" spans="1:32" x14ac:dyDescent="0.25">
      <c r="A28" s="40"/>
      <c r="B28" s="2" t="s">
        <v>1210</v>
      </c>
      <c r="C28" t="s">
        <v>144</v>
      </c>
      <c r="D28">
        <v>227</v>
      </c>
      <c r="E28" t="s">
        <v>94</v>
      </c>
      <c r="F28">
        <v>25</v>
      </c>
      <c r="G28" t="s">
        <v>1211</v>
      </c>
      <c r="H28" s="1">
        <v>54</v>
      </c>
      <c r="I28" t="s">
        <v>1156</v>
      </c>
      <c r="J28">
        <v>117</v>
      </c>
      <c r="K28">
        <v>4.2</v>
      </c>
      <c r="L28">
        <f t="shared" si="2"/>
        <v>226.8</v>
      </c>
      <c r="N28">
        <v>91.5</v>
      </c>
      <c r="P28" s="40"/>
      <c r="Q28" s="40"/>
      <c r="R28" s="40"/>
      <c r="S28" s="40"/>
      <c r="U28" s="40"/>
      <c r="V28" s="40"/>
      <c r="W28" s="40"/>
      <c r="X28" s="40"/>
      <c r="Y28" s="40"/>
      <c r="Z28" s="40"/>
      <c r="AB28" s="40"/>
      <c r="AC28" s="40"/>
      <c r="AD28" s="40">
        <f t="shared" si="0"/>
        <v>1</v>
      </c>
      <c r="AE28" s="40">
        <f t="shared" si="1"/>
        <v>1</v>
      </c>
      <c r="AF28" s="40"/>
    </row>
    <row r="29" spans="1:32" x14ac:dyDescent="0.25">
      <c r="A29" s="40"/>
      <c r="B29" s="2" t="s">
        <v>1212</v>
      </c>
      <c r="C29" t="s">
        <v>141</v>
      </c>
      <c r="D29">
        <v>97</v>
      </c>
      <c r="H29" s="1">
        <v>23</v>
      </c>
      <c r="I29" t="s">
        <v>619</v>
      </c>
      <c r="J29">
        <v>150</v>
      </c>
      <c r="K29">
        <v>4.2</v>
      </c>
      <c r="L29">
        <f t="shared" si="2"/>
        <v>96.600000000000009</v>
      </c>
      <c r="P29" s="40"/>
      <c r="Q29" s="40"/>
      <c r="R29" s="40"/>
      <c r="S29" s="40"/>
      <c r="U29" s="40"/>
      <c r="V29" s="40"/>
      <c r="W29" s="40"/>
      <c r="X29" s="40"/>
      <c r="Y29" s="40"/>
      <c r="Z29" s="40"/>
      <c r="AB29" s="40"/>
      <c r="AC29" s="40"/>
      <c r="AD29" s="40">
        <f t="shared" si="0"/>
        <v>1</v>
      </c>
      <c r="AE29" s="40">
        <f t="shared" si="1"/>
        <v>1</v>
      </c>
      <c r="AF29" s="40"/>
    </row>
    <row r="30" spans="1:32" x14ac:dyDescent="0.25">
      <c r="A30" s="40"/>
      <c r="B30" s="2" t="s">
        <v>1199</v>
      </c>
      <c r="C30" t="s">
        <v>528</v>
      </c>
      <c r="D30">
        <v>35</v>
      </c>
      <c r="E30" t="s">
        <v>93</v>
      </c>
      <c r="F30">
        <v>15</v>
      </c>
      <c r="G30" t="s">
        <v>220</v>
      </c>
      <c r="H30" s="1">
        <v>10</v>
      </c>
      <c r="I30" t="s">
        <v>109</v>
      </c>
      <c r="J30">
        <v>126</v>
      </c>
      <c r="K30">
        <v>3.45</v>
      </c>
      <c r="L30">
        <f t="shared" si="2"/>
        <v>34.5</v>
      </c>
      <c r="P30" s="40"/>
      <c r="Q30" s="40"/>
      <c r="R30" s="40"/>
      <c r="S30" s="40"/>
      <c r="U30" s="40"/>
      <c r="V30" s="40"/>
      <c r="W30" s="40"/>
      <c r="X30" s="40"/>
      <c r="Y30" s="40"/>
      <c r="Z30" s="40"/>
      <c r="AB30" s="40"/>
      <c r="AC30" s="40"/>
      <c r="AD30" s="40">
        <f t="shared" si="0"/>
        <v>1</v>
      </c>
      <c r="AE30" s="40">
        <f t="shared" si="1"/>
        <v>1</v>
      </c>
      <c r="AF30" s="40"/>
    </row>
    <row r="31" spans="1:32" x14ac:dyDescent="0.25">
      <c r="A31" s="40"/>
      <c r="B31" s="2" t="s">
        <v>1213</v>
      </c>
      <c r="C31" t="s">
        <v>69</v>
      </c>
      <c r="D31">
        <v>164</v>
      </c>
      <c r="E31" t="s">
        <v>94</v>
      </c>
      <c r="F31">
        <v>20</v>
      </c>
      <c r="G31" t="s">
        <v>1214</v>
      </c>
      <c r="H31" s="1">
        <v>39</v>
      </c>
      <c r="I31" t="s">
        <v>619</v>
      </c>
      <c r="J31">
        <v>150</v>
      </c>
      <c r="K31">
        <v>4.2</v>
      </c>
      <c r="L31">
        <f t="shared" si="2"/>
        <v>163.80000000000001</v>
      </c>
      <c r="P31" s="40"/>
      <c r="Q31" s="40"/>
      <c r="R31" s="40"/>
      <c r="S31" s="40"/>
      <c r="U31" s="40"/>
      <c r="V31" s="40"/>
      <c r="W31" s="40"/>
      <c r="X31" s="40"/>
      <c r="Y31" s="40"/>
      <c r="Z31" s="40"/>
      <c r="AB31" s="40"/>
      <c r="AC31" s="40"/>
      <c r="AD31" s="40">
        <f t="shared" si="0"/>
        <v>1</v>
      </c>
      <c r="AE31" s="40">
        <f t="shared" si="1"/>
        <v>1</v>
      </c>
      <c r="AF31" s="40"/>
    </row>
    <row r="32" spans="1:32" x14ac:dyDescent="0.25">
      <c r="A32" s="40"/>
      <c r="B32" s="2" t="s">
        <v>1215</v>
      </c>
      <c r="C32" t="s">
        <v>141</v>
      </c>
      <c r="D32">
        <v>445</v>
      </c>
      <c r="E32" t="s">
        <v>94</v>
      </c>
      <c r="F32">
        <v>20</v>
      </c>
      <c r="G32" t="s">
        <v>1102</v>
      </c>
      <c r="H32" s="1">
        <v>106</v>
      </c>
      <c r="I32" t="s">
        <v>619</v>
      </c>
      <c r="J32">
        <v>150</v>
      </c>
      <c r="K32">
        <v>4.2</v>
      </c>
      <c r="L32">
        <f t="shared" si="2"/>
        <v>445.20000000000005</v>
      </c>
      <c r="P32" s="40"/>
      <c r="Q32" s="40"/>
      <c r="R32" s="40"/>
      <c r="S32" s="40"/>
      <c r="U32" s="40"/>
      <c r="V32" s="40"/>
      <c r="W32" s="40"/>
      <c r="X32" s="40"/>
      <c r="Y32" s="40"/>
      <c r="Z32" s="40"/>
      <c r="AB32" s="40"/>
      <c r="AC32" s="40"/>
      <c r="AD32" s="40">
        <f t="shared" si="0"/>
        <v>1</v>
      </c>
      <c r="AE32" s="40">
        <f t="shared" si="1"/>
        <v>1</v>
      </c>
      <c r="AF32" s="40"/>
    </row>
    <row r="33" spans="1:32" x14ac:dyDescent="0.25">
      <c r="A33" s="40"/>
      <c r="B33" s="2" t="s">
        <v>1216</v>
      </c>
      <c r="C33" t="s">
        <v>146</v>
      </c>
      <c r="D33">
        <v>18</v>
      </c>
      <c r="H33" s="1"/>
      <c r="L33">
        <f t="shared" si="2"/>
        <v>0</v>
      </c>
      <c r="P33" s="40"/>
      <c r="Q33" s="40"/>
      <c r="R33" s="40"/>
      <c r="S33" s="40"/>
      <c r="U33" s="40"/>
      <c r="V33" s="40"/>
      <c r="W33" s="40"/>
      <c r="X33" s="40"/>
      <c r="Y33" s="40"/>
      <c r="Z33" s="40"/>
      <c r="AB33" s="40"/>
      <c r="AC33" s="40"/>
      <c r="AD33" s="40">
        <f t="shared" si="0"/>
        <v>0</v>
      </c>
      <c r="AE33" s="40">
        <f t="shared" si="1"/>
        <v>1</v>
      </c>
      <c r="AF33" s="40"/>
    </row>
    <row r="34" spans="1:32" x14ac:dyDescent="0.25">
      <c r="B34" s="2" t="s">
        <v>1217</v>
      </c>
      <c r="C34" t="s">
        <v>163</v>
      </c>
      <c r="D34">
        <v>58</v>
      </c>
      <c r="H34" s="1"/>
      <c r="L34">
        <f t="shared" si="2"/>
        <v>0</v>
      </c>
      <c r="AD34" s="40">
        <f t="shared" ref="AD34:AD65" si="3">COUNTIF($I$113:$I$143,I34)</f>
        <v>0</v>
      </c>
      <c r="AE34" s="40">
        <f t="shared" ref="AE34:AE65" si="4">COUNTIF($C$112:$C$143,C34)</f>
        <v>1</v>
      </c>
    </row>
    <row r="35" spans="1:32" x14ac:dyDescent="0.25">
      <c r="A35" s="40"/>
      <c r="B35" s="2" t="s">
        <v>1218</v>
      </c>
      <c r="C35" t="s">
        <v>141</v>
      </c>
      <c r="D35">
        <v>281</v>
      </c>
      <c r="H35" s="1">
        <v>67</v>
      </c>
      <c r="I35" t="s">
        <v>619</v>
      </c>
      <c r="J35">
        <v>150</v>
      </c>
      <c r="K35">
        <v>4.2</v>
      </c>
      <c r="L35">
        <f t="shared" si="2"/>
        <v>281.40000000000003</v>
      </c>
      <c r="AD35" s="40">
        <f t="shared" si="3"/>
        <v>1</v>
      </c>
      <c r="AE35" s="40">
        <f t="shared" si="4"/>
        <v>1</v>
      </c>
    </row>
    <row r="36" spans="1:32" x14ac:dyDescent="0.25">
      <c r="A36" s="40"/>
      <c r="B36" s="2" t="s">
        <v>1218</v>
      </c>
      <c r="C36" t="s">
        <v>142</v>
      </c>
      <c r="D36">
        <v>11</v>
      </c>
      <c r="H36" s="1"/>
      <c r="L36">
        <f t="shared" si="2"/>
        <v>0</v>
      </c>
      <c r="AD36" s="40">
        <f t="shared" si="3"/>
        <v>0</v>
      </c>
      <c r="AE36" s="40">
        <f t="shared" si="4"/>
        <v>1</v>
      </c>
    </row>
    <row r="37" spans="1:32" x14ac:dyDescent="0.25">
      <c r="A37" s="40"/>
      <c r="B37" s="2" t="s">
        <v>1218</v>
      </c>
      <c r="C37" t="s">
        <v>141</v>
      </c>
      <c r="D37">
        <v>76</v>
      </c>
      <c r="H37" s="1"/>
      <c r="L37">
        <f t="shared" si="2"/>
        <v>0</v>
      </c>
      <c r="AD37" s="40">
        <f t="shared" si="3"/>
        <v>0</v>
      </c>
      <c r="AE37" s="40">
        <f t="shared" si="4"/>
        <v>1</v>
      </c>
    </row>
    <row r="38" spans="1:32" x14ac:dyDescent="0.25">
      <c r="A38" s="40"/>
      <c r="B38" s="2" t="s">
        <v>1218</v>
      </c>
      <c r="C38" t="s">
        <v>141</v>
      </c>
      <c r="D38">
        <v>197</v>
      </c>
      <c r="H38" s="1">
        <v>47</v>
      </c>
      <c r="I38" t="s">
        <v>619</v>
      </c>
      <c r="J38">
        <v>150</v>
      </c>
      <c r="K38">
        <v>4.2</v>
      </c>
      <c r="L38">
        <f t="shared" si="2"/>
        <v>197.4</v>
      </c>
      <c r="AD38" s="40">
        <f t="shared" si="3"/>
        <v>1</v>
      </c>
      <c r="AE38" s="40">
        <f t="shared" si="4"/>
        <v>1</v>
      </c>
    </row>
    <row r="39" spans="1:32" x14ac:dyDescent="0.25">
      <c r="A39" s="40"/>
      <c r="B39" s="2" t="s">
        <v>1219</v>
      </c>
      <c r="C39" t="s">
        <v>318</v>
      </c>
      <c r="D39">
        <v>151</v>
      </c>
      <c r="E39" t="s">
        <v>94</v>
      </c>
      <c r="F39">
        <v>30</v>
      </c>
      <c r="G39" t="s">
        <v>618</v>
      </c>
      <c r="H39" s="1">
        <f>D39/K39</f>
        <v>26.964285714285715</v>
      </c>
      <c r="I39" t="s">
        <v>1220</v>
      </c>
      <c r="J39">
        <v>162</v>
      </c>
      <c r="K39">
        <v>5.6</v>
      </c>
      <c r="L39">
        <f t="shared" si="2"/>
        <v>151</v>
      </c>
      <c r="N39">
        <v>166</v>
      </c>
      <c r="AD39" s="40">
        <f t="shared" si="3"/>
        <v>1</v>
      </c>
      <c r="AE39" s="40">
        <f t="shared" si="4"/>
        <v>1</v>
      </c>
    </row>
    <row r="40" spans="1:32" x14ac:dyDescent="0.25">
      <c r="A40" s="40"/>
      <c r="B40" s="2" t="s">
        <v>1221</v>
      </c>
      <c r="C40" t="s">
        <v>1222</v>
      </c>
      <c r="D40">
        <v>54</v>
      </c>
      <c r="E40" t="s">
        <v>94</v>
      </c>
      <c r="F40">
        <v>20</v>
      </c>
      <c r="G40" t="s">
        <v>1223</v>
      </c>
      <c r="H40" s="1">
        <v>15</v>
      </c>
      <c r="I40" t="s">
        <v>108</v>
      </c>
      <c r="J40">
        <v>136</v>
      </c>
      <c r="K40">
        <v>3.6</v>
      </c>
      <c r="L40">
        <f t="shared" si="2"/>
        <v>54</v>
      </c>
      <c r="M40" t="s">
        <v>1224</v>
      </c>
      <c r="AD40" s="40">
        <f t="shared" si="3"/>
        <v>1</v>
      </c>
      <c r="AE40" s="40">
        <f t="shared" si="4"/>
        <v>1</v>
      </c>
    </row>
    <row r="41" spans="1:32" x14ac:dyDescent="0.25">
      <c r="B41" s="2" t="s">
        <v>1221</v>
      </c>
      <c r="C41" t="s">
        <v>1247</v>
      </c>
      <c r="D41">
        <v>454</v>
      </c>
      <c r="E41" t="s">
        <v>94</v>
      </c>
      <c r="F41">
        <v>10</v>
      </c>
      <c r="H41" s="1">
        <f>D41/K41</f>
        <v>206.36363636363635</v>
      </c>
      <c r="I41" t="s">
        <v>574</v>
      </c>
      <c r="J41">
        <v>120</v>
      </c>
      <c r="K41">
        <v>2.2000000000000002</v>
      </c>
      <c r="L41">
        <f t="shared" si="2"/>
        <v>454</v>
      </c>
      <c r="AD41" s="40">
        <f t="shared" si="3"/>
        <v>1</v>
      </c>
      <c r="AE41" s="40">
        <f t="shared" si="4"/>
        <v>1</v>
      </c>
    </row>
    <row r="42" spans="1:32" x14ac:dyDescent="0.25">
      <c r="A42" s="40"/>
      <c r="B42" s="2" t="s">
        <v>1221</v>
      </c>
      <c r="C42" t="s">
        <v>1247</v>
      </c>
      <c r="D42">
        <v>268</v>
      </c>
      <c r="H42" s="1">
        <f>D42/K42</f>
        <v>63.80952380952381</v>
      </c>
      <c r="I42" t="s">
        <v>619</v>
      </c>
      <c r="J42">
        <v>150</v>
      </c>
      <c r="K42">
        <v>4.2</v>
      </c>
      <c r="L42">
        <f t="shared" si="2"/>
        <v>268</v>
      </c>
      <c r="AD42" s="40">
        <f t="shared" si="3"/>
        <v>1</v>
      </c>
      <c r="AE42" s="40">
        <f t="shared" si="4"/>
        <v>1</v>
      </c>
    </row>
    <row r="43" spans="1:32" s="11" customFormat="1" x14ac:dyDescent="0.25">
      <c r="A43" s="41">
        <f>SUM(D19:D43)</f>
        <v>4601</v>
      </c>
      <c r="B43" s="30" t="s">
        <v>1221</v>
      </c>
      <c r="C43" s="11" t="s">
        <v>1247</v>
      </c>
      <c r="D43" s="11">
        <v>225</v>
      </c>
      <c r="E43" s="11" t="s">
        <v>94</v>
      </c>
      <c r="F43" s="11">
        <v>25</v>
      </c>
      <c r="H43" s="28">
        <f>D43/K43</f>
        <v>53.571428571428569</v>
      </c>
      <c r="I43" s="11" t="s">
        <v>619</v>
      </c>
      <c r="J43" s="11">
        <v>150</v>
      </c>
      <c r="K43" s="11">
        <v>4.2</v>
      </c>
      <c r="L43" s="11">
        <f t="shared" si="2"/>
        <v>225</v>
      </c>
      <c r="AD43" s="41">
        <f t="shared" si="3"/>
        <v>1</v>
      </c>
      <c r="AE43" s="41">
        <f t="shared" si="4"/>
        <v>1</v>
      </c>
    </row>
    <row r="44" spans="1:32" x14ac:dyDescent="0.25">
      <c r="A44" s="40"/>
      <c r="B44" s="2" t="s">
        <v>1225</v>
      </c>
      <c r="C44" t="s">
        <v>138</v>
      </c>
      <c r="D44">
        <v>41</v>
      </c>
      <c r="G44" t="s">
        <v>1226</v>
      </c>
      <c r="H44" s="1">
        <v>12</v>
      </c>
      <c r="I44" t="s">
        <v>112</v>
      </c>
      <c r="J44">
        <v>112</v>
      </c>
      <c r="K44">
        <v>3.45</v>
      </c>
      <c r="L44">
        <f t="shared" si="2"/>
        <v>41.400000000000006</v>
      </c>
      <c r="AD44" s="40">
        <f t="shared" si="3"/>
        <v>1</v>
      </c>
      <c r="AE44" s="40">
        <f t="shared" si="4"/>
        <v>1</v>
      </c>
    </row>
    <row r="45" spans="1:32" x14ac:dyDescent="0.25">
      <c r="A45" s="40"/>
      <c r="B45" s="2" t="s">
        <v>1227</v>
      </c>
      <c r="C45" t="s">
        <v>1228</v>
      </c>
      <c r="D45">
        <v>415</v>
      </c>
      <c r="E45" t="s">
        <v>93</v>
      </c>
      <c r="F45">
        <v>20</v>
      </c>
      <c r="G45" t="s">
        <v>220</v>
      </c>
      <c r="H45" s="1">
        <v>99</v>
      </c>
      <c r="I45" t="s">
        <v>619</v>
      </c>
      <c r="J45">
        <v>150</v>
      </c>
      <c r="K45">
        <v>4.2</v>
      </c>
      <c r="L45">
        <f t="shared" si="2"/>
        <v>415.8</v>
      </c>
      <c r="AD45" s="40">
        <f t="shared" si="3"/>
        <v>1</v>
      </c>
      <c r="AE45" s="40">
        <f t="shared" si="4"/>
        <v>1</v>
      </c>
    </row>
    <row r="46" spans="1:32" x14ac:dyDescent="0.25">
      <c r="A46" s="40"/>
      <c r="B46" s="2" t="s">
        <v>1229</v>
      </c>
      <c r="C46" t="s">
        <v>138</v>
      </c>
      <c r="D46">
        <v>29</v>
      </c>
      <c r="E46" t="s">
        <v>94</v>
      </c>
      <c r="F46">
        <v>20</v>
      </c>
      <c r="G46" t="s">
        <v>1230</v>
      </c>
      <c r="H46" s="1">
        <v>7</v>
      </c>
      <c r="I46" t="s">
        <v>121</v>
      </c>
      <c r="J46">
        <v>136</v>
      </c>
      <c r="K46">
        <v>4.2</v>
      </c>
      <c r="L46">
        <f t="shared" si="2"/>
        <v>29.400000000000002</v>
      </c>
      <c r="N46">
        <v>166</v>
      </c>
      <c r="AD46" s="40">
        <f t="shared" si="3"/>
        <v>1</v>
      </c>
      <c r="AE46" s="40">
        <f t="shared" si="4"/>
        <v>1</v>
      </c>
    </row>
    <row r="47" spans="1:32" x14ac:dyDescent="0.25">
      <c r="A47" s="40"/>
      <c r="B47" s="2" t="s">
        <v>1231</v>
      </c>
      <c r="C47" t="s">
        <v>318</v>
      </c>
      <c r="D47">
        <v>60</v>
      </c>
      <c r="E47" t="s">
        <v>94</v>
      </c>
      <c r="F47">
        <v>30</v>
      </c>
      <c r="G47" t="s">
        <v>68</v>
      </c>
      <c r="H47" s="1">
        <f>D47/K47</f>
        <v>14.285714285714285</v>
      </c>
      <c r="I47" t="s">
        <v>619</v>
      </c>
      <c r="J47">
        <v>150</v>
      </c>
      <c r="K47">
        <v>4.2</v>
      </c>
      <c r="L47">
        <f t="shared" si="2"/>
        <v>60</v>
      </c>
      <c r="AD47" s="40">
        <f t="shared" si="3"/>
        <v>1</v>
      </c>
      <c r="AE47" s="40">
        <f t="shared" si="4"/>
        <v>1</v>
      </c>
    </row>
    <row r="48" spans="1:32" x14ac:dyDescent="0.25">
      <c r="A48" s="40"/>
      <c r="B48" s="2" t="s">
        <v>1232</v>
      </c>
      <c r="C48" t="s">
        <v>138</v>
      </c>
      <c r="D48">
        <v>11</v>
      </c>
      <c r="E48" t="s">
        <v>93</v>
      </c>
      <c r="F48">
        <v>25</v>
      </c>
      <c r="G48" t="s">
        <v>1233</v>
      </c>
      <c r="H48" s="1">
        <f>D48/K48</f>
        <v>1.9642857142857144</v>
      </c>
      <c r="I48" t="s">
        <v>1234</v>
      </c>
      <c r="J48">
        <v>150</v>
      </c>
      <c r="K48">
        <v>5.6</v>
      </c>
      <c r="L48">
        <f t="shared" si="2"/>
        <v>11</v>
      </c>
      <c r="N48">
        <v>166</v>
      </c>
      <c r="AB48" t="s">
        <v>1235</v>
      </c>
      <c r="AD48" s="40">
        <f t="shared" si="3"/>
        <v>1</v>
      </c>
      <c r="AE48" s="40">
        <f t="shared" si="4"/>
        <v>1</v>
      </c>
    </row>
    <row r="49" spans="1:31" x14ac:dyDescent="0.25">
      <c r="A49" s="40"/>
      <c r="B49" s="2" t="s">
        <v>1236</v>
      </c>
      <c r="C49" t="s">
        <v>140</v>
      </c>
      <c r="D49">
        <v>95</v>
      </c>
      <c r="E49" t="s">
        <v>94</v>
      </c>
      <c r="F49">
        <v>25</v>
      </c>
      <c r="G49" t="s">
        <v>327</v>
      </c>
      <c r="H49" s="1">
        <v>22</v>
      </c>
      <c r="I49" t="s">
        <v>619</v>
      </c>
      <c r="J49">
        <v>150</v>
      </c>
      <c r="K49">
        <v>4.3</v>
      </c>
      <c r="L49">
        <f t="shared" si="2"/>
        <v>94.6</v>
      </c>
      <c r="M49" t="s">
        <v>1237</v>
      </c>
      <c r="AD49" s="40">
        <f t="shared" si="3"/>
        <v>1</v>
      </c>
      <c r="AE49" s="40">
        <f t="shared" si="4"/>
        <v>1</v>
      </c>
    </row>
    <row r="50" spans="1:31" x14ac:dyDescent="0.25">
      <c r="A50" s="40"/>
      <c r="B50" s="2" t="s">
        <v>1238</v>
      </c>
      <c r="C50" t="s">
        <v>139</v>
      </c>
      <c r="D50">
        <v>34</v>
      </c>
      <c r="E50" t="s">
        <v>94</v>
      </c>
      <c r="F50">
        <v>27</v>
      </c>
      <c r="G50" t="s">
        <v>1239</v>
      </c>
      <c r="H50" s="1">
        <f>D50/K50</f>
        <v>8.0952380952380949</v>
      </c>
      <c r="I50" t="s">
        <v>121</v>
      </c>
      <c r="J50">
        <v>136</v>
      </c>
      <c r="K50">
        <v>4.2</v>
      </c>
      <c r="L50">
        <f t="shared" si="2"/>
        <v>34</v>
      </c>
      <c r="AD50" s="40">
        <f t="shared" si="3"/>
        <v>1</v>
      </c>
      <c r="AE50" s="40">
        <f t="shared" si="4"/>
        <v>1</v>
      </c>
    </row>
    <row r="51" spans="1:31" x14ac:dyDescent="0.25">
      <c r="A51" s="40"/>
      <c r="B51" s="2" t="s">
        <v>1240</v>
      </c>
      <c r="C51" t="s">
        <v>148</v>
      </c>
      <c r="D51">
        <v>43</v>
      </c>
      <c r="E51" t="s">
        <v>93</v>
      </c>
      <c r="F51">
        <v>20</v>
      </c>
      <c r="G51" t="s">
        <v>1241</v>
      </c>
      <c r="H51" s="1">
        <v>12</v>
      </c>
      <c r="I51" t="s">
        <v>118</v>
      </c>
      <c r="J51">
        <v>136</v>
      </c>
      <c r="K51">
        <v>3.6</v>
      </c>
      <c r="L51">
        <f t="shared" si="2"/>
        <v>43.2</v>
      </c>
      <c r="AD51" s="40">
        <f t="shared" si="3"/>
        <v>1</v>
      </c>
      <c r="AE51" s="40">
        <f t="shared" si="4"/>
        <v>1</v>
      </c>
    </row>
    <row r="52" spans="1:31" x14ac:dyDescent="0.25">
      <c r="A52" s="40"/>
      <c r="B52" s="2" t="s">
        <v>1242</v>
      </c>
      <c r="C52" t="s">
        <v>34</v>
      </c>
      <c r="D52">
        <v>168</v>
      </c>
      <c r="E52" t="s">
        <v>94</v>
      </c>
      <c r="F52">
        <v>5</v>
      </c>
      <c r="H52" s="1">
        <v>42</v>
      </c>
      <c r="I52" t="s">
        <v>619</v>
      </c>
      <c r="J52">
        <v>150</v>
      </c>
      <c r="K52">
        <v>4.2</v>
      </c>
      <c r="L52">
        <f t="shared" si="2"/>
        <v>176.4</v>
      </c>
      <c r="AD52" s="40">
        <f t="shared" si="3"/>
        <v>1</v>
      </c>
      <c r="AE52" s="40">
        <f t="shared" si="4"/>
        <v>1</v>
      </c>
    </row>
    <row r="53" spans="1:31" x14ac:dyDescent="0.25">
      <c r="A53" s="40"/>
      <c r="B53" s="2" t="s">
        <v>1242</v>
      </c>
      <c r="C53" t="s">
        <v>148</v>
      </c>
      <c r="D53">
        <v>88</v>
      </c>
      <c r="E53" t="s">
        <v>93</v>
      </c>
      <c r="F53">
        <v>20</v>
      </c>
      <c r="H53" s="1">
        <v>21</v>
      </c>
      <c r="I53" t="s">
        <v>121</v>
      </c>
      <c r="J53">
        <v>136</v>
      </c>
      <c r="K53">
        <v>4.2</v>
      </c>
      <c r="L53">
        <f t="shared" si="2"/>
        <v>88.2</v>
      </c>
      <c r="AD53" s="40">
        <f t="shared" si="3"/>
        <v>1</v>
      </c>
      <c r="AE53" s="40">
        <f t="shared" si="4"/>
        <v>1</v>
      </c>
    </row>
    <row r="54" spans="1:31" x14ac:dyDescent="0.25">
      <c r="A54" s="40"/>
      <c r="B54" s="2" t="s">
        <v>1242</v>
      </c>
      <c r="C54" t="s">
        <v>148</v>
      </c>
      <c r="D54">
        <v>54</v>
      </c>
      <c r="E54" t="s">
        <v>94</v>
      </c>
      <c r="F54">
        <v>20</v>
      </c>
      <c r="G54" t="s">
        <v>1243</v>
      </c>
      <c r="H54" s="1">
        <v>15</v>
      </c>
      <c r="I54" t="s">
        <v>115</v>
      </c>
      <c r="J54">
        <v>117</v>
      </c>
      <c r="K54">
        <v>3.6</v>
      </c>
      <c r="L54">
        <f t="shared" si="2"/>
        <v>54</v>
      </c>
      <c r="M54" t="s">
        <v>566</v>
      </c>
      <c r="AD54" s="40">
        <f t="shared" si="3"/>
        <v>1</v>
      </c>
      <c r="AE54" s="40">
        <f t="shared" si="4"/>
        <v>1</v>
      </c>
    </row>
    <row r="55" spans="1:31" x14ac:dyDescent="0.25">
      <c r="A55" s="40"/>
      <c r="B55" s="2" t="s">
        <v>1242</v>
      </c>
      <c r="C55" t="s">
        <v>1247</v>
      </c>
      <c r="D55">
        <v>359</v>
      </c>
      <c r="F55">
        <v>10</v>
      </c>
      <c r="H55" s="1">
        <f>D55/K55</f>
        <v>163.18181818181816</v>
      </c>
      <c r="I55" t="s">
        <v>574</v>
      </c>
      <c r="J55">
        <v>120</v>
      </c>
      <c r="K55">
        <v>2.2000000000000002</v>
      </c>
      <c r="L55">
        <f t="shared" si="2"/>
        <v>359</v>
      </c>
      <c r="AD55" s="40">
        <f t="shared" si="3"/>
        <v>1</v>
      </c>
      <c r="AE55" s="40">
        <f t="shared" si="4"/>
        <v>1</v>
      </c>
    </row>
    <row r="56" spans="1:31" x14ac:dyDescent="0.25">
      <c r="A56" s="40"/>
      <c r="B56" s="2" t="s">
        <v>1244</v>
      </c>
      <c r="C56" t="s">
        <v>1247</v>
      </c>
      <c r="D56">
        <v>230</v>
      </c>
      <c r="F56">
        <v>20</v>
      </c>
      <c r="H56" s="1">
        <f>D56/K56</f>
        <v>63.888888888888886</v>
      </c>
      <c r="I56" t="s">
        <v>108</v>
      </c>
      <c r="J56">
        <v>136</v>
      </c>
      <c r="K56">
        <v>3.6</v>
      </c>
      <c r="L56">
        <f t="shared" si="2"/>
        <v>230</v>
      </c>
      <c r="M56" t="s">
        <v>566</v>
      </c>
      <c r="AD56" s="40">
        <f t="shared" si="3"/>
        <v>1</v>
      </c>
      <c r="AE56" s="40">
        <f t="shared" si="4"/>
        <v>1</v>
      </c>
    </row>
    <row r="57" spans="1:31" x14ac:dyDescent="0.25">
      <c r="A57" s="40"/>
      <c r="B57" s="2" t="s">
        <v>1244</v>
      </c>
      <c r="C57" t="s">
        <v>148</v>
      </c>
      <c r="D57">
        <v>16</v>
      </c>
      <c r="E57" t="s">
        <v>94</v>
      </c>
      <c r="F57">
        <v>10</v>
      </c>
      <c r="G57" t="s">
        <v>816</v>
      </c>
      <c r="H57" s="1">
        <v>4</v>
      </c>
      <c r="I57" t="s">
        <v>619</v>
      </c>
      <c r="J57">
        <v>150</v>
      </c>
      <c r="K57">
        <v>4.2</v>
      </c>
      <c r="L57">
        <f t="shared" si="2"/>
        <v>16.8</v>
      </c>
      <c r="AD57" s="40">
        <f t="shared" si="3"/>
        <v>1</v>
      </c>
      <c r="AE57" s="40">
        <f t="shared" si="4"/>
        <v>1</v>
      </c>
    </row>
    <row r="58" spans="1:31" x14ac:dyDescent="0.25">
      <c r="A58" s="40"/>
      <c r="B58" s="2" t="s">
        <v>1244</v>
      </c>
      <c r="C58" t="s">
        <v>146</v>
      </c>
      <c r="D58">
        <v>43</v>
      </c>
      <c r="G58" t="s">
        <v>1245</v>
      </c>
      <c r="H58" s="1">
        <v>9</v>
      </c>
      <c r="I58" t="s">
        <v>111</v>
      </c>
      <c r="J58">
        <v>112</v>
      </c>
      <c r="K58">
        <v>3.3</v>
      </c>
      <c r="L58">
        <f t="shared" si="2"/>
        <v>29.7</v>
      </c>
      <c r="AD58" s="40">
        <f t="shared" si="3"/>
        <v>1</v>
      </c>
      <c r="AE58" s="40">
        <f t="shared" si="4"/>
        <v>1</v>
      </c>
    </row>
    <row r="59" spans="1:31" x14ac:dyDescent="0.25">
      <c r="A59" s="40"/>
      <c r="B59" s="2" t="s">
        <v>1244</v>
      </c>
      <c r="C59" t="s">
        <v>318</v>
      </c>
      <c r="D59">
        <v>211</v>
      </c>
      <c r="E59" t="s">
        <v>94</v>
      </c>
      <c r="F59">
        <v>30</v>
      </c>
      <c r="G59" t="s">
        <v>1246</v>
      </c>
      <c r="H59" s="1">
        <v>13</v>
      </c>
      <c r="I59" t="s">
        <v>619</v>
      </c>
      <c r="J59">
        <v>150</v>
      </c>
      <c r="K59">
        <v>4.2</v>
      </c>
      <c r="L59">
        <f t="shared" si="2"/>
        <v>54.6</v>
      </c>
      <c r="N59">
        <v>155</v>
      </c>
      <c r="P59">
        <v>28</v>
      </c>
      <c r="Q59" t="s">
        <v>1234</v>
      </c>
      <c r="AD59" s="40">
        <f t="shared" si="3"/>
        <v>1</v>
      </c>
      <c r="AE59" s="40">
        <f t="shared" si="4"/>
        <v>1</v>
      </c>
    </row>
    <row r="60" spans="1:31" x14ac:dyDescent="0.25">
      <c r="B60" s="2" t="s">
        <v>1244</v>
      </c>
      <c r="C60" t="s">
        <v>1247</v>
      </c>
      <c r="D60">
        <v>134</v>
      </c>
      <c r="H60" s="1"/>
      <c r="L60">
        <f t="shared" si="2"/>
        <v>0</v>
      </c>
      <c r="AD60" s="40">
        <f t="shared" si="3"/>
        <v>0</v>
      </c>
      <c r="AE60" s="40">
        <f t="shared" si="4"/>
        <v>1</v>
      </c>
    </row>
    <row r="61" spans="1:31" x14ac:dyDescent="0.25">
      <c r="A61" s="40"/>
      <c r="B61" s="2" t="s">
        <v>1244</v>
      </c>
      <c r="C61" t="s">
        <v>1247</v>
      </c>
      <c r="D61">
        <v>256</v>
      </c>
      <c r="H61" s="1"/>
      <c r="L61">
        <f t="shared" si="2"/>
        <v>0</v>
      </c>
      <c r="AD61" s="40">
        <f t="shared" si="3"/>
        <v>0</v>
      </c>
      <c r="AE61" s="40">
        <f t="shared" si="4"/>
        <v>1</v>
      </c>
    </row>
    <row r="62" spans="1:31" x14ac:dyDescent="0.25">
      <c r="A62" s="40"/>
      <c r="B62" s="2" t="s">
        <v>1244</v>
      </c>
      <c r="C62" t="s">
        <v>138</v>
      </c>
      <c r="D62">
        <v>31</v>
      </c>
      <c r="H62" s="1"/>
      <c r="L62">
        <f t="shared" si="2"/>
        <v>0</v>
      </c>
      <c r="AD62" s="40">
        <f t="shared" si="3"/>
        <v>0</v>
      </c>
      <c r="AE62" s="40">
        <f t="shared" si="4"/>
        <v>1</v>
      </c>
    </row>
    <row r="63" spans="1:31" s="11" customFormat="1" x14ac:dyDescent="0.25">
      <c r="A63" s="41">
        <f>SUM(D35:D60)</f>
        <v>3748</v>
      </c>
      <c r="B63" s="30" t="s">
        <v>1244</v>
      </c>
      <c r="C63" s="11" t="s">
        <v>1247</v>
      </c>
      <c r="D63" s="11">
        <v>337</v>
      </c>
      <c r="K63"/>
      <c r="L63" s="11">
        <f t="shared" si="2"/>
        <v>0</v>
      </c>
      <c r="AD63" s="41">
        <f t="shared" si="3"/>
        <v>0</v>
      </c>
      <c r="AE63" s="41">
        <f t="shared" si="4"/>
        <v>1</v>
      </c>
    </row>
    <row r="64" spans="1:31" x14ac:dyDescent="0.25">
      <c r="A64" s="40"/>
      <c r="B64" s="2" t="s">
        <v>1249</v>
      </c>
      <c r="C64" t="s">
        <v>1140</v>
      </c>
      <c r="D64">
        <v>61</v>
      </c>
      <c r="E64" t="s">
        <v>93</v>
      </c>
      <c r="F64">
        <v>15</v>
      </c>
      <c r="G64" t="s">
        <v>1270</v>
      </c>
      <c r="H64">
        <v>17</v>
      </c>
      <c r="I64" t="s">
        <v>115</v>
      </c>
      <c r="J64">
        <v>117</v>
      </c>
      <c r="K64">
        <v>3.6</v>
      </c>
      <c r="L64">
        <f t="shared" si="2"/>
        <v>61.2</v>
      </c>
      <c r="M64" t="s">
        <v>566</v>
      </c>
      <c r="AD64" s="40">
        <f t="shared" si="3"/>
        <v>1</v>
      </c>
      <c r="AE64" s="40">
        <f t="shared" si="4"/>
        <v>1</v>
      </c>
    </row>
    <row r="65" spans="1:31" x14ac:dyDescent="0.25">
      <c r="A65" s="40"/>
      <c r="B65" s="2" t="s">
        <v>1250</v>
      </c>
      <c r="C65" t="s">
        <v>140</v>
      </c>
      <c r="D65">
        <v>113</v>
      </c>
      <c r="E65" t="s">
        <v>94</v>
      </c>
      <c r="F65">
        <v>30</v>
      </c>
      <c r="G65" t="s">
        <v>1271</v>
      </c>
      <c r="H65">
        <v>27</v>
      </c>
      <c r="I65" t="s">
        <v>619</v>
      </c>
      <c r="J65">
        <v>150</v>
      </c>
      <c r="K65">
        <v>4.2</v>
      </c>
      <c r="L65">
        <f t="shared" si="2"/>
        <v>113.4</v>
      </c>
      <c r="AD65" s="40">
        <f t="shared" si="3"/>
        <v>1</v>
      </c>
      <c r="AE65" s="40">
        <f t="shared" si="4"/>
        <v>1</v>
      </c>
    </row>
    <row r="66" spans="1:31" x14ac:dyDescent="0.25">
      <c r="A66" s="40"/>
      <c r="B66" s="2" t="s">
        <v>1251</v>
      </c>
      <c r="C66" t="s">
        <v>1186</v>
      </c>
      <c r="D66">
        <v>103</v>
      </c>
      <c r="E66" t="s">
        <v>94</v>
      </c>
      <c r="F66">
        <v>25</v>
      </c>
      <c r="G66" t="s">
        <v>1187</v>
      </c>
      <c r="H66">
        <v>27</v>
      </c>
      <c r="I66" t="s">
        <v>112</v>
      </c>
      <c r="J66">
        <v>112</v>
      </c>
      <c r="K66">
        <v>3.8</v>
      </c>
      <c r="L66">
        <f t="shared" si="2"/>
        <v>102.6</v>
      </c>
      <c r="M66" t="s">
        <v>587</v>
      </c>
      <c r="AD66" s="40">
        <f t="shared" ref="AD66:AD93" si="5">COUNTIF($I$113:$I$143,I66)</f>
        <v>1</v>
      </c>
      <c r="AE66" s="40">
        <f t="shared" ref="AE66:AE93" si="6">COUNTIF($C$112:$C$143,C66)</f>
        <v>1</v>
      </c>
    </row>
    <row r="67" spans="1:31" x14ac:dyDescent="0.25">
      <c r="A67" s="40"/>
      <c r="B67" s="2" t="s">
        <v>1252</v>
      </c>
      <c r="C67" t="s">
        <v>564</v>
      </c>
      <c r="D67">
        <v>48</v>
      </c>
      <c r="E67" t="s">
        <v>93</v>
      </c>
      <c r="F67">
        <v>10</v>
      </c>
      <c r="G67" t="s">
        <v>1272</v>
      </c>
      <c r="H67">
        <v>14</v>
      </c>
      <c r="I67" t="s">
        <v>115</v>
      </c>
      <c r="J67">
        <v>117</v>
      </c>
      <c r="K67">
        <v>3.45</v>
      </c>
      <c r="L67">
        <f t="shared" ref="L67:L93" si="7">K67*H67</f>
        <v>48.300000000000004</v>
      </c>
      <c r="AD67" s="40">
        <f t="shared" si="5"/>
        <v>1</v>
      </c>
      <c r="AE67" s="40">
        <f t="shared" si="6"/>
        <v>1</v>
      </c>
    </row>
    <row r="68" spans="1:31" x14ac:dyDescent="0.25">
      <c r="B68" s="2" t="s">
        <v>1253</v>
      </c>
      <c r="C68" t="s">
        <v>140</v>
      </c>
      <c r="D68">
        <v>42</v>
      </c>
      <c r="E68" t="s">
        <v>94</v>
      </c>
      <c r="F68">
        <v>27</v>
      </c>
      <c r="G68" t="s">
        <v>1273</v>
      </c>
      <c r="H68">
        <v>10</v>
      </c>
      <c r="I68" t="s">
        <v>619</v>
      </c>
      <c r="J68">
        <v>150</v>
      </c>
      <c r="K68">
        <v>4.2</v>
      </c>
      <c r="L68">
        <f t="shared" si="7"/>
        <v>42</v>
      </c>
      <c r="AD68" s="40">
        <f t="shared" si="5"/>
        <v>1</v>
      </c>
      <c r="AE68" s="40">
        <f t="shared" si="6"/>
        <v>1</v>
      </c>
    </row>
    <row r="69" spans="1:31" x14ac:dyDescent="0.25">
      <c r="B69" s="2" t="s">
        <v>1254</v>
      </c>
      <c r="C69" t="s">
        <v>318</v>
      </c>
      <c r="D69">
        <v>118</v>
      </c>
      <c r="E69" t="s">
        <v>94</v>
      </c>
      <c r="F69">
        <v>30</v>
      </c>
      <c r="G69" t="s">
        <v>1274</v>
      </c>
      <c r="H69" s="1">
        <v>21</v>
      </c>
      <c r="I69" t="s">
        <v>1234</v>
      </c>
      <c r="J69">
        <v>150</v>
      </c>
      <c r="K69">
        <v>5.6</v>
      </c>
      <c r="L69">
        <f t="shared" si="7"/>
        <v>117.6</v>
      </c>
      <c r="AD69" s="40">
        <f t="shared" si="5"/>
        <v>1</v>
      </c>
      <c r="AE69" s="40">
        <f t="shared" si="6"/>
        <v>1</v>
      </c>
    </row>
    <row r="70" spans="1:31" x14ac:dyDescent="0.25">
      <c r="B70" s="2" t="s">
        <v>1255</v>
      </c>
      <c r="C70" t="s">
        <v>1247</v>
      </c>
      <c r="D70">
        <v>269</v>
      </c>
      <c r="E70" t="s">
        <v>94</v>
      </c>
      <c r="F70">
        <v>10</v>
      </c>
      <c r="H70" s="1">
        <v>51</v>
      </c>
      <c r="I70" t="s">
        <v>619</v>
      </c>
      <c r="J70">
        <v>150</v>
      </c>
      <c r="K70">
        <v>4.2</v>
      </c>
      <c r="L70">
        <f t="shared" si="7"/>
        <v>214.20000000000002</v>
      </c>
      <c r="P70">
        <v>22</v>
      </c>
      <c r="Q70" t="s">
        <v>574</v>
      </c>
      <c r="R70">
        <v>120</v>
      </c>
      <c r="S70">
        <v>2.2000000000000002</v>
      </c>
      <c r="T70">
        <f t="shared" ref="T70:T92" si="8">S70*P70</f>
        <v>48.400000000000006</v>
      </c>
      <c r="W70">
        <v>3</v>
      </c>
      <c r="X70" t="s">
        <v>110</v>
      </c>
      <c r="Y70">
        <v>110</v>
      </c>
      <c r="Z70">
        <v>2</v>
      </c>
      <c r="AA70">
        <f t="shared" ref="AA70:AA78" si="9">Z70*W70</f>
        <v>6</v>
      </c>
      <c r="AD70" s="40">
        <f t="shared" si="5"/>
        <v>1</v>
      </c>
      <c r="AE70" s="40">
        <f t="shared" si="6"/>
        <v>1</v>
      </c>
    </row>
    <row r="71" spans="1:31" x14ac:dyDescent="0.25">
      <c r="B71" s="2" t="s">
        <v>1256</v>
      </c>
      <c r="C71" t="s">
        <v>1247</v>
      </c>
      <c r="D71">
        <v>183</v>
      </c>
      <c r="E71" t="s">
        <v>94</v>
      </c>
      <c r="F71">
        <v>10</v>
      </c>
      <c r="H71" s="1">
        <f>D71/K71</f>
        <v>83.181818181818173</v>
      </c>
      <c r="I71" t="s">
        <v>574</v>
      </c>
      <c r="J71">
        <v>120</v>
      </c>
      <c r="K71">
        <v>2.2000000000000002</v>
      </c>
      <c r="L71">
        <f t="shared" si="7"/>
        <v>183</v>
      </c>
      <c r="AD71" s="40">
        <f t="shared" si="5"/>
        <v>1</v>
      </c>
      <c r="AE71" s="40">
        <f t="shared" si="6"/>
        <v>1</v>
      </c>
    </row>
    <row r="72" spans="1:31" x14ac:dyDescent="0.25">
      <c r="B72" s="2" t="s">
        <v>1257</v>
      </c>
      <c r="C72" t="s">
        <v>1247</v>
      </c>
      <c r="D72">
        <v>149</v>
      </c>
      <c r="E72" t="s">
        <v>94</v>
      </c>
      <c r="H72" s="1">
        <v>57</v>
      </c>
      <c r="I72" t="s">
        <v>574</v>
      </c>
      <c r="J72">
        <v>120</v>
      </c>
      <c r="K72">
        <v>2.2000000000000002</v>
      </c>
      <c r="L72">
        <f t="shared" si="7"/>
        <v>125.4</v>
      </c>
      <c r="P72">
        <v>12</v>
      </c>
      <c r="Q72" t="s">
        <v>110</v>
      </c>
      <c r="R72">
        <v>110</v>
      </c>
      <c r="S72">
        <v>2</v>
      </c>
      <c r="T72">
        <f t="shared" si="8"/>
        <v>24</v>
      </c>
      <c r="AD72" s="40">
        <f t="shared" si="5"/>
        <v>1</v>
      </c>
      <c r="AE72" s="40">
        <f t="shared" si="6"/>
        <v>1</v>
      </c>
    </row>
    <row r="73" spans="1:31" x14ac:dyDescent="0.25">
      <c r="B73" s="2" t="s">
        <v>1258</v>
      </c>
      <c r="C73" t="s">
        <v>318</v>
      </c>
      <c r="D73">
        <v>101</v>
      </c>
      <c r="E73" t="s">
        <v>94</v>
      </c>
      <c r="F73">
        <v>25</v>
      </c>
      <c r="G73" t="s">
        <v>1275</v>
      </c>
      <c r="H73" s="1">
        <f>D73/K73</f>
        <v>18.035714285714288</v>
      </c>
      <c r="I73" t="s">
        <v>1220</v>
      </c>
      <c r="J73">
        <v>162</v>
      </c>
      <c r="K73">
        <v>5.6</v>
      </c>
      <c r="L73">
        <f t="shared" si="7"/>
        <v>101.00000000000001</v>
      </c>
      <c r="N73">
        <v>166</v>
      </c>
      <c r="AD73" s="40">
        <f t="shared" si="5"/>
        <v>1</v>
      </c>
      <c r="AE73" s="40">
        <f t="shared" si="6"/>
        <v>1</v>
      </c>
    </row>
    <row r="74" spans="1:31" x14ac:dyDescent="0.25">
      <c r="B74" s="2" t="s">
        <v>1259</v>
      </c>
      <c r="C74" t="s">
        <v>1247</v>
      </c>
      <c r="D74">
        <v>137</v>
      </c>
      <c r="E74" t="s">
        <v>94</v>
      </c>
      <c r="F74">
        <v>10</v>
      </c>
      <c r="H74" s="1">
        <v>30</v>
      </c>
      <c r="I74" t="s">
        <v>119</v>
      </c>
      <c r="J74">
        <v>110</v>
      </c>
      <c r="K74">
        <v>2.2000000000000002</v>
      </c>
      <c r="L74">
        <f t="shared" si="7"/>
        <v>66</v>
      </c>
      <c r="P74">
        <v>36</v>
      </c>
      <c r="Q74" t="s">
        <v>110</v>
      </c>
      <c r="R74">
        <v>110</v>
      </c>
      <c r="S74">
        <v>2</v>
      </c>
      <c r="T74">
        <f t="shared" si="8"/>
        <v>72</v>
      </c>
      <c r="AD74" s="40">
        <f t="shared" si="5"/>
        <v>1</v>
      </c>
      <c r="AE74" s="40">
        <f t="shared" si="6"/>
        <v>1</v>
      </c>
    </row>
    <row r="75" spans="1:31" x14ac:dyDescent="0.25">
      <c r="B75" s="2" t="s">
        <v>1260</v>
      </c>
      <c r="C75" t="s">
        <v>42</v>
      </c>
      <c r="D75">
        <v>185</v>
      </c>
      <c r="E75" t="s">
        <v>94</v>
      </c>
      <c r="F75">
        <v>20</v>
      </c>
      <c r="G75" t="s">
        <v>1430</v>
      </c>
      <c r="H75" s="1">
        <v>44</v>
      </c>
      <c r="I75" t="s">
        <v>1156</v>
      </c>
      <c r="J75">
        <v>117</v>
      </c>
      <c r="K75">
        <v>4.2</v>
      </c>
      <c r="L75">
        <f t="shared" si="7"/>
        <v>184.8</v>
      </c>
      <c r="AD75" s="40">
        <f t="shared" si="5"/>
        <v>1</v>
      </c>
      <c r="AE75" s="40">
        <f t="shared" si="6"/>
        <v>1</v>
      </c>
    </row>
    <row r="76" spans="1:31" x14ac:dyDescent="0.25">
      <c r="B76" s="2" t="s">
        <v>1261</v>
      </c>
      <c r="C76" t="s">
        <v>161</v>
      </c>
      <c r="D76">
        <v>132</v>
      </c>
      <c r="E76" t="s">
        <v>94</v>
      </c>
      <c r="F76">
        <v>15</v>
      </c>
      <c r="G76" t="s">
        <v>1429</v>
      </c>
      <c r="H76" s="1">
        <v>19</v>
      </c>
      <c r="I76" t="s">
        <v>108</v>
      </c>
      <c r="J76">
        <v>136</v>
      </c>
      <c r="K76">
        <v>3.3</v>
      </c>
      <c r="L76">
        <f t="shared" si="7"/>
        <v>62.699999999999996</v>
      </c>
      <c r="M76" t="s">
        <v>1195</v>
      </c>
      <c r="P76">
        <v>33</v>
      </c>
      <c r="Q76" t="s">
        <v>110</v>
      </c>
      <c r="R76">
        <v>110</v>
      </c>
      <c r="S76">
        <v>2</v>
      </c>
      <c r="T76">
        <f t="shared" si="8"/>
        <v>66</v>
      </c>
      <c r="W76">
        <v>1</v>
      </c>
      <c r="X76" t="s">
        <v>109</v>
      </c>
      <c r="Y76">
        <v>126</v>
      </c>
      <c r="Z76">
        <v>3.45</v>
      </c>
      <c r="AA76">
        <f t="shared" si="9"/>
        <v>3.45</v>
      </c>
      <c r="AD76" s="40">
        <f t="shared" si="5"/>
        <v>1</v>
      </c>
      <c r="AE76" s="40">
        <f t="shared" si="6"/>
        <v>1</v>
      </c>
    </row>
    <row r="77" spans="1:31" x14ac:dyDescent="0.25">
      <c r="B77" s="2" t="s">
        <v>1262</v>
      </c>
      <c r="C77" t="s">
        <v>1247</v>
      </c>
      <c r="D77">
        <v>224</v>
      </c>
      <c r="E77" t="s">
        <v>94</v>
      </c>
      <c r="F77">
        <v>10</v>
      </c>
      <c r="H77" s="1">
        <v>102</v>
      </c>
      <c r="I77" t="s">
        <v>574</v>
      </c>
      <c r="J77">
        <v>120</v>
      </c>
      <c r="K77">
        <v>2.2000000000000002</v>
      </c>
      <c r="L77">
        <f t="shared" si="7"/>
        <v>224.4</v>
      </c>
      <c r="AD77" s="40">
        <f t="shared" si="5"/>
        <v>1</v>
      </c>
      <c r="AE77" s="40">
        <f t="shared" si="6"/>
        <v>1</v>
      </c>
    </row>
    <row r="78" spans="1:31" x14ac:dyDescent="0.25">
      <c r="B78" s="2" t="s">
        <v>1263</v>
      </c>
      <c r="C78" t="s">
        <v>161</v>
      </c>
      <c r="D78">
        <v>53</v>
      </c>
      <c r="E78" t="s">
        <v>94</v>
      </c>
      <c r="F78">
        <v>20</v>
      </c>
      <c r="G78" t="s">
        <v>1427</v>
      </c>
      <c r="H78" s="1">
        <v>4</v>
      </c>
      <c r="I78" t="s">
        <v>108</v>
      </c>
      <c r="J78">
        <v>136</v>
      </c>
      <c r="K78">
        <v>3.45</v>
      </c>
      <c r="L78">
        <f t="shared" si="7"/>
        <v>13.8</v>
      </c>
      <c r="P78">
        <v>4</v>
      </c>
      <c r="Q78" t="s">
        <v>109</v>
      </c>
      <c r="R78">
        <v>126</v>
      </c>
      <c r="S78">
        <v>3.45</v>
      </c>
      <c r="T78">
        <f t="shared" si="8"/>
        <v>13.8</v>
      </c>
      <c r="W78">
        <v>11</v>
      </c>
      <c r="X78" t="s">
        <v>119</v>
      </c>
      <c r="Y78">
        <v>110</v>
      </c>
      <c r="Z78">
        <v>2.2000000000000002</v>
      </c>
      <c r="AA78">
        <f t="shared" si="9"/>
        <v>24.200000000000003</v>
      </c>
      <c r="AB78" t="s">
        <v>1428</v>
      </c>
      <c r="AD78" s="40">
        <f t="shared" si="5"/>
        <v>1</v>
      </c>
      <c r="AE78" s="40">
        <f t="shared" si="6"/>
        <v>1</v>
      </c>
    </row>
    <row r="79" spans="1:31" x14ac:dyDescent="0.25">
      <c r="B79" s="2" t="s">
        <v>1263</v>
      </c>
      <c r="C79" t="s">
        <v>144</v>
      </c>
      <c r="D79">
        <v>21</v>
      </c>
      <c r="E79" t="s">
        <v>93</v>
      </c>
      <c r="F79">
        <v>25</v>
      </c>
      <c r="G79" t="s">
        <v>327</v>
      </c>
      <c r="H79" s="1">
        <v>2</v>
      </c>
      <c r="I79" t="s">
        <v>619</v>
      </c>
      <c r="J79">
        <v>150</v>
      </c>
      <c r="K79">
        <v>4.2</v>
      </c>
      <c r="L79">
        <f t="shared" si="7"/>
        <v>8.4</v>
      </c>
      <c r="P79">
        <v>3</v>
      </c>
      <c r="Q79" t="s">
        <v>121</v>
      </c>
      <c r="R79">
        <v>136</v>
      </c>
      <c r="S79">
        <v>4.2</v>
      </c>
      <c r="T79">
        <f t="shared" si="8"/>
        <v>12.600000000000001</v>
      </c>
      <c r="AD79" s="40">
        <f t="shared" si="5"/>
        <v>1</v>
      </c>
      <c r="AE79" s="40">
        <f t="shared" si="6"/>
        <v>1</v>
      </c>
    </row>
    <row r="80" spans="1:31" x14ac:dyDescent="0.25">
      <c r="B80" s="2" t="s">
        <v>1264</v>
      </c>
      <c r="C80" t="s">
        <v>175</v>
      </c>
      <c r="D80">
        <v>50</v>
      </c>
      <c r="E80" t="s">
        <v>94</v>
      </c>
      <c r="F80">
        <v>10</v>
      </c>
      <c r="G80" t="s">
        <v>1378</v>
      </c>
      <c r="H80" s="1">
        <v>13</v>
      </c>
      <c r="I80" t="s">
        <v>619</v>
      </c>
      <c r="J80">
        <v>150</v>
      </c>
      <c r="K80">
        <v>3.8</v>
      </c>
      <c r="L80">
        <f t="shared" si="7"/>
        <v>49.4</v>
      </c>
      <c r="M80" t="s">
        <v>587</v>
      </c>
      <c r="AD80" s="40">
        <f t="shared" si="5"/>
        <v>1</v>
      </c>
      <c r="AE80" s="40">
        <f t="shared" si="6"/>
        <v>1</v>
      </c>
    </row>
    <row r="81" spans="1:31" x14ac:dyDescent="0.25">
      <c r="B81" s="2" t="s">
        <v>1265</v>
      </c>
      <c r="C81" t="s">
        <v>175</v>
      </c>
      <c r="D81">
        <v>50</v>
      </c>
      <c r="E81" t="s">
        <v>93</v>
      </c>
      <c r="F81">
        <v>10</v>
      </c>
      <c r="G81" t="s">
        <v>1426</v>
      </c>
      <c r="H81" s="1">
        <v>12</v>
      </c>
      <c r="I81" t="s">
        <v>619</v>
      </c>
      <c r="J81">
        <v>150</v>
      </c>
      <c r="K81">
        <v>4.2</v>
      </c>
      <c r="L81">
        <f t="shared" si="7"/>
        <v>50.400000000000006</v>
      </c>
      <c r="AD81" s="40">
        <f t="shared" si="5"/>
        <v>1</v>
      </c>
      <c r="AE81" s="40">
        <f t="shared" si="6"/>
        <v>1</v>
      </c>
    </row>
    <row r="82" spans="1:31" x14ac:dyDescent="0.25">
      <c r="B82" s="2" t="s">
        <v>1266</v>
      </c>
      <c r="C82" t="s">
        <v>139</v>
      </c>
      <c r="D82">
        <v>38</v>
      </c>
      <c r="E82" t="s">
        <v>94</v>
      </c>
      <c r="F82">
        <v>30</v>
      </c>
      <c r="G82" t="s">
        <v>218</v>
      </c>
      <c r="H82" s="1">
        <v>9</v>
      </c>
      <c r="I82" t="s">
        <v>1156</v>
      </c>
      <c r="J82">
        <v>117</v>
      </c>
      <c r="K82">
        <v>4.2</v>
      </c>
      <c r="L82">
        <f t="shared" si="7"/>
        <v>37.800000000000004</v>
      </c>
      <c r="AB82" t="s">
        <v>1425</v>
      </c>
      <c r="AD82" s="40">
        <f t="shared" si="5"/>
        <v>1</v>
      </c>
      <c r="AE82" s="40">
        <f t="shared" si="6"/>
        <v>1</v>
      </c>
    </row>
    <row r="83" spans="1:31" x14ac:dyDescent="0.25">
      <c r="B83" s="2" t="s">
        <v>1267</v>
      </c>
      <c r="C83" t="s">
        <v>147</v>
      </c>
      <c r="D83">
        <v>42</v>
      </c>
      <c r="E83" t="s">
        <v>93</v>
      </c>
      <c r="F83">
        <v>20</v>
      </c>
      <c r="G83" t="s">
        <v>1424</v>
      </c>
      <c r="H83" s="1">
        <v>10</v>
      </c>
      <c r="I83" t="s">
        <v>121</v>
      </c>
      <c r="J83">
        <v>136</v>
      </c>
      <c r="K83">
        <v>4.2</v>
      </c>
      <c r="L83">
        <f t="shared" si="7"/>
        <v>42</v>
      </c>
      <c r="N83">
        <v>112</v>
      </c>
      <c r="AD83" s="40">
        <f t="shared" si="5"/>
        <v>1</v>
      </c>
      <c r="AE83" s="40">
        <f t="shared" si="6"/>
        <v>1</v>
      </c>
    </row>
    <row r="84" spans="1:31" x14ac:dyDescent="0.25">
      <c r="B84" s="2" t="s">
        <v>1267</v>
      </c>
      <c r="C84" t="s">
        <v>163</v>
      </c>
      <c r="D84">
        <v>36</v>
      </c>
      <c r="E84" t="s">
        <v>94</v>
      </c>
      <c r="F84">
        <v>20</v>
      </c>
      <c r="G84" t="s">
        <v>1423</v>
      </c>
      <c r="H84" s="1">
        <v>10</v>
      </c>
      <c r="I84" t="s">
        <v>109</v>
      </c>
      <c r="J84">
        <v>126</v>
      </c>
      <c r="K84">
        <v>3.6</v>
      </c>
      <c r="L84">
        <f t="shared" si="7"/>
        <v>36</v>
      </c>
      <c r="M84" t="s">
        <v>566</v>
      </c>
      <c r="AD84" s="40">
        <f t="shared" si="5"/>
        <v>1</v>
      </c>
      <c r="AE84" s="40">
        <f t="shared" si="6"/>
        <v>1</v>
      </c>
    </row>
    <row r="85" spans="1:31" x14ac:dyDescent="0.25">
      <c r="B85" s="2" t="s">
        <v>1268</v>
      </c>
      <c r="C85" t="s">
        <v>143</v>
      </c>
      <c r="D85">
        <v>252</v>
      </c>
      <c r="E85" t="s">
        <v>94</v>
      </c>
      <c r="F85">
        <v>15</v>
      </c>
      <c r="G85" t="s">
        <v>1177</v>
      </c>
      <c r="H85" s="1">
        <v>60</v>
      </c>
      <c r="I85" t="s">
        <v>1364</v>
      </c>
      <c r="J85">
        <v>126</v>
      </c>
      <c r="K85">
        <v>4.2</v>
      </c>
      <c r="L85">
        <f t="shared" si="7"/>
        <v>252</v>
      </c>
      <c r="AD85" s="40">
        <f t="shared" si="5"/>
        <v>1</v>
      </c>
      <c r="AE85" s="40">
        <f t="shared" si="6"/>
        <v>1</v>
      </c>
    </row>
    <row r="86" spans="1:31" x14ac:dyDescent="0.25">
      <c r="B86" s="2" t="s">
        <v>1268</v>
      </c>
      <c r="C86" t="s">
        <v>146</v>
      </c>
      <c r="D86">
        <v>37</v>
      </c>
      <c r="E86" t="s">
        <v>94</v>
      </c>
      <c r="F86">
        <v>15</v>
      </c>
      <c r="G86" t="s">
        <v>1422</v>
      </c>
      <c r="H86" s="1">
        <v>5</v>
      </c>
      <c r="I86" t="s">
        <v>121</v>
      </c>
      <c r="J86">
        <v>136</v>
      </c>
      <c r="K86">
        <v>4.2</v>
      </c>
      <c r="L86">
        <f t="shared" si="7"/>
        <v>21</v>
      </c>
      <c r="P86">
        <v>8</v>
      </c>
      <c r="Q86" t="s">
        <v>110</v>
      </c>
      <c r="R86">
        <v>110</v>
      </c>
      <c r="S86">
        <v>2</v>
      </c>
      <c r="T86">
        <f t="shared" si="8"/>
        <v>16</v>
      </c>
      <c r="AD86" s="40">
        <f t="shared" si="5"/>
        <v>1</v>
      </c>
      <c r="AE86" s="40">
        <f t="shared" si="6"/>
        <v>1</v>
      </c>
    </row>
    <row r="87" spans="1:31" x14ac:dyDescent="0.25">
      <c r="B87" s="2" t="s">
        <v>1268</v>
      </c>
      <c r="C87" t="s">
        <v>175</v>
      </c>
      <c r="D87">
        <v>50</v>
      </c>
      <c r="E87" t="s">
        <v>94</v>
      </c>
      <c r="F87">
        <v>10</v>
      </c>
      <c r="G87" t="s">
        <v>1421</v>
      </c>
      <c r="H87" s="1">
        <v>13</v>
      </c>
      <c r="I87" t="s">
        <v>619</v>
      </c>
      <c r="J87">
        <v>150</v>
      </c>
      <c r="K87">
        <v>3.8</v>
      </c>
      <c r="L87">
        <f t="shared" si="7"/>
        <v>49.4</v>
      </c>
      <c r="M87" t="s">
        <v>587</v>
      </c>
      <c r="AD87" s="40">
        <f t="shared" si="5"/>
        <v>1</v>
      </c>
      <c r="AE87" s="40">
        <f t="shared" si="6"/>
        <v>1</v>
      </c>
    </row>
    <row r="88" spans="1:31" x14ac:dyDescent="0.25">
      <c r="B88" s="2" t="s">
        <v>1268</v>
      </c>
      <c r="C88" t="s">
        <v>1247</v>
      </c>
      <c r="D88">
        <v>149</v>
      </c>
      <c r="E88" t="s">
        <v>94</v>
      </c>
      <c r="H88" s="1">
        <v>57</v>
      </c>
      <c r="I88" t="s">
        <v>574</v>
      </c>
      <c r="J88">
        <v>120</v>
      </c>
      <c r="K88">
        <v>2.2000000000000002</v>
      </c>
      <c r="L88">
        <f t="shared" si="7"/>
        <v>125.4</v>
      </c>
      <c r="P88">
        <v>12</v>
      </c>
      <c r="Q88" t="s">
        <v>110</v>
      </c>
      <c r="R88">
        <v>110</v>
      </c>
      <c r="S88">
        <v>2</v>
      </c>
      <c r="T88">
        <f t="shared" si="8"/>
        <v>24</v>
      </c>
      <c r="AD88" s="40">
        <f t="shared" si="5"/>
        <v>1</v>
      </c>
      <c r="AE88" s="40">
        <f t="shared" si="6"/>
        <v>1</v>
      </c>
    </row>
    <row r="89" spans="1:31" x14ac:dyDescent="0.25">
      <c r="B89" s="2" t="s">
        <v>1268</v>
      </c>
      <c r="C89" t="s">
        <v>142</v>
      </c>
      <c r="D89">
        <v>55</v>
      </c>
      <c r="E89" t="s">
        <v>93</v>
      </c>
      <c r="F89">
        <v>2</v>
      </c>
      <c r="H89" s="1">
        <v>25</v>
      </c>
      <c r="I89" t="s">
        <v>574</v>
      </c>
      <c r="J89">
        <v>120</v>
      </c>
      <c r="K89">
        <v>2.2000000000000002</v>
      </c>
      <c r="L89">
        <f t="shared" si="7"/>
        <v>55.000000000000007</v>
      </c>
      <c r="AD89" s="40">
        <f t="shared" si="5"/>
        <v>1</v>
      </c>
      <c r="AE89" s="40">
        <f t="shared" si="6"/>
        <v>1</v>
      </c>
    </row>
    <row r="90" spans="1:31" x14ac:dyDescent="0.25">
      <c r="B90" s="2" t="s">
        <v>1268</v>
      </c>
      <c r="C90" t="s">
        <v>142</v>
      </c>
      <c r="D90">
        <v>51</v>
      </c>
      <c r="E90" t="s">
        <v>93</v>
      </c>
      <c r="F90">
        <v>2</v>
      </c>
      <c r="H90" s="1">
        <v>23</v>
      </c>
      <c r="I90" t="s">
        <v>574</v>
      </c>
      <c r="J90">
        <v>120</v>
      </c>
      <c r="K90">
        <v>2.2000000000000002</v>
      </c>
      <c r="L90">
        <f t="shared" si="7"/>
        <v>50.6</v>
      </c>
      <c r="AD90" s="40">
        <f t="shared" si="5"/>
        <v>1</v>
      </c>
      <c r="AE90" s="40">
        <f t="shared" si="6"/>
        <v>1</v>
      </c>
    </row>
    <row r="91" spans="1:31" x14ac:dyDescent="0.25">
      <c r="B91" s="2" t="s">
        <v>1268</v>
      </c>
      <c r="C91" t="s">
        <v>142</v>
      </c>
      <c r="D91">
        <v>55</v>
      </c>
      <c r="E91" t="s">
        <v>93</v>
      </c>
      <c r="F91">
        <v>2</v>
      </c>
      <c r="H91" s="1">
        <v>25</v>
      </c>
      <c r="I91" t="s">
        <v>119</v>
      </c>
      <c r="J91">
        <v>110</v>
      </c>
      <c r="K91">
        <v>2.2000000000000002</v>
      </c>
      <c r="L91">
        <f t="shared" si="7"/>
        <v>55.000000000000007</v>
      </c>
      <c r="AD91" s="40">
        <f t="shared" si="5"/>
        <v>1</v>
      </c>
      <c r="AE91" s="40">
        <f t="shared" si="6"/>
        <v>1</v>
      </c>
    </row>
    <row r="92" spans="1:31" x14ac:dyDescent="0.25">
      <c r="B92" s="2" t="s">
        <v>1269</v>
      </c>
      <c r="C92" t="s">
        <v>1247</v>
      </c>
      <c r="D92">
        <v>162</v>
      </c>
      <c r="E92" t="s">
        <v>94</v>
      </c>
      <c r="F92">
        <v>10</v>
      </c>
      <c r="H92" s="1">
        <v>20</v>
      </c>
      <c r="I92" t="s">
        <v>121</v>
      </c>
      <c r="J92">
        <v>136</v>
      </c>
      <c r="K92">
        <v>4.2</v>
      </c>
      <c r="L92">
        <f t="shared" si="7"/>
        <v>84</v>
      </c>
      <c r="P92">
        <v>39</v>
      </c>
      <c r="Q92" t="s">
        <v>110</v>
      </c>
      <c r="R92">
        <v>110</v>
      </c>
      <c r="S92">
        <v>2</v>
      </c>
      <c r="T92">
        <f t="shared" si="8"/>
        <v>78</v>
      </c>
      <c r="AB92" t="s">
        <v>1420</v>
      </c>
      <c r="AD92" s="40">
        <f t="shared" si="5"/>
        <v>1</v>
      </c>
      <c r="AE92" s="40">
        <f t="shared" si="6"/>
        <v>1</v>
      </c>
    </row>
    <row r="93" spans="1:31" s="11" customFormat="1" x14ac:dyDescent="0.25">
      <c r="A93" s="11">
        <f>SUM(D64:D93)</f>
        <v>2996</v>
      </c>
      <c r="B93" s="30" t="s">
        <v>1269</v>
      </c>
      <c r="C93" s="11" t="s">
        <v>34</v>
      </c>
      <c r="D93" s="11">
        <v>30</v>
      </c>
      <c r="E93" s="11" t="s">
        <v>94</v>
      </c>
      <c r="F93" s="11">
        <v>20</v>
      </c>
      <c r="H93" s="28">
        <v>15</v>
      </c>
      <c r="I93" s="11" t="s">
        <v>578</v>
      </c>
      <c r="J93" s="11">
        <v>120</v>
      </c>
      <c r="K93" s="11">
        <v>2</v>
      </c>
      <c r="L93" s="11">
        <f t="shared" si="7"/>
        <v>30</v>
      </c>
      <c r="AD93" s="41">
        <f t="shared" si="5"/>
        <v>1</v>
      </c>
      <c r="AE93" s="41">
        <f t="shared" si="6"/>
        <v>1</v>
      </c>
    </row>
    <row r="94" spans="1:31" ht="15.75" thickBot="1" x14ac:dyDescent="0.3">
      <c r="B94" s="2"/>
      <c r="H94" s="1"/>
    </row>
    <row r="95" spans="1:31" x14ac:dyDescent="0.25">
      <c r="B95" s="72" t="s">
        <v>1573</v>
      </c>
      <c r="C95" s="73"/>
      <c r="D95" s="74"/>
      <c r="E95" s="74"/>
      <c r="H95" s="1"/>
    </row>
    <row r="96" spans="1:31" x14ac:dyDescent="0.25">
      <c r="B96" s="89" t="s">
        <v>1574</v>
      </c>
      <c r="D96" s="76">
        <v>756</v>
      </c>
      <c r="E96" s="76"/>
      <c r="H96" s="1"/>
    </row>
    <row r="97" spans="1:22" x14ac:dyDescent="0.25">
      <c r="B97" s="78" t="s">
        <v>1575</v>
      </c>
      <c r="D97" s="76">
        <v>1095</v>
      </c>
      <c r="E97" s="76"/>
      <c r="H97" s="1"/>
    </row>
    <row r="98" spans="1:22" x14ac:dyDescent="0.25">
      <c r="B98" s="78" t="s">
        <v>1576</v>
      </c>
      <c r="D98" s="76">
        <v>2083</v>
      </c>
      <c r="E98" s="76"/>
      <c r="H98" s="1"/>
    </row>
    <row r="99" spans="1:22" x14ac:dyDescent="0.25">
      <c r="B99" s="78" t="s">
        <v>1577</v>
      </c>
      <c r="D99" s="76">
        <v>1443</v>
      </c>
      <c r="E99" s="76"/>
      <c r="H99" s="1"/>
    </row>
    <row r="100" spans="1:22" ht="15.75" thickBot="1" x14ac:dyDescent="0.3">
      <c r="B100" s="82" t="s">
        <v>400</v>
      </c>
      <c r="C100" s="60"/>
      <c r="D100" s="91">
        <f>SUM(D2:D99)</f>
        <v>17862</v>
      </c>
      <c r="E100" s="76"/>
      <c r="H100" s="1"/>
    </row>
    <row r="101" spans="1:22" ht="15.75" thickBot="1" x14ac:dyDescent="0.3">
      <c r="B101" s="90" t="s">
        <v>1625</v>
      </c>
      <c r="C101" s="60"/>
      <c r="D101" s="60">
        <f>SUM(D96:D99)</f>
        <v>5377</v>
      </c>
      <c r="E101" s="79">
        <f>D101/D100</f>
        <v>0.3010301198074124</v>
      </c>
      <c r="H101" s="1"/>
    </row>
    <row r="103" spans="1:22" x14ac:dyDescent="0.25">
      <c r="C103" s="5" t="s">
        <v>150</v>
      </c>
      <c r="D103" s="6" t="s">
        <v>91</v>
      </c>
      <c r="E103" s="6" t="s">
        <v>130</v>
      </c>
      <c r="F103" s="6"/>
      <c r="G103" s="7" t="s">
        <v>395</v>
      </c>
      <c r="I103" s="13" t="s">
        <v>124</v>
      </c>
      <c r="J103" s="14"/>
      <c r="K103" s="14"/>
      <c r="L103" s="14"/>
      <c r="M103" s="14" t="s">
        <v>135</v>
      </c>
      <c r="N103" s="14" t="s">
        <v>378</v>
      </c>
      <c r="O103" s="15" t="s">
        <v>130</v>
      </c>
      <c r="Q103" s="13"/>
      <c r="R103" s="14"/>
      <c r="S103" s="14"/>
      <c r="T103" s="14"/>
      <c r="U103" s="14"/>
      <c r="V103" s="15"/>
    </row>
    <row r="104" spans="1:22" x14ac:dyDescent="0.25">
      <c r="C104" s="8" t="s">
        <v>129</v>
      </c>
      <c r="D104" s="1">
        <f>SUM(N104:N106,V104:V106)</f>
        <v>3455.9237879298544</v>
      </c>
      <c r="E104">
        <f>SUM(D2:D99)</f>
        <v>17862</v>
      </c>
      <c r="G104" s="23">
        <f>E104/D104</f>
        <v>5.1685167544448607</v>
      </c>
      <c r="I104" s="8" t="s">
        <v>133</v>
      </c>
      <c r="M104">
        <f>COUNTIF(K2:K94,"&lt;3")+COUNTIF(S2:S94,"&lt;3")</f>
        <v>25</v>
      </c>
      <c r="N104" s="1">
        <f>SUMIF(K2:K94,"&lt;3",H2:H94)+SUMIF(S2:S94,"&lt;3",P2:P94)+SUMIF(Z2:Z94,"&lt;3",W2:W94)</f>
        <v>1590.8181818181818</v>
      </c>
      <c r="O104" s="9">
        <f>SUMIF(K2:K94,"&lt;3",D2:D94)</f>
        <v>3205</v>
      </c>
      <c r="Q104" s="8"/>
      <c r="V104" s="9"/>
    </row>
    <row r="105" spans="1:22" x14ac:dyDescent="0.25">
      <c r="C105" s="8" t="s">
        <v>125</v>
      </c>
      <c r="D105">
        <f>COUNT(D2:D94)</f>
        <v>92</v>
      </c>
      <c r="G105" s="9"/>
      <c r="I105" s="8" t="s">
        <v>132</v>
      </c>
      <c r="M105">
        <f>COUNTIF(K2:K94,"&lt;4")+COUNTIF(S2:S94,"&lt;4")-M104</f>
        <v>23</v>
      </c>
      <c r="N105" s="1">
        <f>SUMIF(K2:K94,"&lt;4",H2:H94)+SUMIF(S2:S94,"&lt;4",P2:P94)+SUMIF(Z2:Z94,"&lt;4",W2:W94)-N104</f>
        <v>429.3381642512079</v>
      </c>
      <c r="O105" s="9">
        <f>SUMIF(K2:K94,"&lt;4",D2:D94)-O104</f>
        <v>1634</v>
      </c>
      <c r="Q105" s="8"/>
      <c r="V105" s="9"/>
    </row>
    <row r="106" spans="1:22" x14ac:dyDescent="0.25">
      <c r="C106" s="8" t="s">
        <v>386</v>
      </c>
      <c r="D106">
        <f>COUNTIF(E2:E94,"AOM5000")</f>
        <v>50</v>
      </c>
      <c r="E106">
        <f>SUMIF(E2:E94,"AOM5000",D2:D94)</f>
        <v>6601</v>
      </c>
      <c r="F106" t="s">
        <v>396</v>
      </c>
      <c r="G106" s="21">
        <f>AVERAGEIF(E2:E94,"AOM5000",F2:F94)</f>
        <v>18.914893617021278</v>
      </c>
      <c r="I106" s="8" t="s">
        <v>134</v>
      </c>
      <c r="M106">
        <f>COUNTIF(K2:K94,"&lt;5")+COUNTIF(S2:S94,"&lt;5")-M105-M104</f>
        <v>41</v>
      </c>
      <c r="N106" s="1">
        <f>SUMIF(K2:K94,"&lt;5",H2:H94)+SUMIF(S2:S94,"&lt;5",P2:P94)+SUMIF(Z2:Z94,"&lt;5",W2:W94)-N105-N104</f>
        <v>1435.7674418604649</v>
      </c>
      <c r="O106" s="9">
        <f>SUMIF(K2:K94,"&lt;5",D2:D94)-O105-O104</f>
        <v>6344</v>
      </c>
      <c r="Q106" s="8"/>
      <c r="V106" s="9"/>
    </row>
    <row r="107" spans="1:22" x14ac:dyDescent="0.25">
      <c r="C107" s="8" t="s">
        <v>387</v>
      </c>
      <c r="D107">
        <f>COUNTIF(E2:E94,"AOM4000")</f>
        <v>21</v>
      </c>
      <c r="E107">
        <f>SUMIF(E2:E94,"AOM4000",D2:D94)</f>
        <v>2214</v>
      </c>
      <c r="F107" t="s">
        <v>397</v>
      </c>
      <c r="G107" s="21">
        <f>AVERAGEIF(E2:E94,"AOM4000",F2:F94)</f>
        <v>13.571428571428571</v>
      </c>
      <c r="I107" s="8"/>
      <c r="O107" s="9"/>
      <c r="Q107" s="8"/>
      <c r="V107" s="9"/>
    </row>
    <row r="108" spans="1:22" x14ac:dyDescent="0.25">
      <c r="C108" s="8" t="s">
        <v>390</v>
      </c>
      <c r="D108" s="18">
        <f>D106/(D107+D106)*100</f>
        <v>70.422535211267601</v>
      </c>
      <c r="E108" s="18">
        <f>E106/(E107+E106)*100</f>
        <v>74.883720930232556</v>
      </c>
      <c r="G108" s="9"/>
      <c r="I108" s="8"/>
      <c r="O108" s="9"/>
      <c r="Q108" s="8"/>
      <c r="V108" s="9"/>
    </row>
    <row r="109" spans="1:22" x14ac:dyDescent="0.25">
      <c r="C109" s="16" t="s">
        <v>128</v>
      </c>
      <c r="D109" s="22">
        <f>D106/D105*100</f>
        <v>54.347826086956516</v>
      </c>
      <c r="E109" s="22">
        <f>E106/E104*100</f>
        <v>36.955548090919272</v>
      </c>
      <c r="F109" s="11"/>
      <c r="G109" s="12"/>
      <c r="I109" s="8" t="s">
        <v>136</v>
      </c>
      <c r="M109">
        <f>COUNTA(M2:M94)</f>
        <v>18</v>
      </c>
      <c r="O109" s="9"/>
      <c r="Q109" s="8"/>
      <c r="V109" s="9"/>
    </row>
    <row r="110" spans="1:22" x14ac:dyDescent="0.25">
      <c r="F110" t="s">
        <v>388</v>
      </c>
      <c r="I110" s="10"/>
      <c r="J110" s="11"/>
      <c r="K110" s="11"/>
      <c r="L110" s="11"/>
      <c r="M110" s="11"/>
      <c r="N110" s="11"/>
      <c r="O110" s="12"/>
      <c r="Q110" s="10"/>
      <c r="R110" s="11"/>
      <c r="S110" s="11"/>
      <c r="T110" s="11"/>
      <c r="U110" s="11"/>
      <c r="V110" s="12"/>
    </row>
    <row r="111" spans="1:22" x14ac:dyDescent="0.25">
      <c r="B111" t="s">
        <v>544</v>
      </c>
      <c r="C111" s="5" t="s">
        <v>149</v>
      </c>
      <c r="D111" s="6" t="s">
        <v>135</v>
      </c>
      <c r="E111" s="7" t="s">
        <v>130</v>
      </c>
      <c r="F111" s="5" t="s">
        <v>93</v>
      </c>
      <c r="G111" s="7" t="s">
        <v>94</v>
      </c>
    </row>
    <row r="112" spans="1:22" x14ac:dyDescent="0.25">
      <c r="A112">
        <f t="shared" ref="A112:A143" si="10">COUNTIF($C$112:$C$143,C112)</f>
        <v>1</v>
      </c>
      <c r="B112" s="18">
        <f>E112/$E$104*100</f>
        <v>31.692979509573394</v>
      </c>
      <c r="C112" s="8" t="s">
        <v>1247</v>
      </c>
      <c r="D112">
        <f t="shared" ref="D112:D143" si="11">COUNTIF(C$2:C$94,C112)</f>
        <v>23</v>
      </c>
      <c r="E112" s="9">
        <f t="shared" ref="E112:E143" si="12">SUMIF(C$2:C$94,C112,D$2:D$94)</f>
        <v>5661</v>
      </c>
      <c r="F112" s="8">
        <f t="shared" ref="F112:F143" si="13">SUMIFS($D$2:$D$94,$C$2:$C$94,C112,$E$2:$E$94,$F$111)</f>
        <v>687</v>
      </c>
      <c r="G112" s="9">
        <f t="shared" ref="G112:G143" si="14">SUMIFS($D$2:$D$94,$C$2:$C$94,C112,$E$2:$E$94,$G$111)</f>
        <v>2970</v>
      </c>
      <c r="H112" t="e">
        <f>E112-_xlnm.Extract-F112</f>
        <v>#VALUE!</v>
      </c>
      <c r="I112" s="5" t="s">
        <v>376</v>
      </c>
      <c r="J112" s="6"/>
      <c r="K112" s="6"/>
      <c r="L112" s="7" t="s">
        <v>377</v>
      </c>
      <c r="M112" s="3" t="s">
        <v>1431</v>
      </c>
    </row>
    <row r="113" spans="1:13" x14ac:dyDescent="0.25">
      <c r="A113">
        <f t="shared" si="10"/>
        <v>1</v>
      </c>
      <c r="B113" s="18">
        <f t="shared" ref="B113:B145" si="15">E113/$E$104*100</f>
        <v>1.7747172769006829</v>
      </c>
      <c r="C113" s="8" t="s">
        <v>142</v>
      </c>
      <c r="D113">
        <f t="shared" si="11"/>
        <v>6</v>
      </c>
      <c r="E113" s="9">
        <f t="shared" si="12"/>
        <v>317</v>
      </c>
      <c r="F113" s="8">
        <f t="shared" si="13"/>
        <v>306</v>
      </c>
      <c r="G113" s="9">
        <f t="shared" si="14"/>
        <v>0</v>
      </c>
      <c r="H113">
        <f>E113-F113-G113</f>
        <v>11</v>
      </c>
      <c r="I113" s="13" t="s">
        <v>379</v>
      </c>
      <c r="J113" s="14"/>
      <c r="K113" s="14"/>
      <c r="L113" s="19">
        <f t="shared" ref="L113:L131" si="16">SUMIF(I$2:I$94,I113,H$2:H$94)+SUMIF(Q$2:Q$94,I113,P$2:P$94)+SUMIF(X$2:X$94,I113,W$2:W$94)</f>
        <v>0</v>
      </c>
    </row>
    <row r="114" spans="1:13" x14ac:dyDescent="0.25">
      <c r="A114">
        <f t="shared" si="10"/>
        <v>1</v>
      </c>
      <c r="B114" s="18">
        <f t="shared" si="15"/>
        <v>2.3233680438920614</v>
      </c>
      <c r="C114" t="s">
        <v>1228</v>
      </c>
      <c r="D114">
        <f t="shared" si="11"/>
        <v>1</v>
      </c>
      <c r="E114" s="9">
        <f t="shared" si="12"/>
        <v>415</v>
      </c>
      <c r="F114" s="8">
        <f t="shared" si="13"/>
        <v>415</v>
      </c>
      <c r="G114" s="9">
        <f t="shared" si="14"/>
        <v>0</v>
      </c>
      <c r="I114" t="s">
        <v>92</v>
      </c>
      <c r="L114" s="19">
        <f t="shared" si="16"/>
        <v>0</v>
      </c>
    </row>
    <row r="115" spans="1:13" x14ac:dyDescent="0.25">
      <c r="A115">
        <f t="shared" si="10"/>
        <v>1</v>
      </c>
      <c r="B115" s="18">
        <f t="shared" si="15"/>
        <v>0.6270294479901467</v>
      </c>
      <c r="C115" s="8" t="s">
        <v>138</v>
      </c>
      <c r="D115">
        <f t="shared" si="11"/>
        <v>4</v>
      </c>
      <c r="E115" s="9">
        <f t="shared" si="12"/>
        <v>112</v>
      </c>
      <c r="F115" s="8">
        <f t="shared" si="13"/>
        <v>11</v>
      </c>
      <c r="G115" s="9">
        <f t="shared" si="14"/>
        <v>29</v>
      </c>
      <c r="H115">
        <f>E114-F114-G114</f>
        <v>0</v>
      </c>
      <c r="I115" t="s">
        <v>114</v>
      </c>
      <c r="L115" s="19">
        <f t="shared" si="16"/>
        <v>17</v>
      </c>
      <c r="M115">
        <f>SUMIF(I$2:I$94,I115,L$1:L$93)+SUMIF(Q$2:Q$94,I115,T$2:T$94)+SUMIF(X$2:X$94,I115,AA$2:AA$94)</f>
        <v>42</v>
      </c>
    </row>
    <row r="116" spans="1:13" x14ac:dyDescent="0.25">
      <c r="A116">
        <f t="shared" si="10"/>
        <v>1</v>
      </c>
      <c r="B116" s="18">
        <f t="shared" si="15"/>
        <v>0.56544619863397161</v>
      </c>
      <c r="C116" s="8" t="s">
        <v>137</v>
      </c>
      <c r="D116">
        <f t="shared" si="11"/>
        <v>1</v>
      </c>
      <c r="E116" s="9">
        <f t="shared" si="12"/>
        <v>101</v>
      </c>
      <c r="F116" s="8">
        <f t="shared" si="13"/>
        <v>0</v>
      </c>
      <c r="G116" s="9">
        <f t="shared" si="14"/>
        <v>101</v>
      </c>
      <c r="H116">
        <f>E116-F116-G116</f>
        <v>0</v>
      </c>
      <c r="I116" t="s">
        <v>110</v>
      </c>
      <c r="L116" s="19">
        <f t="shared" si="16"/>
        <v>255</v>
      </c>
      <c r="M116">
        <f t="shared" ref="M116:M132" si="17">SUMIF(I$2:I$94,I116,L$1:L$93)+SUMIF(Q$2:Q$94,I116,T$2:T$94)+SUMIF(X$2:X$94,I116,AA$2:AA$94)</f>
        <v>500.20000000000005</v>
      </c>
    </row>
    <row r="117" spans="1:13" x14ac:dyDescent="0.25">
      <c r="A117">
        <f t="shared" si="10"/>
        <v>1</v>
      </c>
      <c r="B117" s="18">
        <f t="shared" si="15"/>
        <v>1.3996193035494346</v>
      </c>
      <c r="C117" s="8" t="s">
        <v>140</v>
      </c>
      <c r="D117">
        <f t="shared" si="11"/>
        <v>3</v>
      </c>
      <c r="E117" s="9">
        <f t="shared" si="12"/>
        <v>250</v>
      </c>
      <c r="F117" s="8">
        <f t="shared" si="13"/>
        <v>0</v>
      </c>
      <c r="G117" s="9">
        <f t="shared" si="14"/>
        <v>250</v>
      </c>
      <c r="H117">
        <f t="shared" ref="H117:H125" si="18">E118-F118-G118</f>
        <v>0</v>
      </c>
      <c r="I117" t="s">
        <v>119</v>
      </c>
      <c r="L117" s="19">
        <f t="shared" si="16"/>
        <v>66</v>
      </c>
      <c r="M117">
        <f t="shared" si="17"/>
        <v>175.8</v>
      </c>
    </row>
    <row r="118" spans="1:13" x14ac:dyDescent="0.25">
      <c r="A118">
        <f t="shared" si="10"/>
        <v>1</v>
      </c>
      <c r="B118" s="18">
        <f t="shared" si="15"/>
        <v>0.30231776956667789</v>
      </c>
      <c r="C118" t="s">
        <v>1222</v>
      </c>
      <c r="D118">
        <f t="shared" si="11"/>
        <v>1</v>
      </c>
      <c r="E118" s="9">
        <f t="shared" si="12"/>
        <v>54</v>
      </c>
      <c r="F118" s="8">
        <f t="shared" si="13"/>
        <v>0</v>
      </c>
      <c r="G118" s="9">
        <f t="shared" si="14"/>
        <v>54</v>
      </c>
      <c r="H118">
        <f t="shared" si="18"/>
        <v>61</v>
      </c>
      <c r="I118" t="s">
        <v>111</v>
      </c>
      <c r="L118" s="19">
        <f t="shared" si="16"/>
        <v>9</v>
      </c>
      <c r="M118">
        <f t="shared" si="17"/>
        <v>16.8</v>
      </c>
    </row>
    <row r="119" spans="1:13" x14ac:dyDescent="0.25">
      <c r="A119">
        <f t="shared" si="10"/>
        <v>1</v>
      </c>
      <c r="B119" s="18">
        <f t="shared" si="15"/>
        <v>0.54865076699137827</v>
      </c>
      <c r="C119" s="8" t="s">
        <v>146</v>
      </c>
      <c r="D119">
        <f t="shared" si="11"/>
        <v>3</v>
      </c>
      <c r="E119" s="9">
        <f t="shared" si="12"/>
        <v>98</v>
      </c>
      <c r="F119" s="8">
        <f t="shared" si="13"/>
        <v>0</v>
      </c>
      <c r="G119" s="9">
        <f t="shared" si="14"/>
        <v>37</v>
      </c>
      <c r="H119">
        <f t="shared" si="18"/>
        <v>0</v>
      </c>
      <c r="I119" t="s">
        <v>112</v>
      </c>
      <c r="L119" s="19">
        <f t="shared" si="16"/>
        <v>72</v>
      </c>
      <c r="M119">
        <f t="shared" si="17"/>
        <v>355.4</v>
      </c>
    </row>
    <row r="120" spans="1:13" x14ac:dyDescent="0.25">
      <c r="A120">
        <f t="shared" si="10"/>
        <v>1</v>
      </c>
      <c r="B120" s="18">
        <f t="shared" si="15"/>
        <v>0.26872690628149143</v>
      </c>
      <c r="C120" t="s">
        <v>564</v>
      </c>
      <c r="D120">
        <f t="shared" si="11"/>
        <v>1</v>
      </c>
      <c r="E120" s="9">
        <f t="shared" si="12"/>
        <v>48</v>
      </c>
      <c r="F120" s="8">
        <f t="shared" si="13"/>
        <v>48</v>
      </c>
      <c r="G120" s="9">
        <f t="shared" si="14"/>
        <v>0</v>
      </c>
      <c r="H120">
        <f t="shared" si="18"/>
        <v>0</v>
      </c>
      <c r="I120" t="s">
        <v>115</v>
      </c>
      <c r="L120" s="19">
        <f t="shared" si="16"/>
        <v>46</v>
      </c>
      <c r="M120">
        <f t="shared" si="17"/>
        <v>190.8</v>
      </c>
    </row>
    <row r="121" spans="1:13" x14ac:dyDescent="0.25">
      <c r="A121">
        <f t="shared" si="10"/>
        <v>1</v>
      </c>
      <c r="B121" s="18">
        <f t="shared" si="15"/>
        <v>1.645952300974135</v>
      </c>
      <c r="C121" s="8" t="s">
        <v>34</v>
      </c>
      <c r="D121">
        <f t="shared" si="11"/>
        <v>3</v>
      </c>
      <c r="E121" s="9">
        <f t="shared" si="12"/>
        <v>294</v>
      </c>
      <c r="F121" s="8">
        <f t="shared" si="13"/>
        <v>0</v>
      </c>
      <c r="G121" s="9">
        <f t="shared" si="14"/>
        <v>294</v>
      </c>
      <c r="H121">
        <f t="shared" si="18"/>
        <v>0</v>
      </c>
      <c r="I121" t="s">
        <v>1156</v>
      </c>
      <c r="L121" s="19">
        <f t="shared" si="16"/>
        <v>107</v>
      </c>
      <c r="M121">
        <f t="shared" si="17"/>
        <v>263.39999999999998</v>
      </c>
    </row>
    <row r="122" spans="1:13" x14ac:dyDescent="0.25">
      <c r="A122">
        <f t="shared" si="10"/>
        <v>1</v>
      </c>
      <c r="B122" s="18">
        <f t="shared" si="15"/>
        <v>2.5864964729593551</v>
      </c>
      <c r="C122" s="8" t="s">
        <v>144</v>
      </c>
      <c r="D122">
        <f t="shared" si="11"/>
        <v>3</v>
      </c>
      <c r="E122" s="9">
        <f t="shared" si="12"/>
        <v>462</v>
      </c>
      <c r="F122" s="8">
        <f t="shared" si="13"/>
        <v>235</v>
      </c>
      <c r="G122" s="9">
        <f t="shared" si="14"/>
        <v>227</v>
      </c>
      <c r="H122">
        <f t="shared" si="18"/>
        <v>0</v>
      </c>
      <c r="I122" t="s">
        <v>578</v>
      </c>
      <c r="L122" s="19">
        <f t="shared" si="16"/>
        <v>15</v>
      </c>
      <c r="M122">
        <f t="shared" si="17"/>
        <v>84</v>
      </c>
    </row>
    <row r="123" spans="1:13" x14ac:dyDescent="0.25">
      <c r="A123">
        <f t="shared" si="10"/>
        <v>1</v>
      </c>
      <c r="B123" s="18">
        <f t="shared" si="15"/>
        <v>0.40309035942223714</v>
      </c>
      <c r="C123" s="8" t="s">
        <v>139</v>
      </c>
      <c r="D123">
        <f t="shared" si="11"/>
        <v>2</v>
      </c>
      <c r="E123" s="9">
        <f t="shared" si="12"/>
        <v>72</v>
      </c>
      <c r="F123" s="8">
        <f t="shared" si="13"/>
        <v>0</v>
      </c>
      <c r="G123" s="9">
        <f t="shared" si="14"/>
        <v>72</v>
      </c>
      <c r="H123">
        <f t="shared" si="18"/>
        <v>1365</v>
      </c>
      <c r="I123" t="s">
        <v>574</v>
      </c>
      <c r="L123" s="19">
        <f t="shared" si="16"/>
        <v>1254.8181818181815</v>
      </c>
      <c r="M123">
        <f t="shared" si="17"/>
        <v>1401.0500000000004</v>
      </c>
    </row>
    <row r="124" spans="1:13" x14ac:dyDescent="0.25">
      <c r="A124">
        <f t="shared" si="10"/>
        <v>1</v>
      </c>
      <c r="B124" s="18">
        <f t="shared" si="15"/>
        <v>10.133243757697906</v>
      </c>
      <c r="C124" s="8" t="s">
        <v>141</v>
      </c>
      <c r="D124">
        <f t="shared" si="11"/>
        <v>8</v>
      </c>
      <c r="E124" s="9">
        <f t="shared" si="12"/>
        <v>1810</v>
      </c>
      <c r="F124" s="8">
        <f t="shared" si="13"/>
        <v>0</v>
      </c>
      <c r="G124" s="9">
        <f t="shared" si="14"/>
        <v>445</v>
      </c>
      <c r="H124">
        <f t="shared" si="18"/>
        <v>0</v>
      </c>
      <c r="I124" t="s">
        <v>109</v>
      </c>
      <c r="L124" s="19">
        <f t="shared" si="16"/>
        <v>132.44927536231884</v>
      </c>
      <c r="M124">
        <f t="shared" si="17"/>
        <v>644.85</v>
      </c>
    </row>
    <row r="125" spans="1:13" x14ac:dyDescent="0.25">
      <c r="A125">
        <f t="shared" si="10"/>
        <v>1</v>
      </c>
      <c r="B125" s="18">
        <f t="shared" si="15"/>
        <v>1.0357182846265816</v>
      </c>
      <c r="C125" t="s">
        <v>42</v>
      </c>
      <c r="D125">
        <f t="shared" si="11"/>
        <v>1</v>
      </c>
      <c r="E125" s="9">
        <f t="shared" si="12"/>
        <v>185</v>
      </c>
      <c r="F125" s="8">
        <f t="shared" si="13"/>
        <v>0</v>
      </c>
      <c r="G125" s="9">
        <f t="shared" si="14"/>
        <v>185</v>
      </c>
      <c r="H125">
        <f t="shared" si="18"/>
        <v>0</v>
      </c>
      <c r="I125" t="s">
        <v>1364</v>
      </c>
      <c r="L125" s="19">
        <f t="shared" si="16"/>
        <v>60</v>
      </c>
      <c r="M125">
        <f t="shared" si="17"/>
        <v>36</v>
      </c>
    </row>
    <row r="126" spans="1:13" x14ac:dyDescent="0.25">
      <c r="A126">
        <f t="shared" si="10"/>
        <v>1</v>
      </c>
      <c r="B126" s="18">
        <f t="shared" si="15"/>
        <v>0.23513604299630503</v>
      </c>
      <c r="C126" t="s">
        <v>147</v>
      </c>
      <c r="D126">
        <f t="shared" si="11"/>
        <v>1</v>
      </c>
      <c r="E126" s="9">
        <f t="shared" si="12"/>
        <v>42</v>
      </c>
      <c r="F126" s="8">
        <f t="shared" si="13"/>
        <v>42</v>
      </c>
      <c r="G126" s="9">
        <f t="shared" si="14"/>
        <v>0</v>
      </c>
      <c r="I126" t="s">
        <v>108</v>
      </c>
      <c r="L126" s="19">
        <f t="shared" si="16"/>
        <v>114.88888888888889</v>
      </c>
      <c r="M126">
        <f t="shared" si="17"/>
        <v>962.4</v>
      </c>
    </row>
    <row r="127" spans="1:13" x14ac:dyDescent="0.25">
      <c r="A127">
        <f t="shared" si="10"/>
        <v>1</v>
      </c>
      <c r="B127" s="18">
        <f t="shared" si="15"/>
        <v>0</v>
      </c>
      <c r="C127" s="8" t="s">
        <v>207</v>
      </c>
      <c r="D127">
        <f t="shared" si="11"/>
        <v>0</v>
      </c>
      <c r="E127" s="9">
        <f t="shared" si="12"/>
        <v>0</v>
      </c>
      <c r="F127" s="8">
        <f t="shared" si="13"/>
        <v>0</v>
      </c>
      <c r="G127" s="9">
        <f t="shared" si="14"/>
        <v>0</v>
      </c>
      <c r="I127" t="s">
        <v>118</v>
      </c>
      <c r="L127" s="19">
        <f t="shared" si="16"/>
        <v>12</v>
      </c>
      <c r="M127">
        <f t="shared" si="17"/>
        <v>34</v>
      </c>
    </row>
    <row r="128" spans="1:13" x14ac:dyDescent="0.25">
      <c r="A128">
        <f t="shared" si="10"/>
        <v>1</v>
      </c>
      <c r="B128" s="18">
        <f t="shared" si="15"/>
        <v>1.2428619415518978</v>
      </c>
      <c r="C128" s="8" t="s">
        <v>1186</v>
      </c>
      <c r="D128">
        <f t="shared" si="11"/>
        <v>2</v>
      </c>
      <c r="E128" s="9">
        <f t="shared" si="12"/>
        <v>222</v>
      </c>
      <c r="F128" s="8">
        <f t="shared" si="13"/>
        <v>0</v>
      </c>
      <c r="G128" s="9">
        <f t="shared" si="14"/>
        <v>222</v>
      </c>
      <c r="H128">
        <f>E128-F128-G128</f>
        <v>0</v>
      </c>
      <c r="I128" t="s">
        <v>121</v>
      </c>
      <c r="L128" s="19">
        <f t="shared" si="16"/>
        <v>237.91029900332228</v>
      </c>
      <c r="M128">
        <f t="shared" si="17"/>
        <v>2019.1999999999998</v>
      </c>
    </row>
    <row r="129" spans="1:13" x14ac:dyDescent="0.25">
      <c r="A129">
        <f t="shared" si="10"/>
        <v>1</v>
      </c>
      <c r="B129" s="18">
        <f t="shared" si="15"/>
        <v>0</v>
      </c>
      <c r="C129" s="8" t="s">
        <v>206</v>
      </c>
      <c r="D129">
        <f t="shared" si="11"/>
        <v>0</v>
      </c>
      <c r="E129" s="9">
        <f t="shared" si="12"/>
        <v>0</v>
      </c>
      <c r="F129" s="8">
        <f t="shared" si="13"/>
        <v>0</v>
      </c>
      <c r="G129" s="9">
        <f t="shared" si="14"/>
        <v>0</v>
      </c>
      <c r="H129">
        <f>E129-F129-G129</f>
        <v>0</v>
      </c>
      <c r="I129" t="s">
        <v>619</v>
      </c>
      <c r="L129" s="19">
        <f t="shared" si="16"/>
        <v>1056.8571428571429</v>
      </c>
      <c r="M129">
        <f t="shared" si="17"/>
        <v>3442.2999999999997</v>
      </c>
    </row>
    <row r="130" spans="1:13" x14ac:dyDescent="0.25">
      <c r="A130">
        <f t="shared" si="10"/>
        <v>1</v>
      </c>
      <c r="B130" s="18">
        <f t="shared" si="15"/>
        <v>1.0749076251259657</v>
      </c>
      <c r="C130" s="8" t="s">
        <v>175</v>
      </c>
      <c r="D130">
        <f t="shared" si="11"/>
        <v>4</v>
      </c>
      <c r="E130" s="9">
        <f t="shared" si="12"/>
        <v>192</v>
      </c>
      <c r="F130" s="8">
        <f t="shared" si="13"/>
        <v>50</v>
      </c>
      <c r="G130" s="9">
        <f t="shared" si="14"/>
        <v>142</v>
      </c>
      <c r="H130">
        <f>E130-F130-G130</f>
        <v>0</v>
      </c>
      <c r="I130" t="s">
        <v>1234</v>
      </c>
      <c r="L130" s="19">
        <f t="shared" si="16"/>
        <v>50.964285714285715</v>
      </c>
      <c r="M130">
        <f t="shared" si="17"/>
        <v>102</v>
      </c>
    </row>
    <row r="131" spans="1:13" x14ac:dyDescent="0.25">
      <c r="A131">
        <f t="shared" si="10"/>
        <v>1</v>
      </c>
      <c r="B131" s="18">
        <f t="shared" si="15"/>
        <v>1.1252939200537453</v>
      </c>
      <c r="C131" s="8" t="s">
        <v>148</v>
      </c>
      <c r="D131">
        <f t="shared" si="11"/>
        <v>4</v>
      </c>
      <c r="E131" s="9">
        <f t="shared" si="12"/>
        <v>201</v>
      </c>
      <c r="F131" s="8">
        <f t="shared" si="13"/>
        <v>131</v>
      </c>
      <c r="G131" s="9">
        <f t="shared" si="14"/>
        <v>70</v>
      </c>
      <c r="H131">
        <f>E132-F132-G132</f>
        <v>0</v>
      </c>
      <c r="I131" t="s">
        <v>1220</v>
      </c>
      <c r="L131" s="19">
        <f t="shared" si="16"/>
        <v>45</v>
      </c>
      <c r="M131">
        <f t="shared" si="17"/>
        <v>322.8</v>
      </c>
    </row>
    <row r="132" spans="1:13" x14ac:dyDescent="0.25">
      <c r="A132">
        <f t="shared" si="10"/>
        <v>1</v>
      </c>
      <c r="B132" s="18">
        <f t="shared" si="15"/>
        <v>0</v>
      </c>
      <c r="C132" s="8" t="s">
        <v>623</v>
      </c>
      <c r="D132">
        <f t="shared" si="11"/>
        <v>0</v>
      </c>
      <c r="E132" s="9">
        <f t="shared" si="12"/>
        <v>0</v>
      </c>
      <c r="F132" s="8">
        <f t="shared" si="13"/>
        <v>0</v>
      </c>
      <c r="G132" s="9">
        <f t="shared" si="14"/>
        <v>0</v>
      </c>
      <c r="H132">
        <f>E133-F133-G133</f>
        <v>0</v>
      </c>
      <c r="J132" s="11"/>
      <c r="K132" s="11"/>
      <c r="L132" s="20"/>
      <c r="M132">
        <f t="shared" si="17"/>
        <v>0</v>
      </c>
    </row>
    <row r="133" spans="1:13" x14ac:dyDescent="0.25">
      <c r="A133">
        <f t="shared" si="10"/>
        <v>1</v>
      </c>
      <c r="B133" s="18">
        <f t="shared" si="15"/>
        <v>0.26312842906729367</v>
      </c>
      <c r="C133" s="8" t="s">
        <v>165</v>
      </c>
      <c r="D133">
        <f t="shared" si="11"/>
        <v>1</v>
      </c>
      <c r="E133" s="9">
        <f t="shared" si="12"/>
        <v>47</v>
      </c>
      <c r="F133" s="8">
        <f t="shared" si="13"/>
        <v>0</v>
      </c>
      <c r="G133" s="9">
        <f t="shared" si="14"/>
        <v>47</v>
      </c>
      <c r="L133" s="1">
        <f>SUM(L113:L132)</f>
        <v>3551.8880736441401</v>
      </c>
      <c r="M133">
        <f>SUM(M114:M132)</f>
        <v>10592.999999999998</v>
      </c>
    </row>
    <row r="134" spans="1:13" x14ac:dyDescent="0.25">
      <c r="A134">
        <f t="shared" si="10"/>
        <v>1</v>
      </c>
      <c r="B134" s="18">
        <f t="shared" si="15"/>
        <v>1.9650655021834063</v>
      </c>
      <c r="C134" s="8" t="s">
        <v>143</v>
      </c>
      <c r="D134">
        <f t="shared" si="11"/>
        <v>2</v>
      </c>
      <c r="E134" s="9">
        <f t="shared" si="12"/>
        <v>351</v>
      </c>
      <c r="F134" s="8">
        <f t="shared" si="13"/>
        <v>0</v>
      </c>
      <c r="G134" s="9">
        <f t="shared" si="14"/>
        <v>252</v>
      </c>
    </row>
    <row r="135" spans="1:13" x14ac:dyDescent="0.25">
      <c r="A135">
        <f t="shared" si="10"/>
        <v>1</v>
      </c>
      <c r="B135" s="18">
        <f t="shared" si="15"/>
        <v>0</v>
      </c>
      <c r="C135" s="8" t="s">
        <v>1139</v>
      </c>
      <c r="D135">
        <f t="shared" si="11"/>
        <v>0</v>
      </c>
      <c r="E135" s="9">
        <f t="shared" si="12"/>
        <v>0</v>
      </c>
      <c r="F135" s="8">
        <f t="shared" si="13"/>
        <v>0</v>
      </c>
      <c r="G135" s="9">
        <f t="shared" si="14"/>
        <v>0</v>
      </c>
    </row>
    <row r="136" spans="1:13" x14ac:dyDescent="0.25">
      <c r="A136">
        <f t="shared" si="10"/>
        <v>1</v>
      </c>
      <c r="B136" s="18">
        <f t="shared" si="15"/>
        <v>0.68301422013212409</v>
      </c>
      <c r="C136" s="8" t="s">
        <v>1140</v>
      </c>
      <c r="D136">
        <f t="shared" si="11"/>
        <v>3</v>
      </c>
      <c r="E136" s="9">
        <f t="shared" si="12"/>
        <v>122</v>
      </c>
      <c r="F136" s="8">
        <f t="shared" si="13"/>
        <v>122</v>
      </c>
      <c r="G136" s="9">
        <f t="shared" si="14"/>
        <v>0</v>
      </c>
    </row>
    <row r="137" spans="1:13" x14ac:dyDescent="0.25">
      <c r="A137">
        <f t="shared" si="10"/>
        <v>1</v>
      </c>
      <c r="B137" s="18">
        <f t="shared" si="15"/>
        <v>1.7747172769006829</v>
      </c>
      <c r="C137" s="8" t="s">
        <v>161</v>
      </c>
      <c r="D137">
        <f t="shared" si="11"/>
        <v>3</v>
      </c>
      <c r="E137" s="9">
        <f t="shared" si="12"/>
        <v>317</v>
      </c>
      <c r="F137" s="8">
        <f t="shared" si="13"/>
        <v>132</v>
      </c>
      <c r="G137" s="9">
        <f t="shared" si="14"/>
        <v>185</v>
      </c>
    </row>
    <row r="138" spans="1:13" x14ac:dyDescent="0.25">
      <c r="A138">
        <f t="shared" si="10"/>
        <v>1</v>
      </c>
      <c r="B138" s="18">
        <f t="shared" si="15"/>
        <v>0.62143097077594889</v>
      </c>
      <c r="C138" s="8" t="s">
        <v>163</v>
      </c>
      <c r="D138">
        <f t="shared" si="11"/>
        <v>3</v>
      </c>
      <c r="E138" s="9">
        <f t="shared" si="12"/>
        <v>111</v>
      </c>
      <c r="F138" s="8">
        <f t="shared" si="13"/>
        <v>0</v>
      </c>
      <c r="G138" s="9">
        <f t="shared" si="14"/>
        <v>53</v>
      </c>
    </row>
    <row r="139" spans="1:13" x14ac:dyDescent="0.25">
      <c r="A139">
        <f t="shared" si="10"/>
        <v>1</v>
      </c>
      <c r="B139" s="18">
        <f t="shared" si="15"/>
        <v>4.4899787257865853</v>
      </c>
      <c r="C139" s="8" t="s">
        <v>318</v>
      </c>
      <c r="D139">
        <f t="shared" si="11"/>
        <v>7</v>
      </c>
      <c r="E139" s="9">
        <f t="shared" si="12"/>
        <v>802</v>
      </c>
      <c r="F139" s="8">
        <f t="shared" si="13"/>
        <v>0</v>
      </c>
      <c r="G139" s="9">
        <f t="shared" si="14"/>
        <v>802</v>
      </c>
      <c r="H139">
        <f>E140-F140-G140</f>
        <v>0</v>
      </c>
    </row>
    <row r="140" spans="1:13" x14ac:dyDescent="0.25">
      <c r="A140">
        <f t="shared" si="10"/>
        <v>1</v>
      </c>
      <c r="B140" s="18">
        <f t="shared" si="15"/>
        <v>0</v>
      </c>
      <c r="C140" s="8" t="s">
        <v>61</v>
      </c>
      <c r="D140">
        <f t="shared" si="11"/>
        <v>0</v>
      </c>
      <c r="E140" s="9">
        <f t="shared" si="12"/>
        <v>0</v>
      </c>
      <c r="F140" s="8">
        <f t="shared" si="13"/>
        <v>0</v>
      </c>
      <c r="G140" s="9">
        <f t="shared" si="14"/>
        <v>0</v>
      </c>
      <c r="H140">
        <f>E141-F141-G141</f>
        <v>0</v>
      </c>
    </row>
    <row r="141" spans="1:13" x14ac:dyDescent="0.25">
      <c r="A141">
        <f t="shared" si="10"/>
        <v>1</v>
      </c>
      <c r="B141" s="18">
        <f t="shared" si="15"/>
        <v>0.91815026312842896</v>
      </c>
      <c r="C141" s="8" t="s">
        <v>69</v>
      </c>
      <c r="D141">
        <f t="shared" si="11"/>
        <v>1</v>
      </c>
      <c r="E141" s="9">
        <f t="shared" si="12"/>
        <v>164</v>
      </c>
      <c r="F141" s="8">
        <f t="shared" si="13"/>
        <v>0</v>
      </c>
      <c r="G141" s="9">
        <f t="shared" si="14"/>
        <v>164</v>
      </c>
      <c r="H141">
        <f>E142-F142-G142</f>
        <v>0</v>
      </c>
    </row>
    <row r="142" spans="1:13" x14ac:dyDescent="0.25">
      <c r="A142">
        <f t="shared" si="10"/>
        <v>1</v>
      </c>
      <c r="B142" s="18">
        <f t="shared" si="15"/>
        <v>0.19594670249692084</v>
      </c>
      <c r="C142" s="8" t="s">
        <v>528</v>
      </c>
      <c r="D142">
        <f t="shared" si="11"/>
        <v>1</v>
      </c>
      <c r="E142" s="9">
        <f t="shared" si="12"/>
        <v>35</v>
      </c>
      <c r="F142" s="8">
        <f t="shared" si="13"/>
        <v>35</v>
      </c>
      <c r="G142" s="9">
        <f t="shared" si="14"/>
        <v>0</v>
      </c>
      <c r="H142">
        <f>E143-F143-G143</f>
        <v>0</v>
      </c>
    </row>
    <row r="143" spans="1:13" x14ac:dyDescent="0.25">
      <c r="A143">
        <f t="shared" si="10"/>
        <v>1</v>
      </c>
      <c r="B143" s="18">
        <f t="shared" si="15"/>
        <v>0</v>
      </c>
      <c r="C143" s="10" t="s">
        <v>593</v>
      </c>
      <c r="D143" s="11">
        <f t="shared" si="11"/>
        <v>0</v>
      </c>
      <c r="E143" s="12">
        <f t="shared" si="12"/>
        <v>0</v>
      </c>
      <c r="F143" s="10">
        <f t="shared" si="13"/>
        <v>0</v>
      </c>
      <c r="G143" s="12">
        <f t="shared" si="14"/>
        <v>0</v>
      </c>
    </row>
    <row r="144" spans="1:13" x14ac:dyDescent="0.25">
      <c r="B144" s="18">
        <f t="shared" si="15"/>
        <v>69.896988019258771</v>
      </c>
      <c r="E144" s="9">
        <f>SUM(E112:E143)</f>
        <v>12485</v>
      </c>
      <c r="F144" s="13">
        <f>SUM(F112:F143)</f>
        <v>2214</v>
      </c>
      <c r="G144" s="15">
        <f>SUM(G112:G143)</f>
        <v>6601</v>
      </c>
    </row>
    <row r="145" spans="2:7" x14ac:dyDescent="0.25">
      <c r="B145" s="18">
        <f t="shared" si="15"/>
        <v>30.10301198074124</v>
      </c>
      <c r="E145" s="9">
        <f>E104-E144</f>
        <v>5377</v>
      </c>
      <c r="F145" s="10" t="s">
        <v>389</v>
      </c>
      <c r="G145" s="12">
        <f>E104-F144-G144</f>
        <v>9047</v>
      </c>
    </row>
    <row r="147" spans="2:7" x14ac:dyDescent="0.25">
      <c r="C147" s="13"/>
      <c r="D147" s="14" t="s">
        <v>93</v>
      </c>
      <c r="E147" s="15" t="s">
        <v>94</v>
      </c>
    </row>
    <row r="148" spans="2:7" x14ac:dyDescent="0.25">
      <c r="C148" s="8" t="s">
        <v>402</v>
      </c>
      <c r="D148">
        <f>SUMIFS($D$2:$D$94,$E$2:$E$94,D$147,$F$2:$F$94,"&lt;5.1")</f>
        <v>324</v>
      </c>
      <c r="E148" s="9">
        <f>SUMIFS($D$2:$D$94,$E$2:$E$94,E$147,$F$2:$F$94,"&lt;5.1")</f>
        <v>417</v>
      </c>
      <c r="F148" s="3"/>
      <c r="G148" s="3"/>
    </row>
    <row r="149" spans="2:7" x14ac:dyDescent="0.25">
      <c r="C149" s="29" t="s">
        <v>403</v>
      </c>
      <c r="D149">
        <f>SUMIFS($D$2:$D$94,$E$2:$E$94,D$147,$F$2:$F$94,"&lt;10.1")-D148</f>
        <v>98</v>
      </c>
      <c r="E149" s="9">
        <f>SUMIFS($D$2:$D$94,$E$2:$E$94,E$147,$F$2:$F$94,"&lt;10.1")-E148</f>
        <v>2040</v>
      </c>
      <c r="G149" s="18"/>
    </row>
    <row r="150" spans="2:7" x14ac:dyDescent="0.25">
      <c r="C150" s="29" t="s">
        <v>404</v>
      </c>
      <c r="D150">
        <f>SUMIFS($D$2:$D$94,$E$2:$E$94,D$147,$F$2:$F$94,"&lt;15.1")-D149-D148</f>
        <v>783</v>
      </c>
      <c r="E150" s="9">
        <f>SUMIFS($D$2:$D$94,$E$2:$E$94,E$147,$F$2:$F$94,"&lt;15.1")-E149-E148</f>
        <v>522</v>
      </c>
    </row>
    <row r="151" spans="2:7" x14ac:dyDescent="0.25">
      <c r="C151" s="29" t="s">
        <v>102</v>
      </c>
      <c r="D151">
        <f>SUMIFS($D$2:$D$94,$E$2:$E$94,D$147,$F$2:$F$94,"&lt;20.1")-D150-D149-D148</f>
        <v>763</v>
      </c>
      <c r="E151" s="9">
        <f>SUMIFS($D$2:$D$94,$E$2:$E$94,E$147,$F$2:$F$94,"&lt;20.1")-E150-E149-E148</f>
        <v>1067</v>
      </c>
      <c r="G151" s="18"/>
    </row>
    <row r="152" spans="2:7" x14ac:dyDescent="0.25">
      <c r="C152" s="8" t="s">
        <v>405</v>
      </c>
      <c r="D152">
        <f>SUMIFS($D$2:$D$94,$E$2:$E$94,D$147,$F$2:$F$94,"&lt;40.1")-D151-D150-D149-D148</f>
        <v>246</v>
      </c>
      <c r="E152" s="9">
        <f>SUMIFS($D$2:$D$94,$E$2:$E$94,E$147,$F$2:$F$94,"&lt;40.1")-E151-E150-E149-E148</f>
        <v>2167</v>
      </c>
      <c r="G152" s="18"/>
    </row>
    <row r="153" spans="2:7" x14ac:dyDescent="0.25">
      <c r="C153" s="10" t="s">
        <v>406</v>
      </c>
      <c r="D153" s="11">
        <f>E107-SUM(D148:D152)</f>
        <v>0</v>
      </c>
      <c r="E153" s="12">
        <f>E106-SUM(E148:E152)</f>
        <v>388</v>
      </c>
    </row>
    <row r="154" spans="2:7" x14ac:dyDescent="0.25">
      <c r="C154" s="25"/>
      <c r="D154" s="18"/>
      <c r="E154" s="18"/>
    </row>
    <row r="155" spans="2:7" x14ac:dyDescent="0.25">
      <c r="B155" s="3" t="s">
        <v>1495</v>
      </c>
      <c r="C155" t="s">
        <v>1492</v>
      </c>
      <c r="E155" s="24">
        <f>AVERAGE(F2:F94)</f>
        <v>17.2</v>
      </c>
    </row>
    <row r="156" spans="2:7" x14ac:dyDescent="0.25">
      <c r="C156" t="s">
        <v>1499</v>
      </c>
      <c r="E156" s="24">
        <f>SUMPRODUCT(F2:F94,D2:D94)/SUM(D2:D94)</f>
        <v>12.122226672006407</v>
      </c>
    </row>
    <row r="158" spans="2:7" x14ac:dyDescent="0.25">
      <c r="B158" s="3" t="s">
        <v>1496</v>
      </c>
      <c r="C158" t="s">
        <v>1491</v>
      </c>
      <c r="E158" s="24">
        <f>AVERAGE(J2:J93)</f>
        <v>134.04761904761904</v>
      </c>
    </row>
    <row r="159" spans="2:7" x14ac:dyDescent="0.25">
      <c r="C159" t="s">
        <v>1493</v>
      </c>
      <c r="E159" s="24">
        <f>SUMPRODUCT(J2:J93,D2:D93)/SUM(D2:D93)</f>
        <v>125.17533039647577</v>
      </c>
    </row>
    <row r="160" spans="2:7" x14ac:dyDescent="0.25">
      <c r="C160" t="s">
        <v>1494</v>
      </c>
      <c r="E160" s="24"/>
    </row>
    <row r="161" spans="2:5" x14ac:dyDescent="0.25">
      <c r="E161" s="24"/>
    </row>
    <row r="162" spans="2:5" x14ac:dyDescent="0.25">
      <c r="B162" s="3" t="s">
        <v>1497</v>
      </c>
      <c r="C162" t="s">
        <v>1498</v>
      </c>
      <c r="E162" s="24">
        <f>AVERAGE(K2:K93)</f>
        <v>3.6690476190476153</v>
      </c>
    </row>
    <row r="163" spans="2:5" x14ac:dyDescent="0.25">
      <c r="C163" t="s">
        <v>1493</v>
      </c>
      <c r="E163" s="24">
        <f>SUMPRODUCT(K2:K93,D2:D93)/SUM(D2:D93)</f>
        <v>3.3372687224669599</v>
      </c>
    </row>
    <row r="164" spans="2:5" x14ac:dyDescent="0.25">
      <c r="C164" t="s">
        <v>1500</v>
      </c>
      <c r="E164" s="24">
        <f>SUMPRODUCT(K2:K93,H2:H93)/SUM(H2:H93)</f>
        <v>3.2982392694317904</v>
      </c>
    </row>
  </sheetData>
  <sortState xmlns:xlrd2="http://schemas.microsoft.com/office/spreadsheetml/2017/richdata2" ref="E173:E191">
    <sortCondition ref="E191"/>
  </sortState>
  <phoneticPr fontId="6" type="noConversion"/>
  <pageMargins left="0.7" right="0.7" top="0.75" bottom="0.75" header="0.3" footer="0.3"/>
  <pageSetup paperSize="9" orientation="portrait" r:id="rId1"/>
  <headerFooter>
    <oddFooter>&amp;L&amp;1#&amp;"Arial"&amp;8&amp;KD5DAD9</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5"/>
  <sheetViews>
    <sheetView topLeftCell="A26" zoomScale="70" zoomScaleNormal="70" workbookViewId="0">
      <selection activeCell="B2" sqref="B2:Z92"/>
    </sheetView>
  </sheetViews>
  <sheetFormatPr defaultRowHeight="15" x14ac:dyDescent="0.25"/>
  <cols>
    <col min="2" max="9" width="13.7109375" customWidth="1"/>
    <col min="10" max="10" width="1.7109375" customWidth="1"/>
    <col min="11" max="11" width="4" customWidth="1"/>
    <col min="12" max="12" width="12" bestFit="1" customWidth="1"/>
    <col min="13" max="13" width="17.42578125" bestFit="1" customWidth="1"/>
    <col min="14" max="14" width="12" customWidth="1"/>
    <col min="15" max="15" width="4.140625" customWidth="1"/>
    <col min="16" max="16" width="15.140625" customWidth="1"/>
    <col min="17" max="17" width="3.5703125" customWidth="1"/>
    <col min="18" max="18" width="3.28515625" customWidth="1"/>
    <col min="19" max="20" width="12" bestFit="1" customWidth="1"/>
    <col min="21" max="21" width="4.42578125" customWidth="1"/>
    <col min="22" max="22" width="13.28515625" bestFit="1" customWidth="1"/>
    <col min="23" max="23" width="5" customWidth="1"/>
    <col min="24" max="24" width="6.5703125" customWidth="1"/>
  </cols>
  <sheetData>
    <row r="1" spans="1:29" x14ac:dyDescent="0.25">
      <c r="B1" s="3" t="s">
        <v>86</v>
      </c>
      <c r="C1" s="3" t="s">
        <v>87</v>
      </c>
      <c r="D1" s="3" t="s">
        <v>88</v>
      </c>
      <c r="E1" s="3" t="s">
        <v>98</v>
      </c>
      <c r="F1" s="3" t="s">
        <v>100</v>
      </c>
      <c r="G1" s="3" t="s">
        <v>89</v>
      </c>
      <c r="H1" s="3" t="s">
        <v>91</v>
      </c>
      <c r="I1" s="3" t="s">
        <v>90</v>
      </c>
      <c r="J1" s="3" t="s">
        <v>131</v>
      </c>
      <c r="K1" s="3" t="s">
        <v>130</v>
      </c>
      <c r="L1" s="3" t="s">
        <v>103</v>
      </c>
      <c r="M1" s="3" t="s">
        <v>101</v>
      </c>
      <c r="N1" s="3" t="s">
        <v>107</v>
      </c>
      <c r="O1" s="3" t="s">
        <v>91</v>
      </c>
      <c r="P1" s="3" t="s">
        <v>105</v>
      </c>
      <c r="Q1" s="3" t="s">
        <v>131</v>
      </c>
      <c r="R1" s="3" t="s">
        <v>130</v>
      </c>
      <c r="S1" s="3" t="s">
        <v>103</v>
      </c>
      <c r="T1" s="3" t="s">
        <v>101</v>
      </c>
      <c r="U1" s="3" t="s">
        <v>91</v>
      </c>
      <c r="V1" s="3" t="s">
        <v>105</v>
      </c>
      <c r="W1" s="3" t="s">
        <v>131</v>
      </c>
      <c r="X1" s="3" t="s">
        <v>130</v>
      </c>
      <c r="Z1" s="3" t="s">
        <v>601</v>
      </c>
      <c r="AB1" s="3" t="s">
        <v>682</v>
      </c>
      <c r="AC1" t="s">
        <v>683</v>
      </c>
    </row>
    <row r="2" spans="1:29" x14ac:dyDescent="0.25">
      <c r="B2" s="2" t="s">
        <v>555</v>
      </c>
      <c r="C2" t="s">
        <v>564</v>
      </c>
      <c r="D2">
        <v>52</v>
      </c>
      <c r="E2" t="s">
        <v>93</v>
      </c>
      <c r="G2" t="s">
        <v>565</v>
      </c>
      <c r="H2" s="1">
        <f t="shared" ref="H2:H25" si="0">D2/K2</f>
        <v>15.072463768115941</v>
      </c>
      <c r="I2" t="s">
        <v>112</v>
      </c>
      <c r="J2">
        <v>112</v>
      </c>
      <c r="K2">
        <v>3.45</v>
      </c>
      <c r="AB2">
        <f t="shared" ref="AB2:AB33" si="1">COUNTIF($I$112:$I$142,I2)</f>
        <v>1</v>
      </c>
      <c r="AC2">
        <f t="shared" ref="AC2:AC33" si="2">COUNTIF($C$111:$C$142,C2)</f>
        <v>1</v>
      </c>
    </row>
    <row r="3" spans="1:29" x14ac:dyDescent="0.25">
      <c r="B3" s="2" t="s">
        <v>556</v>
      </c>
      <c r="C3" t="s">
        <v>61</v>
      </c>
      <c r="D3">
        <v>45</v>
      </c>
      <c r="E3" t="s">
        <v>94</v>
      </c>
      <c r="F3">
        <v>10</v>
      </c>
      <c r="H3" s="1">
        <f t="shared" si="0"/>
        <v>13.043478260869565</v>
      </c>
      <c r="I3" t="s">
        <v>108</v>
      </c>
      <c r="J3">
        <v>136</v>
      </c>
      <c r="K3">
        <v>3.45</v>
      </c>
      <c r="M3">
        <v>162</v>
      </c>
      <c r="AB3">
        <f t="shared" si="1"/>
        <v>1</v>
      </c>
      <c r="AC3">
        <f t="shared" si="2"/>
        <v>1</v>
      </c>
    </row>
    <row r="4" spans="1:29" x14ac:dyDescent="0.25">
      <c r="B4" s="2" t="s">
        <v>557</v>
      </c>
      <c r="C4" t="s">
        <v>146</v>
      </c>
      <c r="D4">
        <v>57</v>
      </c>
      <c r="G4" t="s">
        <v>234</v>
      </c>
      <c r="H4" s="1">
        <f t="shared" si="0"/>
        <v>19</v>
      </c>
      <c r="I4" t="s">
        <v>321</v>
      </c>
      <c r="J4">
        <v>112</v>
      </c>
      <c r="K4">
        <v>3</v>
      </c>
      <c r="S4" s="4"/>
      <c r="AB4">
        <f t="shared" si="1"/>
        <v>1</v>
      </c>
      <c r="AC4">
        <f t="shared" si="2"/>
        <v>1</v>
      </c>
    </row>
    <row r="5" spans="1:29" x14ac:dyDescent="0.25">
      <c r="B5" s="2" t="s">
        <v>557</v>
      </c>
      <c r="C5" t="s">
        <v>1247</v>
      </c>
      <c r="D5">
        <v>50</v>
      </c>
      <c r="E5" t="s">
        <v>94</v>
      </c>
      <c r="H5" s="1">
        <f>D5/K5</f>
        <v>13.888888888888889</v>
      </c>
      <c r="I5" t="s">
        <v>108</v>
      </c>
      <c r="J5">
        <v>136</v>
      </c>
      <c r="K5">
        <v>3.6</v>
      </c>
      <c r="L5" t="s">
        <v>566</v>
      </c>
      <c r="AB5">
        <f t="shared" si="1"/>
        <v>1</v>
      </c>
      <c r="AC5">
        <f t="shared" si="2"/>
        <v>1</v>
      </c>
    </row>
    <row r="6" spans="1:29" x14ac:dyDescent="0.25">
      <c r="B6" s="2" t="s">
        <v>558</v>
      </c>
      <c r="C6" t="s">
        <v>140</v>
      </c>
      <c r="D6">
        <v>72</v>
      </c>
      <c r="E6" t="s">
        <v>94</v>
      </c>
      <c r="F6">
        <v>25</v>
      </c>
      <c r="G6" t="s">
        <v>567</v>
      </c>
      <c r="H6" s="1">
        <f t="shared" si="0"/>
        <v>20</v>
      </c>
      <c r="I6" t="s">
        <v>108</v>
      </c>
      <c r="J6">
        <v>136</v>
      </c>
      <c r="K6">
        <v>3.6</v>
      </c>
      <c r="L6" t="s">
        <v>568</v>
      </c>
      <c r="AB6">
        <f t="shared" si="1"/>
        <v>1</v>
      </c>
      <c r="AC6">
        <f t="shared" si="2"/>
        <v>1</v>
      </c>
    </row>
    <row r="7" spans="1:29" x14ac:dyDescent="0.25">
      <c r="B7" s="2" t="s">
        <v>559</v>
      </c>
      <c r="C7" t="s">
        <v>146</v>
      </c>
      <c r="D7">
        <v>51</v>
      </c>
      <c r="E7" t="s">
        <v>93</v>
      </c>
      <c r="F7">
        <v>2</v>
      </c>
      <c r="G7" t="s">
        <v>569</v>
      </c>
      <c r="H7" s="1"/>
      <c r="I7" t="s">
        <v>110</v>
      </c>
      <c r="O7">
        <v>14</v>
      </c>
      <c r="P7" t="s">
        <v>110</v>
      </c>
      <c r="Q7">
        <v>110</v>
      </c>
      <c r="R7">
        <v>2</v>
      </c>
      <c r="U7">
        <v>6</v>
      </c>
      <c r="V7" t="s">
        <v>115</v>
      </c>
      <c r="W7">
        <v>117</v>
      </c>
      <c r="X7">
        <v>3.3</v>
      </c>
      <c r="AB7">
        <f t="shared" si="1"/>
        <v>1</v>
      </c>
      <c r="AC7">
        <f t="shared" si="2"/>
        <v>1</v>
      </c>
    </row>
    <row r="8" spans="1:29" x14ac:dyDescent="0.25">
      <c r="B8" s="2" t="s">
        <v>560</v>
      </c>
      <c r="C8" t="s">
        <v>1247</v>
      </c>
      <c r="D8">
        <v>135</v>
      </c>
      <c r="E8" t="s">
        <v>94</v>
      </c>
      <c r="F8">
        <v>25</v>
      </c>
      <c r="G8" t="s">
        <v>570</v>
      </c>
      <c r="H8" s="1">
        <f t="shared" si="0"/>
        <v>39.130434782608695</v>
      </c>
      <c r="I8" t="s">
        <v>109</v>
      </c>
      <c r="J8">
        <v>126</v>
      </c>
      <c r="K8">
        <v>3.45</v>
      </c>
      <c r="AB8">
        <f t="shared" si="1"/>
        <v>1</v>
      </c>
      <c r="AC8">
        <f t="shared" si="2"/>
        <v>1</v>
      </c>
    </row>
    <row r="9" spans="1:29" x14ac:dyDescent="0.25">
      <c r="B9" s="2" t="s">
        <v>561</v>
      </c>
      <c r="C9" t="s">
        <v>207</v>
      </c>
      <c r="D9">
        <v>45</v>
      </c>
      <c r="E9" t="s">
        <v>93</v>
      </c>
      <c r="F9">
        <v>5</v>
      </c>
      <c r="G9" t="s">
        <v>571</v>
      </c>
      <c r="H9" s="1">
        <f t="shared" si="0"/>
        <v>13.043478260869565</v>
      </c>
      <c r="I9" t="s">
        <v>108</v>
      </c>
      <c r="J9">
        <v>136</v>
      </c>
      <c r="K9">
        <v>3.45</v>
      </c>
      <c r="AB9">
        <f t="shared" si="1"/>
        <v>1</v>
      </c>
      <c r="AC9">
        <f t="shared" si="2"/>
        <v>1</v>
      </c>
    </row>
    <row r="10" spans="1:29" x14ac:dyDescent="0.25">
      <c r="B10" s="2" t="s">
        <v>561</v>
      </c>
      <c r="C10" t="s">
        <v>138</v>
      </c>
      <c r="D10">
        <v>21</v>
      </c>
      <c r="E10" t="s">
        <v>94</v>
      </c>
      <c r="F10">
        <v>20</v>
      </c>
      <c r="G10" t="s">
        <v>572</v>
      </c>
      <c r="H10" s="1">
        <f t="shared" si="0"/>
        <v>6.0869565217391299</v>
      </c>
      <c r="I10" t="s">
        <v>108</v>
      </c>
      <c r="J10">
        <v>136</v>
      </c>
      <c r="K10">
        <v>3.45</v>
      </c>
      <c r="AB10">
        <f t="shared" si="1"/>
        <v>1</v>
      </c>
      <c r="AC10">
        <f t="shared" si="2"/>
        <v>1</v>
      </c>
    </row>
    <row r="11" spans="1:29" x14ac:dyDescent="0.25">
      <c r="B11" s="2" t="s">
        <v>562</v>
      </c>
      <c r="C11" t="s">
        <v>137</v>
      </c>
      <c r="D11">
        <v>50</v>
      </c>
      <c r="E11" t="s">
        <v>94</v>
      </c>
      <c r="F11">
        <v>15</v>
      </c>
      <c r="G11" t="s">
        <v>573</v>
      </c>
      <c r="H11" s="1">
        <f t="shared" si="0"/>
        <v>22.727272727272727</v>
      </c>
      <c r="I11" t="s">
        <v>574</v>
      </c>
      <c r="J11">
        <v>120</v>
      </c>
      <c r="K11">
        <v>2.2000000000000002</v>
      </c>
      <c r="AB11">
        <f t="shared" si="1"/>
        <v>1</v>
      </c>
      <c r="AC11">
        <f t="shared" si="2"/>
        <v>1</v>
      </c>
    </row>
    <row r="12" spans="1:29" x14ac:dyDescent="0.25">
      <c r="B12" s="2" t="s">
        <v>562</v>
      </c>
      <c r="C12" t="s">
        <v>1247</v>
      </c>
      <c r="D12">
        <v>159</v>
      </c>
      <c r="E12" t="s">
        <v>94</v>
      </c>
      <c r="F12">
        <v>5</v>
      </c>
      <c r="G12" t="s">
        <v>575</v>
      </c>
      <c r="H12" s="1">
        <f t="shared" si="0"/>
        <v>44.166666666666664</v>
      </c>
      <c r="I12" t="s">
        <v>115</v>
      </c>
      <c r="J12">
        <v>117</v>
      </c>
      <c r="K12">
        <v>3.6</v>
      </c>
      <c r="L12" t="s">
        <v>566</v>
      </c>
      <c r="AB12">
        <f t="shared" si="1"/>
        <v>1</v>
      </c>
      <c r="AC12">
        <f t="shared" si="2"/>
        <v>1</v>
      </c>
    </row>
    <row r="13" spans="1:29" x14ac:dyDescent="0.25">
      <c r="B13" s="2" t="s">
        <v>563</v>
      </c>
      <c r="C13" t="s">
        <v>1247</v>
      </c>
      <c r="D13">
        <v>92</v>
      </c>
      <c r="E13" t="s">
        <v>94</v>
      </c>
      <c r="F13">
        <v>5</v>
      </c>
      <c r="G13" t="s">
        <v>576</v>
      </c>
      <c r="H13" s="1">
        <f t="shared" si="0"/>
        <v>46</v>
      </c>
      <c r="I13" t="s">
        <v>110</v>
      </c>
      <c r="J13">
        <v>110</v>
      </c>
      <c r="K13">
        <v>2</v>
      </c>
      <c r="AB13">
        <f t="shared" si="1"/>
        <v>1</v>
      </c>
      <c r="AC13">
        <f t="shared" si="2"/>
        <v>1</v>
      </c>
    </row>
    <row r="14" spans="1:29" x14ac:dyDescent="0.25">
      <c r="B14" s="2" t="s">
        <v>563</v>
      </c>
      <c r="C14" t="s">
        <v>1247</v>
      </c>
      <c r="D14">
        <v>138</v>
      </c>
      <c r="E14" t="s">
        <v>94</v>
      </c>
      <c r="F14">
        <v>10</v>
      </c>
      <c r="G14" t="s">
        <v>577</v>
      </c>
      <c r="H14" s="1">
        <f t="shared" si="0"/>
        <v>69</v>
      </c>
      <c r="I14" t="s">
        <v>578</v>
      </c>
      <c r="J14">
        <v>120</v>
      </c>
      <c r="K14">
        <v>2</v>
      </c>
      <c r="AB14">
        <f t="shared" si="1"/>
        <v>1</v>
      </c>
      <c r="AC14">
        <f t="shared" si="2"/>
        <v>1</v>
      </c>
    </row>
    <row r="15" spans="1:29" x14ac:dyDescent="0.25">
      <c r="A15" s="11">
        <f>SUM(D2:D15)</f>
        <v>1176</v>
      </c>
      <c r="B15" s="30" t="s">
        <v>563</v>
      </c>
      <c r="C15" s="11" t="s">
        <v>1247</v>
      </c>
      <c r="D15" s="11">
        <v>209</v>
      </c>
      <c r="E15" s="11" t="s">
        <v>95</v>
      </c>
      <c r="F15" s="11">
        <v>7</v>
      </c>
      <c r="G15" s="11"/>
      <c r="H15" s="28">
        <f t="shared" si="0"/>
        <v>58.055555555555557</v>
      </c>
      <c r="I15" s="11" t="s">
        <v>108</v>
      </c>
      <c r="J15" s="11">
        <v>136</v>
      </c>
      <c r="K15" s="11">
        <v>3.6</v>
      </c>
      <c r="L15" t="s">
        <v>566</v>
      </c>
      <c r="M15" s="11"/>
      <c r="N15" s="11"/>
      <c r="O15" s="11"/>
      <c r="P15" s="11"/>
      <c r="Q15" s="11"/>
      <c r="R15" s="11"/>
      <c r="S15" s="11"/>
      <c r="T15" s="11"/>
      <c r="U15" s="11"/>
      <c r="V15" s="11"/>
      <c r="AB15">
        <f t="shared" si="1"/>
        <v>1</v>
      </c>
      <c r="AC15">
        <f t="shared" si="2"/>
        <v>1</v>
      </c>
    </row>
    <row r="16" spans="1:29" x14ac:dyDescent="0.25">
      <c r="B16" s="2" t="s">
        <v>579</v>
      </c>
      <c r="C16" t="s">
        <v>146</v>
      </c>
      <c r="D16">
        <v>48</v>
      </c>
      <c r="E16" t="s">
        <v>94</v>
      </c>
      <c r="F16">
        <v>15</v>
      </c>
      <c r="G16" t="s">
        <v>586</v>
      </c>
      <c r="H16" s="1">
        <f t="shared" si="0"/>
        <v>16</v>
      </c>
      <c r="I16" t="s">
        <v>115</v>
      </c>
      <c r="J16">
        <v>117</v>
      </c>
      <c r="K16">
        <v>3</v>
      </c>
      <c r="AB16">
        <f t="shared" si="1"/>
        <v>1</v>
      </c>
      <c r="AC16">
        <f t="shared" si="2"/>
        <v>1</v>
      </c>
    </row>
    <row r="17" spans="2:29" x14ac:dyDescent="0.25">
      <c r="B17" s="2" t="s">
        <v>579</v>
      </c>
      <c r="C17" t="s">
        <v>146</v>
      </c>
      <c r="D17">
        <v>31</v>
      </c>
      <c r="H17" s="1">
        <f t="shared" si="0"/>
        <v>8.9855072463768106</v>
      </c>
      <c r="I17" t="s">
        <v>115</v>
      </c>
      <c r="J17">
        <v>117</v>
      </c>
      <c r="K17">
        <v>3.45</v>
      </c>
      <c r="AB17">
        <f t="shared" si="1"/>
        <v>1</v>
      </c>
      <c r="AC17">
        <f t="shared" si="2"/>
        <v>1</v>
      </c>
    </row>
    <row r="18" spans="2:29" x14ac:dyDescent="0.25">
      <c r="B18" s="2" t="s">
        <v>580</v>
      </c>
      <c r="C18" t="s">
        <v>140</v>
      </c>
      <c r="D18">
        <v>353</v>
      </c>
      <c r="E18" t="s">
        <v>94</v>
      </c>
      <c r="F18">
        <v>25</v>
      </c>
      <c r="G18" t="s">
        <v>529</v>
      </c>
      <c r="H18" s="1">
        <f t="shared" si="0"/>
        <v>84.047619047619051</v>
      </c>
      <c r="I18" t="s">
        <v>121</v>
      </c>
      <c r="J18">
        <v>136</v>
      </c>
      <c r="K18">
        <v>4.2</v>
      </c>
      <c r="AB18">
        <f t="shared" si="1"/>
        <v>1</v>
      </c>
      <c r="AC18">
        <f t="shared" si="2"/>
        <v>1</v>
      </c>
    </row>
    <row r="19" spans="2:29" x14ac:dyDescent="0.25">
      <c r="B19" s="2" t="s">
        <v>581</v>
      </c>
      <c r="C19" t="s">
        <v>27</v>
      </c>
      <c r="D19">
        <v>106</v>
      </c>
      <c r="E19" t="s">
        <v>94</v>
      </c>
      <c r="F19">
        <v>20</v>
      </c>
      <c r="G19" t="s">
        <v>588</v>
      </c>
      <c r="H19" s="1">
        <f t="shared" si="0"/>
        <v>27.894736842105264</v>
      </c>
      <c r="I19" t="s">
        <v>108</v>
      </c>
      <c r="J19">
        <v>136</v>
      </c>
      <c r="K19">
        <v>3.8</v>
      </c>
      <c r="L19" t="s">
        <v>587</v>
      </c>
      <c r="AB19">
        <f t="shared" si="1"/>
        <v>1</v>
      </c>
      <c r="AC19">
        <f t="shared" si="2"/>
        <v>1</v>
      </c>
    </row>
    <row r="20" spans="2:29" x14ac:dyDescent="0.25">
      <c r="B20" s="2" t="s">
        <v>582</v>
      </c>
      <c r="C20" t="s">
        <v>1247</v>
      </c>
      <c r="D20">
        <v>100</v>
      </c>
      <c r="E20" t="s">
        <v>94</v>
      </c>
      <c r="F20">
        <v>20</v>
      </c>
      <c r="G20" t="s">
        <v>589</v>
      </c>
      <c r="H20" s="1">
        <f t="shared" si="0"/>
        <v>28.985507246376809</v>
      </c>
      <c r="I20" t="s">
        <v>108</v>
      </c>
      <c r="J20">
        <v>136</v>
      </c>
      <c r="K20">
        <v>3.45</v>
      </c>
      <c r="AB20">
        <f t="shared" si="1"/>
        <v>1</v>
      </c>
      <c r="AC20">
        <f t="shared" si="2"/>
        <v>1</v>
      </c>
    </row>
    <row r="21" spans="2:29" x14ac:dyDescent="0.25">
      <c r="B21" s="2" t="s">
        <v>582</v>
      </c>
      <c r="C21" t="s">
        <v>34</v>
      </c>
      <c r="D21">
        <v>306</v>
      </c>
      <c r="E21" t="s">
        <v>94</v>
      </c>
      <c r="F21">
        <v>15</v>
      </c>
      <c r="G21" t="s">
        <v>590</v>
      </c>
      <c r="H21" s="1">
        <f t="shared" si="0"/>
        <v>85</v>
      </c>
      <c r="I21" t="s">
        <v>108</v>
      </c>
      <c r="J21">
        <v>136</v>
      </c>
      <c r="K21">
        <v>3.6</v>
      </c>
      <c r="L21" t="s">
        <v>566</v>
      </c>
      <c r="AB21">
        <f t="shared" si="1"/>
        <v>1</v>
      </c>
      <c r="AC21">
        <f t="shared" si="2"/>
        <v>1</v>
      </c>
    </row>
    <row r="22" spans="2:29" x14ac:dyDescent="0.25">
      <c r="B22" s="2" t="s">
        <v>583</v>
      </c>
      <c r="C22" t="s">
        <v>1247</v>
      </c>
      <c r="D22">
        <v>212</v>
      </c>
      <c r="E22" t="s">
        <v>94</v>
      </c>
      <c r="F22">
        <v>20</v>
      </c>
      <c r="G22" t="s">
        <v>591</v>
      </c>
      <c r="H22" s="1">
        <f t="shared" si="0"/>
        <v>58.888888888888886</v>
      </c>
      <c r="I22" t="s">
        <v>108</v>
      </c>
      <c r="J22">
        <v>136</v>
      </c>
      <c r="K22">
        <v>3.6</v>
      </c>
      <c r="L22" t="s">
        <v>566</v>
      </c>
      <c r="AB22">
        <f t="shared" si="1"/>
        <v>1</v>
      </c>
      <c r="AC22">
        <f t="shared" si="2"/>
        <v>1</v>
      </c>
    </row>
    <row r="23" spans="2:29" x14ac:dyDescent="0.25">
      <c r="B23" s="2" t="s">
        <v>584</v>
      </c>
      <c r="C23" t="s">
        <v>1247</v>
      </c>
      <c r="D23">
        <v>442</v>
      </c>
      <c r="F23">
        <v>10</v>
      </c>
      <c r="H23" s="1"/>
      <c r="I23" t="s">
        <v>122</v>
      </c>
      <c r="O23">
        <v>216</v>
      </c>
      <c r="P23" t="s">
        <v>122</v>
      </c>
      <c r="Q23">
        <v>116</v>
      </c>
      <c r="R23">
        <v>2</v>
      </c>
      <c r="U23">
        <v>5</v>
      </c>
      <c r="V23" t="s">
        <v>110</v>
      </c>
      <c r="W23">
        <v>110</v>
      </c>
      <c r="X23">
        <v>2</v>
      </c>
      <c r="AB23">
        <f t="shared" si="1"/>
        <v>1</v>
      </c>
      <c r="AC23">
        <f t="shared" si="2"/>
        <v>1</v>
      </c>
    </row>
    <row r="24" spans="2:29" x14ac:dyDescent="0.25">
      <c r="B24" s="2" t="s">
        <v>585</v>
      </c>
      <c r="C24" t="s">
        <v>144</v>
      </c>
      <c r="D24">
        <v>228</v>
      </c>
      <c r="E24" t="s">
        <v>94</v>
      </c>
      <c r="F24">
        <v>30</v>
      </c>
      <c r="G24" t="s">
        <v>592</v>
      </c>
      <c r="H24" s="1">
        <f t="shared" si="0"/>
        <v>60</v>
      </c>
      <c r="I24" t="s">
        <v>118</v>
      </c>
      <c r="J24">
        <v>136</v>
      </c>
      <c r="K24">
        <v>3.8</v>
      </c>
      <c r="L24" t="s">
        <v>587</v>
      </c>
      <c r="M24">
        <v>93</v>
      </c>
      <c r="AB24">
        <f t="shared" si="1"/>
        <v>1</v>
      </c>
      <c r="AC24">
        <f t="shared" si="2"/>
        <v>1</v>
      </c>
    </row>
    <row r="25" spans="2:29" x14ac:dyDescent="0.25">
      <c r="B25" s="2" t="s">
        <v>585</v>
      </c>
      <c r="C25" t="s">
        <v>593</v>
      </c>
      <c r="D25">
        <v>66</v>
      </c>
      <c r="G25" t="s">
        <v>595</v>
      </c>
      <c r="H25" s="1">
        <f t="shared" si="0"/>
        <v>20</v>
      </c>
      <c r="I25" t="s">
        <v>115</v>
      </c>
      <c r="J25">
        <v>117</v>
      </c>
      <c r="K25">
        <v>3.3</v>
      </c>
      <c r="L25" t="s">
        <v>594</v>
      </c>
      <c r="AB25">
        <f t="shared" si="1"/>
        <v>1</v>
      </c>
      <c r="AC25">
        <f t="shared" si="2"/>
        <v>1</v>
      </c>
    </row>
    <row r="26" spans="2:29" x14ac:dyDescent="0.25">
      <c r="B26" s="2" t="s">
        <v>598</v>
      </c>
      <c r="C26" t="s">
        <v>139</v>
      </c>
      <c r="D26">
        <f>12*4.2</f>
        <v>50.400000000000006</v>
      </c>
      <c r="E26" t="s">
        <v>94</v>
      </c>
      <c r="F26">
        <v>15</v>
      </c>
      <c r="G26" t="s">
        <v>599</v>
      </c>
      <c r="H26" s="1">
        <v>12</v>
      </c>
      <c r="I26" t="s">
        <v>121</v>
      </c>
      <c r="J26">
        <v>136</v>
      </c>
      <c r="K26">
        <v>4.2</v>
      </c>
      <c r="AB26">
        <f t="shared" si="1"/>
        <v>1</v>
      </c>
      <c r="AC26">
        <f t="shared" si="2"/>
        <v>1</v>
      </c>
    </row>
    <row r="27" spans="2:29" x14ac:dyDescent="0.25">
      <c r="B27" s="2" t="s">
        <v>598</v>
      </c>
      <c r="C27" t="s">
        <v>138</v>
      </c>
      <c r="D27">
        <f>4*3.45</f>
        <v>13.8</v>
      </c>
      <c r="E27" t="s">
        <v>93</v>
      </c>
      <c r="F27">
        <v>20</v>
      </c>
      <c r="G27" t="s">
        <v>600</v>
      </c>
      <c r="H27" s="1">
        <v>4</v>
      </c>
      <c r="I27" t="s">
        <v>115</v>
      </c>
      <c r="J27">
        <v>117</v>
      </c>
      <c r="K27">
        <v>3.45</v>
      </c>
      <c r="Z27" t="s">
        <v>602</v>
      </c>
      <c r="AB27">
        <f t="shared" si="1"/>
        <v>1</v>
      </c>
      <c r="AC27">
        <f t="shared" si="2"/>
        <v>1</v>
      </c>
    </row>
    <row r="28" spans="2:29" x14ac:dyDescent="0.25">
      <c r="B28" s="2" t="s">
        <v>598</v>
      </c>
      <c r="C28" t="s">
        <v>69</v>
      </c>
      <c r="D28">
        <v>97</v>
      </c>
      <c r="G28" t="s">
        <v>603</v>
      </c>
      <c r="H28" s="1">
        <v>27</v>
      </c>
      <c r="I28" t="s">
        <v>118</v>
      </c>
      <c r="J28">
        <v>136</v>
      </c>
      <c r="K28">
        <v>3.6</v>
      </c>
      <c r="AB28">
        <f t="shared" si="1"/>
        <v>1</v>
      </c>
      <c r="AC28">
        <f t="shared" si="2"/>
        <v>1</v>
      </c>
    </row>
    <row r="29" spans="2:29" x14ac:dyDescent="0.25">
      <c r="B29" s="2" t="s">
        <v>604</v>
      </c>
      <c r="C29" t="s">
        <v>605</v>
      </c>
      <c r="D29">
        <v>47</v>
      </c>
      <c r="H29" s="1">
        <v>13</v>
      </c>
      <c r="I29" t="s">
        <v>115</v>
      </c>
      <c r="J29">
        <v>117</v>
      </c>
      <c r="K29">
        <v>3.6</v>
      </c>
      <c r="L29" t="s">
        <v>566</v>
      </c>
      <c r="AB29">
        <f t="shared" si="1"/>
        <v>1</v>
      </c>
      <c r="AC29">
        <f t="shared" si="2"/>
        <v>1</v>
      </c>
    </row>
    <row r="30" spans="2:29" x14ac:dyDescent="0.25">
      <c r="B30" s="2" t="s">
        <v>606</v>
      </c>
      <c r="C30" t="s">
        <v>139</v>
      </c>
      <c r="D30">
        <v>197</v>
      </c>
      <c r="E30" t="s">
        <v>94</v>
      </c>
      <c r="F30">
        <v>25</v>
      </c>
      <c r="G30" t="s">
        <v>609</v>
      </c>
      <c r="H30" s="1">
        <v>47</v>
      </c>
      <c r="I30" t="s">
        <v>121</v>
      </c>
      <c r="J30">
        <v>136</v>
      </c>
      <c r="K30">
        <v>4.2</v>
      </c>
      <c r="Z30" t="s">
        <v>610</v>
      </c>
      <c r="AB30">
        <f t="shared" si="1"/>
        <v>1</v>
      </c>
      <c r="AC30">
        <f t="shared" si="2"/>
        <v>1</v>
      </c>
    </row>
    <row r="31" spans="2:29" x14ac:dyDescent="0.25">
      <c r="B31" s="2" t="s">
        <v>606</v>
      </c>
      <c r="C31" t="s">
        <v>206</v>
      </c>
      <c r="D31">
        <v>26</v>
      </c>
      <c r="E31" t="s">
        <v>94</v>
      </c>
      <c r="F31">
        <v>15</v>
      </c>
      <c r="G31" t="s">
        <v>612</v>
      </c>
      <c r="H31" s="1">
        <f>D31/K31</f>
        <v>7.8787878787878789</v>
      </c>
      <c r="I31" t="s">
        <v>112</v>
      </c>
      <c r="J31">
        <v>112</v>
      </c>
      <c r="K31">
        <v>3.3</v>
      </c>
      <c r="L31" t="s">
        <v>594</v>
      </c>
      <c r="Z31" t="s">
        <v>611</v>
      </c>
      <c r="AB31">
        <f t="shared" si="1"/>
        <v>1</v>
      </c>
      <c r="AC31">
        <f t="shared" si="2"/>
        <v>1</v>
      </c>
    </row>
    <row r="32" spans="2:29" x14ac:dyDescent="0.25">
      <c r="B32" s="2" t="s">
        <v>606</v>
      </c>
      <c r="C32" t="s">
        <v>1247</v>
      </c>
      <c r="D32">
        <v>216</v>
      </c>
      <c r="H32" s="1">
        <f>D32/K32</f>
        <v>108</v>
      </c>
      <c r="I32" t="s">
        <v>113</v>
      </c>
      <c r="J32">
        <v>100</v>
      </c>
      <c r="K32">
        <v>2</v>
      </c>
      <c r="Z32" t="s">
        <v>613</v>
      </c>
      <c r="AB32">
        <f t="shared" si="1"/>
        <v>1</v>
      </c>
      <c r="AC32">
        <f t="shared" si="2"/>
        <v>1</v>
      </c>
    </row>
    <row r="33" spans="1:29" x14ac:dyDescent="0.25">
      <c r="B33" s="2" t="s">
        <v>607</v>
      </c>
      <c r="C33" t="s">
        <v>608</v>
      </c>
      <c r="D33">
        <v>108</v>
      </c>
      <c r="G33" t="s">
        <v>614</v>
      </c>
      <c r="H33" s="1">
        <v>30</v>
      </c>
      <c r="I33" t="s">
        <v>108</v>
      </c>
      <c r="J33">
        <v>136</v>
      </c>
      <c r="K33">
        <v>3.45</v>
      </c>
      <c r="L33" t="s">
        <v>566</v>
      </c>
      <c r="AB33">
        <f t="shared" si="1"/>
        <v>1</v>
      </c>
      <c r="AC33">
        <f t="shared" si="2"/>
        <v>1</v>
      </c>
    </row>
    <row r="34" spans="1:29" x14ac:dyDescent="0.25">
      <c r="A34" s="11">
        <f>SUM(D16:D34)</f>
        <v>2695.2</v>
      </c>
      <c r="B34" s="30" t="s">
        <v>607</v>
      </c>
      <c r="C34" s="11" t="s">
        <v>449</v>
      </c>
      <c r="D34" s="11">
        <v>48</v>
      </c>
      <c r="E34" s="11" t="s">
        <v>94</v>
      </c>
      <c r="F34" s="11">
        <v>10</v>
      </c>
      <c r="G34" s="11" t="s">
        <v>616</v>
      </c>
      <c r="H34" s="28">
        <v>16</v>
      </c>
      <c r="I34" s="11" t="s">
        <v>108</v>
      </c>
      <c r="J34" s="11">
        <v>136</v>
      </c>
      <c r="K34" s="11">
        <v>3</v>
      </c>
      <c r="L34" s="11" t="s">
        <v>615</v>
      </c>
      <c r="M34" s="11"/>
      <c r="N34" s="11"/>
      <c r="O34" s="11"/>
      <c r="P34" s="11"/>
      <c r="Q34" s="11"/>
      <c r="R34" s="11"/>
      <c r="S34" s="11"/>
      <c r="T34" s="11"/>
      <c r="U34" s="11"/>
      <c r="V34" s="11"/>
      <c r="W34" s="11"/>
      <c r="X34" s="11"/>
      <c r="Y34" s="11"/>
      <c r="Z34" s="11"/>
      <c r="AA34" s="11"/>
      <c r="AB34">
        <f t="shared" ref="AB34:AB65" si="3">COUNTIF($I$112:$I$142,I34)</f>
        <v>1</v>
      </c>
      <c r="AC34">
        <f t="shared" ref="AC34:AC65" si="4">COUNTIF($C$111:$C$142,C34)</f>
        <v>1</v>
      </c>
    </row>
    <row r="35" spans="1:29" x14ac:dyDescent="0.25">
      <c r="B35" s="2" t="s">
        <v>617</v>
      </c>
      <c r="C35" t="s">
        <v>142</v>
      </c>
      <c r="D35">
        <v>72</v>
      </c>
      <c r="E35" t="s">
        <v>93</v>
      </c>
      <c r="F35">
        <v>3</v>
      </c>
      <c r="H35" s="1">
        <v>20</v>
      </c>
      <c r="I35" t="s">
        <v>109</v>
      </c>
      <c r="J35">
        <v>126</v>
      </c>
      <c r="K35">
        <v>3.6</v>
      </c>
      <c r="L35" t="s">
        <v>566</v>
      </c>
      <c r="AB35">
        <f t="shared" si="3"/>
        <v>1</v>
      </c>
      <c r="AC35">
        <f t="shared" si="4"/>
        <v>1</v>
      </c>
    </row>
    <row r="36" spans="1:29" x14ac:dyDescent="0.25">
      <c r="B36" s="2" t="s">
        <v>617</v>
      </c>
      <c r="C36" t="s">
        <v>318</v>
      </c>
      <c r="D36">
        <v>21</v>
      </c>
      <c r="E36" t="s">
        <v>94</v>
      </c>
      <c r="F36">
        <v>25</v>
      </c>
      <c r="G36" t="s">
        <v>618</v>
      </c>
      <c r="H36" s="1">
        <v>5</v>
      </c>
      <c r="I36" t="s">
        <v>619</v>
      </c>
      <c r="J36">
        <v>150</v>
      </c>
      <c r="K36">
        <v>4.2</v>
      </c>
      <c r="M36">
        <v>175</v>
      </c>
      <c r="Z36" t="s">
        <v>620</v>
      </c>
      <c r="AB36">
        <f t="shared" si="3"/>
        <v>1</v>
      </c>
      <c r="AC36">
        <f t="shared" si="4"/>
        <v>1</v>
      </c>
    </row>
    <row r="37" spans="1:29" x14ac:dyDescent="0.25">
      <c r="B37" s="2" t="s">
        <v>621</v>
      </c>
      <c r="C37" t="s">
        <v>144</v>
      </c>
      <c r="D37">
        <v>112</v>
      </c>
      <c r="E37" t="s">
        <v>94</v>
      </c>
      <c r="F37">
        <v>25</v>
      </c>
      <c r="G37" t="s">
        <v>622</v>
      </c>
      <c r="H37" s="1">
        <v>31</v>
      </c>
      <c r="I37" t="s">
        <v>120</v>
      </c>
      <c r="J37">
        <v>126</v>
      </c>
      <c r="K37">
        <v>3.6</v>
      </c>
      <c r="M37">
        <v>137</v>
      </c>
      <c r="AB37">
        <f t="shared" si="3"/>
        <v>1</v>
      </c>
      <c r="AC37">
        <f t="shared" si="4"/>
        <v>1</v>
      </c>
    </row>
    <row r="38" spans="1:29" x14ac:dyDescent="0.25">
      <c r="B38" s="2" t="s">
        <v>621</v>
      </c>
      <c r="C38" t="s">
        <v>623</v>
      </c>
      <c r="D38">
        <v>69</v>
      </c>
      <c r="E38" t="s">
        <v>93</v>
      </c>
      <c r="F38">
        <v>12</v>
      </c>
      <c r="G38" t="s">
        <v>624</v>
      </c>
      <c r="H38" s="1">
        <v>20</v>
      </c>
      <c r="I38" t="s">
        <v>109</v>
      </c>
      <c r="J38">
        <v>126</v>
      </c>
      <c r="K38">
        <v>3.45</v>
      </c>
      <c r="AB38">
        <f t="shared" si="3"/>
        <v>1</v>
      </c>
      <c r="AC38">
        <f t="shared" si="4"/>
        <v>1</v>
      </c>
    </row>
    <row r="39" spans="1:29" x14ac:dyDescent="0.25">
      <c r="B39" s="2" t="s">
        <v>625</v>
      </c>
      <c r="C39" t="s">
        <v>1247</v>
      </c>
      <c r="D39">
        <v>184</v>
      </c>
      <c r="E39" t="s">
        <v>94</v>
      </c>
      <c r="F39">
        <v>10</v>
      </c>
      <c r="G39" t="s">
        <v>577</v>
      </c>
      <c r="H39" s="1">
        <f t="shared" ref="H39:H44" si="5">D39/K39</f>
        <v>92</v>
      </c>
      <c r="I39" t="s">
        <v>574</v>
      </c>
      <c r="J39">
        <v>120</v>
      </c>
      <c r="K39">
        <v>2</v>
      </c>
      <c r="L39" t="s">
        <v>626</v>
      </c>
      <c r="AB39">
        <f t="shared" si="3"/>
        <v>1</v>
      </c>
      <c r="AC39">
        <f t="shared" si="4"/>
        <v>1</v>
      </c>
    </row>
    <row r="40" spans="1:29" x14ac:dyDescent="0.25">
      <c r="B40" s="2" t="s">
        <v>629</v>
      </c>
      <c r="C40" t="s">
        <v>630</v>
      </c>
      <c r="D40">
        <v>30</v>
      </c>
      <c r="E40" t="s">
        <v>94</v>
      </c>
      <c r="F40">
        <v>20</v>
      </c>
      <c r="G40" t="s">
        <v>631</v>
      </c>
      <c r="H40" s="1">
        <f t="shared" si="5"/>
        <v>7.8947368421052637</v>
      </c>
      <c r="I40" t="s">
        <v>109</v>
      </c>
      <c r="J40">
        <v>126</v>
      </c>
      <c r="K40">
        <v>3.8</v>
      </c>
      <c r="L40" t="s">
        <v>587</v>
      </c>
      <c r="M40">
        <v>117</v>
      </c>
      <c r="AB40">
        <f t="shared" si="3"/>
        <v>1</v>
      </c>
      <c r="AC40">
        <f t="shared" si="4"/>
        <v>1</v>
      </c>
    </row>
    <row r="41" spans="1:29" x14ac:dyDescent="0.25">
      <c r="B41" s="2" t="s">
        <v>632</v>
      </c>
      <c r="C41" t="s">
        <v>633</v>
      </c>
      <c r="D41">
        <v>159</v>
      </c>
      <c r="E41" t="s">
        <v>94</v>
      </c>
      <c r="F41">
        <v>20</v>
      </c>
      <c r="G41" t="s">
        <v>634</v>
      </c>
      <c r="H41" s="1">
        <f t="shared" si="5"/>
        <v>46.086956521739125</v>
      </c>
      <c r="I41" t="s">
        <v>109</v>
      </c>
      <c r="J41">
        <v>126</v>
      </c>
      <c r="K41">
        <v>3.45</v>
      </c>
      <c r="AB41">
        <f t="shared" si="3"/>
        <v>1</v>
      </c>
      <c r="AC41">
        <f t="shared" si="4"/>
        <v>1</v>
      </c>
    </row>
    <row r="42" spans="1:29" x14ac:dyDescent="0.25">
      <c r="B42" s="2" t="s">
        <v>635</v>
      </c>
      <c r="C42" t="s">
        <v>137</v>
      </c>
      <c r="D42">
        <v>20</v>
      </c>
      <c r="E42" t="s">
        <v>94</v>
      </c>
      <c r="F42">
        <v>10</v>
      </c>
      <c r="G42" t="s">
        <v>636</v>
      </c>
      <c r="H42" s="1">
        <f t="shared" si="5"/>
        <v>9.0909090909090899</v>
      </c>
      <c r="I42" t="s">
        <v>110</v>
      </c>
      <c r="J42">
        <v>110</v>
      </c>
      <c r="K42">
        <v>2.2000000000000002</v>
      </c>
      <c r="L42" t="s">
        <v>637</v>
      </c>
      <c r="AB42">
        <f t="shared" si="3"/>
        <v>1</v>
      </c>
      <c r="AC42">
        <f t="shared" si="4"/>
        <v>1</v>
      </c>
    </row>
    <row r="43" spans="1:29" x14ac:dyDescent="0.25">
      <c r="B43" s="2" t="s">
        <v>638</v>
      </c>
      <c r="C43" t="s">
        <v>45</v>
      </c>
      <c r="D43">
        <v>202</v>
      </c>
      <c r="E43" t="s">
        <v>94</v>
      </c>
      <c r="F43">
        <v>10</v>
      </c>
      <c r="G43" t="s">
        <v>51</v>
      </c>
      <c r="H43" s="1">
        <f t="shared" si="5"/>
        <v>56.111111111111107</v>
      </c>
      <c r="I43" t="s">
        <v>108</v>
      </c>
      <c r="J43">
        <v>136</v>
      </c>
      <c r="K43">
        <v>3.6</v>
      </c>
      <c r="L43" t="s">
        <v>566</v>
      </c>
      <c r="Z43" t="s">
        <v>639</v>
      </c>
      <c r="AB43">
        <f t="shared" si="3"/>
        <v>1</v>
      </c>
      <c r="AC43">
        <f t="shared" si="4"/>
        <v>1</v>
      </c>
    </row>
    <row r="44" spans="1:29" x14ac:dyDescent="0.25">
      <c r="B44" s="2" t="s">
        <v>640</v>
      </c>
      <c r="C44" t="s">
        <v>1247</v>
      </c>
      <c r="D44">
        <v>144</v>
      </c>
      <c r="E44" t="s">
        <v>94</v>
      </c>
      <c r="G44" t="s">
        <v>47</v>
      </c>
      <c r="H44" s="1">
        <f t="shared" si="5"/>
        <v>40</v>
      </c>
      <c r="I44" t="s">
        <v>108</v>
      </c>
      <c r="J44">
        <v>136</v>
      </c>
      <c r="K44">
        <v>3.6</v>
      </c>
      <c r="L44" t="s">
        <v>566</v>
      </c>
      <c r="Z44" t="s">
        <v>641</v>
      </c>
      <c r="AB44">
        <f t="shared" si="3"/>
        <v>1</v>
      </c>
      <c r="AC44">
        <f t="shared" si="4"/>
        <v>1</v>
      </c>
    </row>
    <row r="45" spans="1:29" x14ac:dyDescent="0.25">
      <c r="B45" s="2" t="s">
        <v>642</v>
      </c>
      <c r="C45" t="s">
        <v>141</v>
      </c>
      <c r="D45">
        <v>101</v>
      </c>
      <c r="G45" t="s">
        <v>65</v>
      </c>
      <c r="H45" s="1">
        <v>24</v>
      </c>
      <c r="I45" t="s">
        <v>619</v>
      </c>
      <c r="J45">
        <v>150</v>
      </c>
      <c r="K45">
        <v>4.2</v>
      </c>
      <c r="AB45">
        <f t="shared" si="3"/>
        <v>1</v>
      </c>
      <c r="AC45">
        <f t="shared" si="4"/>
        <v>1</v>
      </c>
    </row>
    <row r="46" spans="1:29" x14ac:dyDescent="0.25">
      <c r="B46" s="2" t="s">
        <v>642</v>
      </c>
      <c r="C46" t="s">
        <v>27</v>
      </c>
      <c r="D46">
        <f>H46*K46</f>
        <v>88.2</v>
      </c>
      <c r="E46" t="s">
        <v>94</v>
      </c>
      <c r="F46">
        <v>5</v>
      </c>
      <c r="G46" t="s">
        <v>643</v>
      </c>
      <c r="H46" s="1">
        <v>21</v>
      </c>
      <c r="I46" t="s">
        <v>121</v>
      </c>
      <c r="J46">
        <v>136</v>
      </c>
      <c r="K46">
        <v>4.2</v>
      </c>
      <c r="AB46">
        <f t="shared" si="3"/>
        <v>1</v>
      </c>
      <c r="AC46">
        <f t="shared" si="4"/>
        <v>1</v>
      </c>
    </row>
    <row r="47" spans="1:29" x14ac:dyDescent="0.25">
      <c r="B47" s="2" t="s">
        <v>642</v>
      </c>
      <c r="C47" t="s">
        <v>27</v>
      </c>
      <c r="D47">
        <f>H47*K47</f>
        <v>57</v>
      </c>
      <c r="E47" t="s">
        <v>94</v>
      </c>
      <c r="F47">
        <v>5</v>
      </c>
      <c r="G47" t="s">
        <v>643</v>
      </c>
      <c r="H47" s="1">
        <v>15</v>
      </c>
      <c r="I47" t="s">
        <v>109</v>
      </c>
      <c r="J47">
        <v>126</v>
      </c>
      <c r="K47">
        <v>3.8</v>
      </c>
      <c r="L47" t="s">
        <v>587</v>
      </c>
      <c r="AB47">
        <f t="shared" si="3"/>
        <v>1</v>
      </c>
      <c r="AC47">
        <f t="shared" si="4"/>
        <v>1</v>
      </c>
    </row>
    <row r="48" spans="1:29" x14ac:dyDescent="0.25">
      <c r="B48" s="2" t="s">
        <v>642</v>
      </c>
      <c r="C48" t="s">
        <v>27</v>
      </c>
      <c r="D48">
        <f>H48*K48</f>
        <v>79.8</v>
      </c>
      <c r="E48" t="s">
        <v>94</v>
      </c>
      <c r="F48">
        <v>5</v>
      </c>
      <c r="G48" t="s">
        <v>643</v>
      </c>
      <c r="H48" s="1">
        <v>21</v>
      </c>
      <c r="I48" t="s">
        <v>108</v>
      </c>
      <c r="J48">
        <v>136</v>
      </c>
      <c r="K48">
        <v>3.8</v>
      </c>
      <c r="L48" t="s">
        <v>587</v>
      </c>
      <c r="AB48">
        <f t="shared" si="3"/>
        <v>1</v>
      </c>
      <c r="AC48">
        <f t="shared" si="4"/>
        <v>1</v>
      </c>
    </row>
    <row r="49" spans="1:30" x14ac:dyDescent="0.25">
      <c r="B49" s="2" t="s">
        <v>642</v>
      </c>
      <c r="C49" t="s">
        <v>1247</v>
      </c>
      <c r="D49">
        <v>356</v>
      </c>
      <c r="E49" t="s">
        <v>94</v>
      </c>
      <c r="F49">
        <v>5</v>
      </c>
      <c r="G49" t="s">
        <v>576</v>
      </c>
      <c r="H49" s="1">
        <f>D49/K49</f>
        <v>178</v>
      </c>
      <c r="I49" t="s">
        <v>110</v>
      </c>
      <c r="J49">
        <v>110</v>
      </c>
      <c r="K49">
        <v>2</v>
      </c>
      <c r="AB49">
        <f t="shared" si="3"/>
        <v>1</v>
      </c>
      <c r="AC49">
        <f t="shared" si="4"/>
        <v>1</v>
      </c>
    </row>
    <row r="50" spans="1:30" x14ac:dyDescent="0.25">
      <c r="B50" s="2" t="s">
        <v>642</v>
      </c>
      <c r="C50" t="s">
        <v>45</v>
      </c>
      <c r="D50">
        <v>146</v>
      </c>
      <c r="E50" t="s">
        <v>94</v>
      </c>
      <c r="F50">
        <v>5</v>
      </c>
      <c r="H50" s="1">
        <f>D50/K50</f>
        <v>34.761904761904759</v>
      </c>
      <c r="I50" t="s">
        <v>121</v>
      </c>
      <c r="J50">
        <v>136</v>
      </c>
      <c r="K50">
        <v>4.2</v>
      </c>
      <c r="AB50">
        <f t="shared" si="3"/>
        <v>1</v>
      </c>
      <c r="AC50">
        <f t="shared" si="4"/>
        <v>1</v>
      </c>
    </row>
    <row r="51" spans="1:30" x14ac:dyDescent="0.25">
      <c r="B51" s="2" t="s">
        <v>644</v>
      </c>
      <c r="C51" t="s">
        <v>144</v>
      </c>
      <c r="D51">
        <v>181</v>
      </c>
      <c r="E51" t="s">
        <v>93</v>
      </c>
      <c r="G51" t="s">
        <v>645</v>
      </c>
      <c r="H51" s="1">
        <v>43</v>
      </c>
      <c r="I51" t="s">
        <v>121</v>
      </c>
      <c r="J51">
        <v>136</v>
      </c>
      <c r="K51">
        <v>4.2</v>
      </c>
      <c r="Z51" t="s">
        <v>646</v>
      </c>
      <c r="AB51">
        <f t="shared" si="3"/>
        <v>1</v>
      </c>
      <c r="AC51">
        <f t="shared" si="4"/>
        <v>1</v>
      </c>
    </row>
    <row r="52" spans="1:30" x14ac:dyDescent="0.25">
      <c r="B52" s="2" t="s">
        <v>644</v>
      </c>
      <c r="C52" t="s">
        <v>140</v>
      </c>
      <c r="D52">
        <v>42</v>
      </c>
      <c r="E52" t="s">
        <v>94</v>
      </c>
      <c r="F52">
        <v>25</v>
      </c>
      <c r="G52" t="s">
        <v>68</v>
      </c>
      <c r="H52" s="1">
        <v>10</v>
      </c>
      <c r="I52" t="s">
        <v>121</v>
      </c>
      <c r="J52">
        <v>136</v>
      </c>
      <c r="K52">
        <v>4.2</v>
      </c>
      <c r="AB52">
        <f t="shared" si="3"/>
        <v>1</v>
      </c>
      <c r="AC52">
        <f t="shared" si="4"/>
        <v>1</v>
      </c>
    </row>
    <row r="53" spans="1:30" x14ac:dyDescent="0.25">
      <c r="B53" s="2" t="s">
        <v>644</v>
      </c>
      <c r="C53" t="s">
        <v>27</v>
      </c>
      <c r="D53">
        <v>53</v>
      </c>
      <c r="E53" t="s">
        <v>94</v>
      </c>
      <c r="F53">
        <v>20</v>
      </c>
      <c r="G53" t="s">
        <v>48</v>
      </c>
      <c r="H53" s="1">
        <v>14</v>
      </c>
      <c r="I53" t="s">
        <v>108</v>
      </c>
      <c r="J53">
        <v>136</v>
      </c>
      <c r="K53">
        <v>3.8</v>
      </c>
      <c r="L53" t="s">
        <v>587</v>
      </c>
      <c r="AB53">
        <f t="shared" si="3"/>
        <v>1</v>
      </c>
      <c r="AC53">
        <f t="shared" si="4"/>
        <v>1</v>
      </c>
    </row>
    <row r="54" spans="1:30" x14ac:dyDescent="0.25">
      <c r="B54" s="2" t="s">
        <v>644</v>
      </c>
      <c r="C54" t="s">
        <v>137</v>
      </c>
      <c r="D54">
        <v>100</v>
      </c>
      <c r="G54" t="s">
        <v>647</v>
      </c>
      <c r="H54" s="1">
        <v>50</v>
      </c>
      <c r="I54" t="s">
        <v>574</v>
      </c>
      <c r="J54">
        <v>120</v>
      </c>
      <c r="K54">
        <v>2</v>
      </c>
      <c r="L54" t="s">
        <v>626</v>
      </c>
      <c r="AB54">
        <f t="shared" si="3"/>
        <v>1</v>
      </c>
      <c r="AC54">
        <f t="shared" si="4"/>
        <v>1</v>
      </c>
    </row>
    <row r="55" spans="1:30" x14ac:dyDescent="0.25">
      <c r="B55" s="2" t="s">
        <v>644</v>
      </c>
      <c r="C55" t="s">
        <v>318</v>
      </c>
      <c r="D55">
        <v>59</v>
      </c>
      <c r="E55" t="s">
        <v>94</v>
      </c>
      <c r="F55">
        <v>20</v>
      </c>
      <c r="G55" t="s">
        <v>359</v>
      </c>
      <c r="H55" s="1">
        <v>14</v>
      </c>
      <c r="I55" t="s">
        <v>619</v>
      </c>
      <c r="J55">
        <v>150</v>
      </c>
      <c r="K55">
        <v>4.2</v>
      </c>
      <c r="AB55">
        <f t="shared" si="3"/>
        <v>1</v>
      </c>
      <c r="AC55">
        <f t="shared" si="4"/>
        <v>1</v>
      </c>
    </row>
    <row r="56" spans="1:30" x14ac:dyDescent="0.25">
      <c r="B56" s="2" t="s">
        <v>648</v>
      </c>
      <c r="C56" t="s">
        <v>1247</v>
      </c>
      <c r="D56">
        <v>252</v>
      </c>
      <c r="E56" t="s">
        <v>94</v>
      </c>
      <c r="H56" s="1">
        <f>D56/K56</f>
        <v>60</v>
      </c>
      <c r="I56" t="s">
        <v>619</v>
      </c>
      <c r="J56">
        <v>150</v>
      </c>
      <c r="K56">
        <v>4.2</v>
      </c>
      <c r="AB56">
        <f t="shared" si="3"/>
        <v>1</v>
      </c>
      <c r="AC56">
        <f t="shared" si="4"/>
        <v>1</v>
      </c>
    </row>
    <row r="57" spans="1:30" x14ac:dyDescent="0.25">
      <c r="B57" s="2" t="s">
        <v>648</v>
      </c>
      <c r="C57" t="s">
        <v>1247</v>
      </c>
      <c r="D57">
        <v>72</v>
      </c>
      <c r="E57" t="s">
        <v>94</v>
      </c>
      <c r="H57" s="1">
        <f>D57/K57</f>
        <v>20</v>
      </c>
      <c r="I57" t="s">
        <v>108</v>
      </c>
      <c r="K57">
        <v>3.6</v>
      </c>
      <c r="L57" t="s">
        <v>566</v>
      </c>
      <c r="AB57">
        <f t="shared" si="3"/>
        <v>1</v>
      </c>
      <c r="AC57">
        <f t="shared" si="4"/>
        <v>1</v>
      </c>
    </row>
    <row r="58" spans="1:30" x14ac:dyDescent="0.25">
      <c r="B58" s="2" t="s">
        <v>648</v>
      </c>
      <c r="C58" t="s">
        <v>138</v>
      </c>
      <c r="D58">
        <f>H58*K58</f>
        <v>8.4</v>
      </c>
      <c r="E58" t="s">
        <v>93</v>
      </c>
      <c r="F58">
        <v>20</v>
      </c>
      <c r="G58" t="s">
        <v>649</v>
      </c>
      <c r="H58" s="1">
        <v>2</v>
      </c>
      <c r="I58" t="s">
        <v>619</v>
      </c>
      <c r="J58">
        <v>150</v>
      </c>
      <c r="K58">
        <v>4.2</v>
      </c>
      <c r="AB58">
        <f t="shared" si="3"/>
        <v>1</v>
      </c>
      <c r="AC58">
        <f t="shared" si="4"/>
        <v>1</v>
      </c>
    </row>
    <row r="59" spans="1:30" x14ac:dyDescent="0.25">
      <c r="B59" s="2" t="s">
        <v>648</v>
      </c>
      <c r="C59" t="s">
        <v>138</v>
      </c>
      <c r="D59">
        <f>H59*K59</f>
        <v>3.6</v>
      </c>
      <c r="E59" t="s">
        <v>93</v>
      </c>
      <c r="F59">
        <v>20</v>
      </c>
      <c r="G59" t="s">
        <v>649</v>
      </c>
      <c r="H59" s="1">
        <v>1</v>
      </c>
      <c r="I59" t="s">
        <v>118</v>
      </c>
      <c r="J59">
        <v>136</v>
      </c>
      <c r="K59">
        <v>3.6</v>
      </c>
      <c r="AB59">
        <f t="shared" si="3"/>
        <v>1</v>
      </c>
      <c r="AC59">
        <f t="shared" si="4"/>
        <v>1</v>
      </c>
    </row>
    <row r="60" spans="1:30" x14ac:dyDescent="0.25">
      <c r="A60" s="11">
        <f>SUM(D35:D60)</f>
        <v>2672</v>
      </c>
      <c r="B60" s="30" t="s">
        <v>648</v>
      </c>
      <c r="C60" s="11" t="s">
        <v>45</v>
      </c>
      <c r="D60" s="11">
        <v>60</v>
      </c>
      <c r="E60" s="11" t="s">
        <v>94</v>
      </c>
      <c r="F60" s="11">
        <v>5</v>
      </c>
      <c r="G60" s="11"/>
      <c r="H60" s="28">
        <f>D60/K60</f>
        <v>16.666666666666668</v>
      </c>
      <c r="I60" s="11" t="s">
        <v>108</v>
      </c>
      <c r="J60" s="11">
        <v>136</v>
      </c>
      <c r="K60" s="11">
        <v>3.6</v>
      </c>
      <c r="L60" s="11" t="s">
        <v>566</v>
      </c>
      <c r="M60" s="11"/>
      <c r="N60" s="11"/>
      <c r="O60" s="11"/>
      <c r="P60" s="11"/>
      <c r="Q60" s="11"/>
      <c r="R60" s="11"/>
      <c r="S60" s="11"/>
      <c r="T60" s="11"/>
      <c r="U60" s="11"/>
      <c r="V60" s="11"/>
      <c r="W60" s="11"/>
      <c r="X60" s="11"/>
      <c r="Y60" s="11"/>
      <c r="Z60" s="11" t="s">
        <v>650</v>
      </c>
      <c r="AA60" s="11"/>
      <c r="AB60">
        <f t="shared" si="3"/>
        <v>1</v>
      </c>
      <c r="AC60">
        <f t="shared" si="4"/>
        <v>1</v>
      </c>
      <c r="AD60" s="11"/>
    </row>
    <row r="61" spans="1:30" x14ac:dyDescent="0.25">
      <c r="B61" s="2" t="s">
        <v>680</v>
      </c>
      <c r="C61" t="s">
        <v>528</v>
      </c>
      <c r="D61">
        <v>294</v>
      </c>
      <c r="E61" t="s">
        <v>94</v>
      </c>
      <c r="F61">
        <v>5</v>
      </c>
      <c r="G61" t="s">
        <v>530</v>
      </c>
      <c r="H61" s="1">
        <f>D61/K61</f>
        <v>70</v>
      </c>
      <c r="I61" t="s">
        <v>121</v>
      </c>
      <c r="J61">
        <v>136</v>
      </c>
      <c r="K61">
        <v>4.2</v>
      </c>
      <c r="L61" t="s">
        <v>651</v>
      </c>
      <c r="AB61">
        <f t="shared" si="3"/>
        <v>1</v>
      </c>
      <c r="AC61">
        <f t="shared" si="4"/>
        <v>1</v>
      </c>
    </row>
    <row r="62" spans="1:30" x14ac:dyDescent="0.25">
      <c r="B62" s="2" t="s">
        <v>679</v>
      </c>
      <c r="C62" t="s">
        <v>140</v>
      </c>
      <c r="D62">
        <v>130</v>
      </c>
      <c r="E62" t="s">
        <v>94</v>
      </c>
      <c r="F62">
        <v>15</v>
      </c>
      <c r="G62" t="s">
        <v>50</v>
      </c>
      <c r="H62" s="1"/>
      <c r="I62" t="s">
        <v>121</v>
      </c>
      <c r="J62">
        <v>136</v>
      </c>
      <c r="K62">
        <v>4.2</v>
      </c>
      <c r="O62">
        <v>22</v>
      </c>
      <c r="P62" t="s">
        <v>121</v>
      </c>
      <c r="Q62">
        <v>136</v>
      </c>
      <c r="R62">
        <v>4.2</v>
      </c>
      <c r="U62">
        <v>9</v>
      </c>
      <c r="V62" t="s">
        <v>619</v>
      </c>
      <c r="W62">
        <v>150</v>
      </c>
      <c r="X62">
        <v>4.2</v>
      </c>
      <c r="AB62">
        <f t="shared" si="3"/>
        <v>1</v>
      </c>
      <c r="AC62">
        <f t="shared" si="4"/>
        <v>1</v>
      </c>
    </row>
    <row r="63" spans="1:30" x14ac:dyDescent="0.25">
      <c r="B63" s="2" t="s">
        <v>681</v>
      </c>
      <c r="C63" t="s">
        <v>528</v>
      </c>
      <c r="D63">
        <v>148</v>
      </c>
      <c r="E63" t="s">
        <v>94</v>
      </c>
      <c r="F63">
        <v>5</v>
      </c>
      <c r="G63" t="s">
        <v>530</v>
      </c>
      <c r="H63" s="1">
        <v>41</v>
      </c>
      <c r="I63" t="s">
        <v>115</v>
      </c>
      <c r="J63">
        <v>117</v>
      </c>
      <c r="K63">
        <v>3.6</v>
      </c>
      <c r="L63" t="s">
        <v>566</v>
      </c>
      <c r="AB63">
        <f t="shared" si="3"/>
        <v>1</v>
      </c>
      <c r="AC63">
        <f t="shared" si="4"/>
        <v>1</v>
      </c>
    </row>
    <row r="64" spans="1:30" x14ac:dyDescent="0.25">
      <c r="B64" s="2" t="s">
        <v>771</v>
      </c>
      <c r="C64" t="s">
        <v>144</v>
      </c>
      <c r="D64">
        <v>336</v>
      </c>
      <c r="E64" t="s">
        <v>94</v>
      </c>
      <c r="F64">
        <v>15</v>
      </c>
      <c r="G64" t="s">
        <v>772</v>
      </c>
      <c r="H64" s="1">
        <v>80</v>
      </c>
      <c r="I64" t="s">
        <v>619</v>
      </c>
      <c r="J64">
        <v>150</v>
      </c>
      <c r="K64">
        <v>4.2</v>
      </c>
      <c r="Z64" t="s">
        <v>773</v>
      </c>
      <c r="AB64">
        <f t="shared" si="3"/>
        <v>1</v>
      </c>
      <c r="AC64">
        <f t="shared" si="4"/>
        <v>1</v>
      </c>
    </row>
    <row r="65" spans="2:29" x14ac:dyDescent="0.25">
      <c r="B65" s="2" t="s">
        <v>774</v>
      </c>
      <c r="C65" t="s">
        <v>318</v>
      </c>
      <c r="D65">
        <v>50</v>
      </c>
      <c r="E65" t="s">
        <v>94</v>
      </c>
      <c r="F65">
        <v>20</v>
      </c>
      <c r="G65" t="s">
        <v>329</v>
      </c>
      <c r="H65" s="1">
        <v>12</v>
      </c>
      <c r="I65" t="s">
        <v>619</v>
      </c>
      <c r="J65">
        <v>150</v>
      </c>
      <c r="K65">
        <v>4.2</v>
      </c>
      <c r="Z65" t="s">
        <v>775</v>
      </c>
      <c r="AB65">
        <f t="shared" si="3"/>
        <v>1</v>
      </c>
      <c r="AC65">
        <f t="shared" si="4"/>
        <v>1</v>
      </c>
    </row>
    <row r="66" spans="2:29" x14ac:dyDescent="0.25">
      <c r="B66" s="2" t="s">
        <v>859</v>
      </c>
      <c r="C66" t="s">
        <v>207</v>
      </c>
      <c r="D66">
        <v>52</v>
      </c>
      <c r="E66" t="s">
        <v>94</v>
      </c>
      <c r="F66">
        <v>20</v>
      </c>
      <c r="G66" t="s">
        <v>860</v>
      </c>
      <c r="H66" s="1">
        <v>15</v>
      </c>
      <c r="I66" t="s">
        <v>108</v>
      </c>
      <c r="J66">
        <v>136</v>
      </c>
      <c r="K66">
        <v>3.45</v>
      </c>
      <c r="AB66">
        <f t="shared" ref="AB66:AB93" si="6">COUNTIF($I$112:$I$142,I66)</f>
        <v>1</v>
      </c>
      <c r="AC66">
        <f t="shared" ref="AC66:AC93" si="7">COUNTIF($C$111:$C$142,C66)</f>
        <v>1</v>
      </c>
    </row>
    <row r="67" spans="2:29" x14ac:dyDescent="0.25">
      <c r="B67" s="2" t="s">
        <v>940</v>
      </c>
      <c r="C67" t="s">
        <v>1247</v>
      </c>
      <c r="D67">
        <v>103</v>
      </c>
      <c r="G67" t="s">
        <v>941</v>
      </c>
      <c r="H67" s="1">
        <v>47</v>
      </c>
      <c r="I67" t="s">
        <v>110</v>
      </c>
      <c r="J67">
        <v>110</v>
      </c>
      <c r="K67">
        <v>2.2000000000000002</v>
      </c>
      <c r="L67" t="s">
        <v>637</v>
      </c>
      <c r="AB67">
        <f t="shared" si="6"/>
        <v>1</v>
      </c>
      <c r="AC67">
        <f t="shared" si="7"/>
        <v>1</v>
      </c>
    </row>
    <row r="68" spans="2:29" x14ac:dyDescent="0.25">
      <c r="B68" s="2" t="s">
        <v>942</v>
      </c>
      <c r="C68" t="s">
        <v>1247</v>
      </c>
      <c r="D68">
        <v>220</v>
      </c>
      <c r="H68" s="1">
        <v>100</v>
      </c>
      <c r="I68" t="s">
        <v>574</v>
      </c>
      <c r="J68">
        <v>120</v>
      </c>
      <c r="K68">
        <v>2.2000000000000002</v>
      </c>
      <c r="AB68">
        <f t="shared" si="6"/>
        <v>1</v>
      </c>
      <c r="AC68">
        <f t="shared" si="7"/>
        <v>1</v>
      </c>
    </row>
    <row r="69" spans="2:29" x14ac:dyDescent="0.25">
      <c r="B69" s="2" t="s">
        <v>944</v>
      </c>
      <c r="C69" t="s">
        <v>148</v>
      </c>
      <c r="D69">
        <v>106</v>
      </c>
      <c r="E69" t="s">
        <v>93</v>
      </c>
      <c r="F69">
        <v>20</v>
      </c>
      <c r="H69" s="1">
        <v>14</v>
      </c>
      <c r="I69" t="s">
        <v>121</v>
      </c>
      <c r="J69">
        <v>136</v>
      </c>
      <c r="K69">
        <v>4.2</v>
      </c>
      <c r="O69">
        <v>5</v>
      </c>
      <c r="P69" t="s">
        <v>118</v>
      </c>
      <c r="Q69">
        <v>136</v>
      </c>
      <c r="R69">
        <v>3.6</v>
      </c>
      <c r="U69">
        <v>8</v>
      </c>
      <c r="V69" t="s">
        <v>115</v>
      </c>
      <c r="W69">
        <v>117</v>
      </c>
      <c r="X69">
        <v>3.6</v>
      </c>
      <c r="Y69" t="s">
        <v>1155</v>
      </c>
      <c r="AB69">
        <f t="shared" si="6"/>
        <v>1</v>
      </c>
      <c r="AC69">
        <f t="shared" si="7"/>
        <v>1</v>
      </c>
    </row>
    <row r="70" spans="2:29" x14ac:dyDescent="0.25">
      <c r="B70" s="2" t="s">
        <v>943</v>
      </c>
      <c r="C70" t="s">
        <v>146</v>
      </c>
      <c r="D70">
        <v>36</v>
      </c>
      <c r="G70" t="s">
        <v>945</v>
      </c>
      <c r="H70" s="1">
        <v>10</v>
      </c>
      <c r="I70" t="s">
        <v>118</v>
      </c>
      <c r="J70">
        <v>136</v>
      </c>
      <c r="K70">
        <v>3.6</v>
      </c>
      <c r="AB70">
        <f t="shared" si="6"/>
        <v>1</v>
      </c>
      <c r="AC70">
        <f t="shared" si="7"/>
        <v>1</v>
      </c>
    </row>
    <row r="71" spans="2:29" x14ac:dyDescent="0.25">
      <c r="B71" s="2" t="s">
        <v>1068</v>
      </c>
      <c r="C71" t="s">
        <v>207</v>
      </c>
      <c r="D71">
        <v>52</v>
      </c>
      <c r="E71" t="s">
        <v>93</v>
      </c>
      <c r="F71">
        <v>15</v>
      </c>
      <c r="G71" t="s">
        <v>1069</v>
      </c>
      <c r="H71" s="1">
        <v>15</v>
      </c>
      <c r="I71" t="s">
        <v>108</v>
      </c>
      <c r="J71">
        <v>136</v>
      </c>
      <c r="K71">
        <v>3.45</v>
      </c>
      <c r="AB71">
        <f t="shared" si="6"/>
        <v>1</v>
      </c>
      <c r="AC71">
        <f t="shared" si="7"/>
        <v>1</v>
      </c>
    </row>
    <row r="72" spans="2:29" x14ac:dyDescent="0.25">
      <c r="B72" s="2" t="s">
        <v>1067</v>
      </c>
      <c r="C72" t="s">
        <v>137</v>
      </c>
      <c r="D72">
        <v>252</v>
      </c>
      <c r="E72" t="s">
        <v>94</v>
      </c>
      <c r="F72">
        <v>10</v>
      </c>
      <c r="G72" t="s">
        <v>1066</v>
      </c>
      <c r="H72" s="1">
        <v>126</v>
      </c>
      <c r="I72" t="s">
        <v>578</v>
      </c>
      <c r="J72">
        <v>120</v>
      </c>
      <c r="K72">
        <v>2</v>
      </c>
      <c r="AB72">
        <f t="shared" si="6"/>
        <v>1</v>
      </c>
      <c r="AC72">
        <f t="shared" si="7"/>
        <v>1</v>
      </c>
    </row>
    <row r="73" spans="2:29" x14ac:dyDescent="0.25">
      <c r="B73" s="2" t="s">
        <v>1099</v>
      </c>
      <c r="C73" t="s">
        <v>138</v>
      </c>
      <c r="D73">
        <v>33</v>
      </c>
      <c r="E73" t="s">
        <v>93</v>
      </c>
      <c r="F73">
        <v>15</v>
      </c>
      <c r="G73" t="s">
        <v>1100</v>
      </c>
      <c r="H73" s="1">
        <v>10</v>
      </c>
      <c r="I73" t="s">
        <v>224</v>
      </c>
      <c r="J73">
        <v>117</v>
      </c>
      <c r="K73">
        <v>3.3</v>
      </c>
      <c r="AB73">
        <f t="shared" si="6"/>
        <v>1</v>
      </c>
      <c r="AC73">
        <f t="shared" si="7"/>
        <v>1</v>
      </c>
    </row>
    <row r="74" spans="2:29" x14ac:dyDescent="0.25">
      <c r="B74" s="2" t="s">
        <v>1101</v>
      </c>
      <c r="C74" t="s">
        <v>141</v>
      </c>
      <c r="D74">
        <v>151</v>
      </c>
      <c r="E74" t="s">
        <v>94</v>
      </c>
      <c r="F74">
        <v>20</v>
      </c>
      <c r="G74" t="s">
        <v>1102</v>
      </c>
      <c r="H74" s="1">
        <v>36</v>
      </c>
      <c r="I74" t="s">
        <v>619</v>
      </c>
      <c r="J74">
        <v>150</v>
      </c>
      <c r="K74">
        <v>4.2</v>
      </c>
      <c r="AB74">
        <f t="shared" si="6"/>
        <v>1</v>
      </c>
      <c r="AC74">
        <f t="shared" si="7"/>
        <v>1</v>
      </c>
    </row>
    <row r="75" spans="2:29" x14ac:dyDescent="0.25">
      <c r="B75" s="2" t="s">
        <v>1133</v>
      </c>
      <c r="C75" t="s">
        <v>144</v>
      </c>
      <c r="D75">
        <v>58</v>
      </c>
      <c r="E75" t="s">
        <v>94</v>
      </c>
      <c r="F75">
        <v>30</v>
      </c>
      <c r="G75" t="s">
        <v>1134</v>
      </c>
      <c r="H75" s="1">
        <v>16</v>
      </c>
      <c r="I75" t="s">
        <v>108</v>
      </c>
      <c r="J75">
        <v>136</v>
      </c>
      <c r="K75">
        <v>3.6</v>
      </c>
      <c r="L75" t="s">
        <v>566</v>
      </c>
      <c r="AB75">
        <f t="shared" si="6"/>
        <v>1</v>
      </c>
      <c r="AC75">
        <f t="shared" si="7"/>
        <v>1</v>
      </c>
    </row>
    <row r="76" spans="2:29" x14ac:dyDescent="0.25">
      <c r="B76" s="2" t="s">
        <v>1133</v>
      </c>
      <c r="C76" t="s">
        <v>1247</v>
      </c>
      <c r="D76">
        <v>202</v>
      </c>
      <c r="E76" t="s">
        <v>94</v>
      </c>
      <c r="F76">
        <v>10</v>
      </c>
      <c r="H76" s="1">
        <v>56</v>
      </c>
      <c r="I76" t="s">
        <v>108</v>
      </c>
      <c r="J76">
        <v>136</v>
      </c>
      <c r="K76">
        <v>3.6</v>
      </c>
      <c r="L76" t="s">
        <v>566</v>
      </c>
      <c r="Z76" t="s">
        <v>1135</v>
      </c>
      <c r="AB76">
        <f t="shared" si="6"/>
        <v>1</v>
      </c>
      <c r="AC76">
        <f t="shared" si="7"/>
        <v>1</v>
      </c>
    </row>
    <row r="77" spans="2:29" x14ac:dyDescent="0.25">
      <c r="B77" s="2" t="s">
        <v>1142</v>
      </c>
      <c r="C77" t="s">
        <v>143</v>
      </c>
      <c r="D77">
        <v>198</v>
      </c>
      <c r="G77" t="s">
        <v>1143</v>
      </c>
      <c r="H77" s="1">
        <v>52</v>
      </c>
      <c r="I77" t="s">
        <v>109</v>
      </c>
      <c r="J77">
        <v>126</v>
      </c>
      <c r="K77">
        <v>3.8</v>
      </c>
      <c r="L77" t="s">
        <v>587</v>
      </c>
      <c r="AB77">
        <f t="shared" si="6"/>
        <v>1</v>
      </c>
      <c r="AC77">
        <f t="shared" si="7"/>
        <v>1</v>
      </c>
    </row>
    <row r="78" spans="2:29" x14ac:dyDescent="0.25">
      <c r="B78" s="2" t="s">
        <v>1136</v>
      </c>
      <c r="C78" t="s">
        <v>1247</v>
      </c>
      <c r="D78">
        <v>359</v>
      </c>
      <c r="E78" t="s">
        <v>94</v>
      </c>
      <c r="F78">
        <v>10</v>
      </c>
      <c r="G78" t="s">
        <v>1144</v>
      </c>
      <c r="H78" s="1">
        <f>D78/K78</f>
        <v>163.18181818181816</v>
      </c>
      <c r="I78" t="s">
        <v>119</v>
      </c>
      <c r="J78">
        <v>110</v>
      </c>
      <c r="K78">
        <v>2.2000000000000002</v>
      </c>
      <c r="AB78">
        <f t="shared" si="6"/>
        <v>1</v>
      </c>
      <c r="AC78">
        <f t="shared" si="7"/>
        <v>1</v>
      </c>
    </row>
    <row r="79" spans="2:29" x14ac:dyDescent="0.25">
      <c r="B79" s="2" t="s">
        <v>1136</v>
      </c>
      <c r="C79" t="s">
        <v>1247</v>
      </c>
      <c r="D79">
        <v>22</v>
      </c>
      <c r="E79" t="s">
        <v>94</v>
      </c>
      <c r="F79">
        <v>10</v>
      </c>
      <c r="G79" t="s">
        <v>1144</v>
      </c>
      <c r="H79" s="1">
        <v>10</v>
      </c>
      <c r="I79" t="s">
        <v>119</v>
      </c>
      <c r="J79">
        <v>110</v>
      </c>
      <c r="K79">
        <v>2.2000000000000002</v>
      </c>
      <c r="AB79">
        <f t="shared" si="6"/>
        <v>1</v>
      </c>
      <c r="AC79">
        <f t="shared" si="7"/>
        <v>1</v>
      </c>
    </row>
    <row r="80" spans="2:29" x14ac:dyDescent="0.25">
      <c r="B80" s="2" t="s">
        <v>1137</v>
      </c>
      <c r="C80" t="s">
        <v>1247</v>
      </c>
      <c r="D80">
        <v>122</v>
      </c>
      <c r="E80" t="s">
        <v>94</v>
      </c>
      <c r="F80">
        <v>10</v>
      </c>
      <c r="G80" t="s">
        <v>576</v>
      </c>
      <c r="H80" s="1">
        <f>D80/K80</f>
        <v>61</v>
      </c>
      <c r="I80" t="s">
        <v>110</v>
      </c>
      <c r="J80">
        <v>110</v>
      </c>
      <c r="K80">
        <v>2</v>
      </c>
      <c r="AB80">
        <f t="shared" si="6"/>
        <v>1</v>
      </c>
      <c r="AC80">
        <f t="shared" si="7"/>
        <v>1</v>
      </c>
    </row>
    <row r="81" spans="1:29" x14ac:dyDescent="0.25">
      <c r="B81" s="2" t="s">
        <v>1137</v>
      </c>
      <c r="C81" t="s">
        <v>1247</v>
      </c>
      <c r="D81">
        <v>40</v>
      </c>
      <c r="H81" s="1">
        <f>D81/K81</f>
        <v>10</v>
      </c>
      <c r="I81" t="s">
        <v>379</v>
      </c>
      <c r="K81">
        <v>4</v>
      </c>
      <c r="AB81">
        <f t="shared" si="6"/>
        <v>1</v>
      </c>
      <c r="AC81">
        <f t="shared" si="7"/>
        <v>1</v>
      </c>
    </row>
    <row r="82" spans="1:29" x14ac:dyDescent="0.25">
      <c r="B82" s="2" t="s">
        <v>1137</v>
      </c>
      <c r="C82" t="s">
        <v>69</v>
      </c>
      <c r="D82">
        <v>99</v>
      </c>
      <c r="E82" t="s">
        <v>94</v>
      </c>
      <c r="F82">
        <v>20</v>
      </c>
      <c r="G82" t="s">
        <v>1145</v>
      </c>
      <c r="H82" s="1">
        <f>D82/K82</f>
        <v>26.05263157894737</v>
      </c>
      <c r="I82" t="s">
        <v>108</v>
      </c>
      <c r="K82">
        <v>3.8</v>
      </c>
      <c r="L82" t="s">
        <v>587</v>
      </c>
      <c r="AB82">
        <f t="shared" si="6"/>
        <v>1</v>
      </c>
      <c r="AC82">
        <f t="shared" si="7"/>
        <v>1</v>
      </c>
    </row>
    <row r="83" spans="1:29" x14ac:dyDescent="0.25">
      <c r="B83" s="2" t="s">
        <v>1137</v>
      </c>
      <c r="C83" t="s">
        <v>161</v>
      </c>
      <c r="D83">
        <v>88</v>
      </c>
      <c r="E83" t="s">
        <v>93</v>
      </c>
      <c r="F83">
        <v>2</v>
      </c>
      <c r="G83" t="s">
        <v>472</v>
      </c>
      <c r="H83" s="1">
        <v>10</v>
      </c>
      <c r="I83" t="s">
        <v>119</v>
      </c>
      <c r="J83">
        <v>110</v>
      </c>
      <c r="K83">
        <v>2.2000000000000002</v>
      </c>
      <c r="O83">
        <v>33</v>
      </c>
      <c r="P83" t="s">
        <v>113</v>
      </c>
      <c r="Q83">
        <v>100</v>
      </c>
      <c r="R83">
        <v>2</v>
      </c>
      <c r="AB83">
        <f t="shared" si="6"/>
        <v>1</v>
      </c>
      <c r="AC83">
        <f t="shared" si="7"/>
        <v>1</v>
      </c>
    </row>
    <row r="84" spans="1:29" x14ac:dyDescent="0.25">
      <c r="B84" s="2" t="s">
        <v>1137</v>
      </c>
      <c r="C84" t="s">
        <v>140</v>
      </c>
      <c r="D84">
        <v>105</v>
      </c>
      <c r="E84" t="s">
        <v>93</v>
      </c>
      <c r="F84">
        <v>2</v>
      </c>
      <c r="G84" t="s">
        <v>1146</v>
      </c>
      <c r="H84" s="1">
        <v>25</v>
      </c>
      <c r="I84" t="s">
        <v>619</v>
      </c>
      <c r="J84">
        <v>150</v>
      </c>
      <c r="K84">
        <v>4.2</v>
      </c>
      <c r="AB84">
        <f t="shared" si="6"/>
        <v>1</v>
      </c>
      <c r="AC84">
        <f t="shared" si="7"/>
        <v>1</v>
      </c>
    </row>
    <row r="85" spans="1:29" x14ac:dyDescent="0.25">
      <c r="B85" s="2" t="s">
        <v>1137</v>
      </c>
      <c r="C85" t="s">
        <v>163</v>
      </c>
      <c r="D85">
        <v>29</v>
      </c>
      <c r="G85" t="s">
        <v>1147</v>
      </c>
      <c r="H85" s="1">
        <v>8</v>
      </c>
      <c r="I85" t="s">
        <v>115</v>
      </c>
      <c r="J85">
        <v>117</v>
      </c>
      <c r="K85">
        <v>3.45</v>
      </c>
      <c r="L85" t="s">
        <v>566</v>
      </c>
      <c r="AB85">
        <f t="shared" si="6"/>
        <v>1</v>
      </c>
      <c r="AC85">
        <f t="shared" si="7"/>
        <v>1</v>
      </c>
    </row>
    <row r="86" spans="1:29" x14ac:dyDescent="0.25">
      <c r="B86" s="2" t="s">
        <v>1137</v>
      </c>
      <c r="C86" t="s">
        <v>146</v>
      </c>
      <c r="D86">
        <v>32</v>
      </c>
      <c r="G86" t="s">
        <v>1148</v>
      </c>
      <c r="H86" s="1">
        <v>9</v>
      </c>
      <c r="I86" t="s">
        <v>115</v>
      </c>
      <c r="J86">
        <v>117</v>
      </c>
      <c r="K86">
        <v>3.45</v>
      </c>
      <c r="L86" t="s">
        <v>566</v>
      </c>
      <c r="Z86" t="s">
        <v>1149</v>
      </c>
      <c r="AB86">
        <f t="shared" si="6"/>
        <v>1</v>
      </c>
      <c r="AC86">
        <f t="shared" si="7"/>
        <v>1</v>
      </c>
    </row>
    <row r="87" spans="1:29" x14ac:dyDescent="0.25">
      <c r="B87" s="2" t="s">
        <v>1137</v>
      </c>
      <c r="C87" t="s">
        <v>144</v>
      </c>
      <c r="D87">
        <v>184</v>
      </c>
      <c r="E87" t="s">
        <v>94</v>
      </c>
      <c r="F87">
        <v>30</v>
      </c>
      <c r="G87" t="s">
        <v>1151</v>
      </c>
      <c r="H87" s="1">
        <v>51</v>
      </c>
      <c r="I87" t="s">
        <v>108</v>
      </c>
      <c r="J87">
        <v>136</v>
      </c>
      <c r="K87">
        <v>3.45</v>
      </c>
      <c r="L87" t="s">
        <v>566</v>
      </c>
      <c r="Z87" t="s">
        <v>1150</v>
      </c>
      <c r="AB87">
        <f t="shared" si="6"/>
        <v>1</v>
      </c>
      <c r="AC87">
        <f t="shared" si="7"/>
        <v>1</v>
      </c>
    </row>
    <row r="88" spans="1:29" x14ac:dyDescent="0.25">
      <c r="B88" s="2" t="s">
        <v>1138</v>
      </c>
      <c r="C88" t="s">
        <v>139</v>
      </c>
      <c r="D88">
        <v>328</v>
      </c>
      <c r="E88" t="s">
        <v>94</v>
      </c>
      <c r="F88">
        <v>5</v>
      </c>
      <c r="G88" t="s">
        <v>1157</v>
      </c>
      <c r="H88" s="1">
        <v>49</v>
      </c>
      <c r="I88" t="s">
        <v>121</v>
      </c>
      <c r="J88">
        <v>136</v>
      </c>
      <c r="K88">
        <v>4.2</v>
      </c>
      <c r="O88">
        <v>31</v>
      </c>
      <c r="P88" t="s">
        <v>1156</v>
      </c>
      <c r="Q88">
        <v>117</v>
      </c>
      <c r="R88">
        <v>4.2</v>
      </c>
      <c r="Z88" t="s">
        <v>1158</v>
      </c>
      <c r="AB88">
        <f t="shared" si="6"/>
        <v>1</v>
      </c>
      <c r="AC88">
        <f t="shared" si="7"/>
        <v>1</v>
      </c>
    </row>
    <row r="89" spans="1:29" x14ac:dyDescent="0.25">
      <c r="B89" s="2" t="s">
        <v>1138</v>
      </c>
      <c r="C89" t="s">
        <v>1139</v>
      </c>
      <c r="D89">
        <v>104</v>
      </c>
      <c r="E89" t="s">
        <v>93</v>
      </c>
      <c r="G89" t="s">
        <v>1152</v>
      </c>
      <c r="H89" s="1">
        <v>30</v>
      </c>
      <c r="I89" t="s">
        <v>109</v>
      </c>
      <c r="J89">
        <v>126</v>
      </c>
      <c r="K89">
        <v>3.45</v>
      </c>
      <c r="AB89">
        <f t="shared" si="6"/>
        <v>1</v>
      </c>
      <c r="AC89">
        <f t="shared" si="7"/>
        <v>1</v>
      </c>
    </row>
    <row r="90" spans="1:29" x14ac:dyDescent="0.25">
      <c r="B90" s="2" t="s">
        <v>1138</v>
      </c>
      <c r="C90" t="s">
        <v>1247</v>
      </c>
      <c r="D90">
        <v>22</v>
      </c>
      <c r="H90" s="1">
        <f>D90/K90</f>
        <v>5.5</v>
      </c>
      <c r="I90" t="s">
        <v>379</v>
      </c>
      <c r="K90">
        <v>4</v>
      </c>
      <c r="AB90">
        <f t="shared" si="6"/>
        <v>1</v>
      </c>
      <c r="AC90">
        <f t="shared" si="7"/>
        <v>1</v>
      </c>
    </row>
    <row r="91" spans="1:29" x14ac:dyDescent="0.25">
      <c r="B91" s="2" t="s">
        <v>1138</v>
      </c>
      <c r="C91" t="s">
        <v>142</v>
      </c>
      <c r="D91">
        <v>200</v>
      </c>
      <c r="E91" t="s">
        <v>93</v>
      </c>
      <c r="F91">
        <v>2</v>
      </c>
      <c r="G91" t="s">
        <v>470</v>
      </c>
      <c r="H91" s="1">
        <f>D91/K91</f>
        <v>100</v>
      </c>
      <c r="I91" t="s">
        <v>92</v>
      </c>
      <c r="K91">
        <v>2</v>
      </c>
      <c r="AB91">
        <f t="shared" si="6"/>
        <v>1</v>
      </c>
      <c r="AC91">
        <f t="shared" si="7"/>
        <v>1</v>
      </c>
    </row>
    <row r="92" spans="1:29" s="60" customFormat="1" ht="15.75" thickBot="1" x14ac:dyDescent="0.3">
      <c r="A92" s="60">
        <f>SUM(D61:D93)</f>
        <v>4174</v>
      </c>
      <c r="B92" s="61" t="s">
        <v>1138</v>
      </c>
      <c r="C92" s="60" t="s">
        <v>142</v>
      </c>
      <c r="D92" s="60">
        <v>19</v>
      </c>
      <c r="E92" s="60" t="s">
        <v>93</v>
      </c>
      <c r="F92" s="60">
        <v>5</v>
      </c>
      <c r="H92" s="62">
        <f>D92/K92</f>
        <v>4.75</v>
      </c>
      <c r="I92" s="60" t="s">
        <v>379</v>
      </c>
      <c r="K92" s="60">
        <v>4</v>
      </c>
      <c r="AB92" s="60">
        <f t="shared" si="6"/>
        <v>1</v>
      </c>
      <c r="AC92" s="60">
        <f t="shared" si="7"/>
        <v>1</v>
      </c>
    </row>
    <row r="93" spans="1:29" ht="15.75" thickBot="1" x14ac:dyDescent="0.3">
      <c r="B93" s="2"/>
      <c r="H93" s="1"/>
      <c r="AB93">
        <f t="shared" si="6"/>
        <v>0</v>
      </c>
      <c r="AC93">
        <f t="shared" si="7"/>
        <v>0</v>
      </c>
    </row>
    <row r="94" spans="1:29" x14ac:dyDescent="0.25">
      <c r="B94" s="72" t="s">
        <v>1573</v>
      </c>
      <c r="C94" s="73"/>
      <c r="D94" s="74"/>
      <c r="E94" s="74"/>
      <c r="H94" s="1"/>
    </row>
    <row r="95" spans="1:29" x14ac:dyDescent="0.25">
      <c r="B95" s="75" t="s">
        <v>1574</v>
      </c>
      <c r="D95" s="76">
        <v>1247</v>
      </c>
      <c r="E95" s="76"/>
      <c r="H95" s="1"/>
    </row>
    <row r="96" spans="1:29" x14ac:dyDescent="0.25">
      <c r="B96" s="77" t="s">
        <v>1575</v>
      </c>
      <c r="D96" s="76">
        <v>1072</v>
      </c>
      <c r="E96" s="76"/>
      <c r="H96" s="1"/>
    </row>
    <row r="97" spans="1:20" x14ac:dyDescent="0.25">
      <c r="B97" s="77" t="s">
        <v>1576</v>
      </c>
      <c r="D97" s="76">
        <v>697</v>
      </c>
      <c r="E97" s="76"/>
      <c r="H97" s="1"/>
    </row>
    <row r="98" spans="1:20" x14ac:dyDescent="0.25">
      <c r="B98" s="77" t="s">
        <v>1577</v>
      </c>
      <c r="D98" s="76">
        <v>1740</v>
      </c>
      <c r="E98" s="76"/>
      <c r="H98" s="1"/>
    </row>
    <row r="99" spans="1:20" ht="15.75" thickBot="1" x14ac:dyDescent="0.3">
      <c r="B99" s="82" t="s">
        <v>1163</v>
      </c>
      <c r="C99" s="60"/>
      <c r="D99" s="83">
        <f>SUM(D8:D98)</f>
        <v>15146.2</v>
      </c>
      <c r="E99" s="76"/>
      <c r="H99" s="1"/>
    </row>
    <row r="100" spans="1:20" ht="15.75" thickBot="1" x14ac:dyDescent="0.3">
      <c r="B100" s="88" t="s">
        <v>1625</v>
      </c>
      <c r="C100" s="60"/>
      <c r="D100" s="60">
        <f>SUM(D95:D98)</f>
        <v>4756</v>
      </c>
      <c r="E100" s="79">
        <f>D100/D99</f>
        <v>0.31400615335859816</v>
      </c>
      <c r="H100" s="1"/>
    </row>
    <row r="102" spans="1:20" x14ac:dyDescent="0.25">
      <c r="C102" s="5" t="s">
        <v>150</v>
      </c>
      <c r="D102" s="6" t="s">
        <v>91</v>
      </c>
      <c r="E102" s="6" t="s">
        <v>130</v>
      </c>
      <c r="F102" s="6"/>
      <c r="G102" s="7" t="s">
        <v>395</v>
      </c>
      <c r="I102" s="13" t="s">
        <v>124</v>
      </c>
      <c r="J102" s="14"/>
      <c r="K102" s="14"/>
      <c r="L102" s="14" t="s">
        <v>135</v>
      </c>
      <c r="M102" s="14" t="s">
        <v>378</v>
      </c>
      <c r="N102" s="15" t="s">
        <v>130</v>
      </c>
      <c r="P102" s="13"/>
      <c r="Q102" s="14"/>
      <c r="R102" s="14"/>
      <c r="S102" s="14"/>
      <c r="T102" s="15"/>
    </row>
    <row r="103" spans="1:20" x14ac:dyDescent="0.25">
      <c r="C103" s="8" t="s">
        <v>129</v>
      </c>
      <c r="D103" s="1">
        <f>SUM(M103:M105,T103:T105)</f>
        <v>3496.9929773379426</v>
      </c>
      <c r="E103">
        <f>SUM(D2:D98)</f>
        <v>15473.2</v>
      </c>
      <c r="G103" s="23">
        <f>E103/D103</f>
        <v>4.424715777318732</v>
      </c>
      <c r="I103" s="8" t="s">
        <v>133</v>
      </c>
      <c r="L103">
        <f>COUNTIF(K2:K100,"&lt;3")+COUNTIF(R2:R100,"&lt;3")</f>
        <v>19</v>
      </c>
      <c r="M103" s="1">
        <f>SUMIF(K2:K100,"&lt;3",H2:H100)+SUMIF(R2:R100,"&lt;3",O2:O100)+SUMIF(X2:X100,"&lt;3",U2:U100)</f>
        <v>1460</v>
      </c>
      <c r="N103" s="9">
        <f>SUMIF(K2:K100,"&lt;3",D2:D100)</f>
        <v>2522</v>
      </c>
      <c r="P103" s="8"/>
      <c r="T103" s="9"/>
    </row>
    <row r="104" spans="1:20" x14ac:dyDescent="0.25">
      <c r="C104" s="8" t="s">
        <v>125</v>
      </c>
      <c r="D104">
        <f>COUNT(D2:D100)</f>
        <v>97</v>
      </c>
      <c r="G104" s="9"/>
      <c r="I104" s="8" t="s">
        <v>132</v>
      </c>
      <c r="L104">
        <f>COUNTIF(K2:K100,"&lt;4")+COUNTIF(R2:R100,"&lt;4")-L103</f>
        <v>51</v>
      </c>
      <c r="M104" s="1">
        <f>SUMIF(K2:K100,"&lt;4",H2:H100)+SUMIF(R2:R100,"&lt;4",O2:O100)+SUMIF(X2:X100,"&lt;4",U2:U100)-M103</f>
        <v>1311.9334535284192</v>
      </c>
      <c r="N104" s="9">
        <f>SUMIF(K2:K100,"&lt;4",D2:D100)-N103</f>
        <v>4622.2000000000007</v>
      </c>
      <c r="P104" s="8"/>
      <c r="T104" s="9"/>
    </row>
    <row r="105" spans="1:20" x14ac:dyDescent="0.25">
      <c r="C105" s="8" t="s">
        <v>386</v>
      </c>
      <c r="D105">
        <f>COUNTIF(E2:E100,"AOM5000")</f>
        <v>55</v>
      </c>
      <c r="E105">
        <f>SUMIF(E2:E100,"AOM5000",D2:D100)</f>
        <v>7360.4</v>
      </c>
      <c r="F105" t="s">
        <v>396</v>
      </c>
      <c r="G105" s="21">
        <f>AVERAGEIF(E2:E100,"AOM5000",F2:F100)</f>
        <v>15.196078431372548</v>
      </c>
      <c r="I105" s="8" t="s">
        <v>134</v>
      </c>
      <c r="L105">
        <f>COUNTIF(K2:K100,"&lt;5")+COUNTIF(R2:R100,"&lt;5")-L104-L103</f>
        <v>25</v>
      </c>
      <c r="M105" s="1">
        <f>SUMIF(K2:K100,"&lt;5",H2:H100)+SUMIF(R2:R100,"&lt;5",O2:O100)+SUMIF(X2:X100,"&lt;5",U2:U100)-M104-M103</f>
        <v>725.0595238095234</v>
      </c>
      <c r="N105" s="9">
        <f>SUMIF(K2:K100,"&lt;5",D2:D100)-N104-N103</f>
        <v>3080</v>
      </c>
      <c r="P105" s="8"/>
      <c r="T105" s="9"/>
    </row>
    <row r="106" spans="1:20" x14ac:dyDescent="0.25">
      <c r="C106" s="8" t="s">
        <v>387</v>
      </c>
      <c r="D106">
        <f>COUNTIF(E2:E100,"AOM4000")</f>
        <v>17</v>
      </c>
      <c r="E106">
        <f>SUMIF(E2:E100,"AOM4000",D2:D100)</f>
        <v>1202.8</v>
      </c>
      <c r="F106" t="s">
        <v>397</v>
      </c>
      <c r="G106" s="21">
        <f>AVERAGEIF(E2:E100,"AOM4000",F2:F100)</f>
        <v>10.214285714285714</v>
      </c>
      <c r="I106" s="8"/>
      <c r="N106" s="9"/>
      <c r="P106" s="8"/>
      <c r="T106" s="9"/>
    </row>
    <row r="107" spans="1:20" x14ac:dyDescent="0.25">
      <c r="C107" s="8" t="s">
        <v>390</v>
      </c>
      <c r="D107" s="18">
        <f>D105/(D106+D105)*100</f>
        <v>76.388888888888886</v>
      </c>
      <c r="E107" s="18">
        <f>E105/(E106+E105)*100</f>
        <v>85.953849028400612</v>
      </c>
      <c r="G107" s="9"/>
      <c r="I107" s="8"/>
      <c r="N107" s="9"/>
      <c r="P107" s="8"/>
      <c r="T107" s="9"/>
    </row>
    <row r="108" spans="1:20" x14ac:dyDescent="0.25">
      <c r="C108" s="16" t="s">
        <v>128</v>
      </c>
      <c r="D108" s="22">
        <f>D105/D104*100</f>
        <v>56.701030927835049</v>
      </c>
      <c r="E108" s="22">
        <f>E105/E103*100</f>
        <v>47.568699428689598</v>
      </c>
      <c r="F108" s="11"/>
      <c r="G108" s="12"/>
      <c r="I108" s="8" t="s">
        <v>136</v>
      </c>
      <c r="L108">
        <f>COUNTA(L2:L100)</f>
        <v>35</v>
      </c>
      <c r="N108" s="9"/>
      <c r="P108" s="8"/>
      <c r="T108" s="9"/>
    </row>
    <row r="109" spans="1:20" x14ac:dyDescent="0.25">
      <c r="F109" t="s">
        <v>388</v>
      </c>
      <c r="I109" s="10"/>
      <c r="J109" s="11"/>
      <c r="K109" s="11"/>
      <c r="L109" s="11"/>
      <c r="M109" s="11"/>
      <c r="N109" s="12"/>
      <c r="P109" s="10"/>
      <c r="Q109" s="11"/>
      <c r="R109" s="11"/>
      <c r="S109" s="11"/>
      <c r="T109" s="12"/>
    </row>
    <row r="110" spans="1:20" x14ac:dyDescent="0.25">
      <c r="B110" t="s">
        <v>544</v>
      </c>
      <c r="C110" s="5" t="s">
        <v>149</v>
      </c>
      <c r="D110" s="6" t="s">
        <v>135</v>
      </c>
      <c r="E110" s="7" t="s">
        <v>130</v>
      </c>
      <c r="F110" s="5" t="s">
        <v>93</v>
      </c>
      <c r="G110" s="7" t="s">
        <v>94</v>
      </c>
    </row>
    <row r="111" spans="1:20" x14ac:dyDescent="0.25">
      <c r="A111">
        <f t="shared" ref="A111:A142" si="8">COUNTIF($C$111:$C$142,C111)</f>
        <v>1</v>
      </c>
      <c r="B111" s="18">
        <f>E111/$E$103*100</f>
        <v>24.88819378021353</v>
      </c>
      <c r="C111" s="8" t="s">
        <v>1247</v>
      </c>
      <c r="D111">
        <f t="shared" ref="D111:D142" si="9">COUNTIF(C$2:C$100,C111)</f>
        <v>23</v>
      </c>
      <c r="E111" s="9">
        <f t="shared" ref="E111:E142" si="10">SUMIF(C$2:C$100,C111,D$2:D$100)</f>
        <v>3851</v>
      </c>
      <c r="F111" s="8">
        <f t="shared" ref="F111:F142" si="11">SUMIFS($D$2:$D$100,$C$2:$C$100,C111,$E$2:$E$100,$F$110)</f>
        <v>0</v>
      </c>
      <c r="G111" s="9">
        <f t="shared" ref="G111:G142" si="12">SUMIFS($D$2:$D$100,$C$2:$C$100,C111,$E$2:$E$100,$G$110)</f>
        <v>2599</v>
      </c>
      <c r="H111">
        <f>E111-_xlnm.Extract-F111</f>
        <v>1252</v>
      </c>
      <c r="I111" s="5" t="s">
        <v>376</v>
      </c>
      <c r="J111" s="6"/>
      <c r="K111" s="6"/>
      <c r="L111" s="7" t="s">
        <v>377</v>
      </c>
      <c r="M111" s="3"/>
    </row>
    <row r="112" spans="1:20" x14ac:dyDescent="0.25">
      <c r="A112">
        <f t="shared" si="8"/>
        <v>1</v>
      </c>
      <c r="B112" s="18">
        <f t="shared" ref="B112:B129" si="13">E112/$E$103*100</f>
        <v>1.8806710958302095</v>
      </c>
      <c r="C112" s="8" t="s">
        <v>142</v>
      </c>
      <c r="D112">
        <f t="shared" si="9"/>
        <v>3</v>
      </c>
      <c r="E112" s="9">
        <f t="shared" si="10"/>
        <v>291</v>
      </c>
      <c r="F112" s="8">
        <f t="shared" si="11"/>
        <v>291</v>
      </c>
      <c r="G112" s="9">
        <f t="shared" si="12"/>
        <v>0</v>
      </c>
      <c r="H112">
        <f>E112-F112-G112</f>
        <v>0</v>
      </c>
      <c r="I112" s="13" t="s">
        <v>379</v>
      </c>
      <c r="J112" s="14"/>
      <c r="K112" s="14"/>
      <c r="L112" s="19">
        <f t="shared" ref="L112:L131" si="14">SUMIF(I$2:I$100,I112,H$2:H$100)+SUMIF(P$2:P$100,I112,O$2:O$100)+SUMIF(V$2:V$100,I112,U$2:U$100)</f>
        <v>20.25</v>
      </c>
    </row>
    <row r="113" spans="1:12" x14ac:dyDescent="0.25">
      <c r="A113">
        <f t="shared" si="8"/>
        <v>1</v>
      </c>
      <c r="B113" s="18">
        <f t="shared" si="13"/>
        <v>2.4817103120233694</v>
      </c>
      <c r="C113" s="8" t="s">
        <v>27</v>
      </c>
      <c r="D113">
        <f t="shared" si="9"/>
        <v>5</v>
      </c>
      <c r="E113" s="9">
        <f t="shared" si="10"/>
        <v>384</v>
      </c>
      <c r="F113" s="8">
        <f t="shared" si="11"/>
        <v>0</v>
      </c>
      <c r="G113" s="9">
        <f t="shared" si="12"/>
        <v>384</v>
      </c>
      <c r="I113" t="s">
        <v>92</v>
      </c>
      <c r="L113" s="19">
        <f t="shared" si="14"/>
        <v>100</v>
      </c>
    </row>
    <row r="114" spans="1:12" x14ac:dyDescent="0.25">
      <c r="A114">
        <f t="shared" si="8"/>
        <v>1</v>
      </c>
      <c r="B114" s="18">
        <f t="shared" si="13"/>
        <v>0.51573042421735638</v>
      </c>
      <c r="C114" s="8" t="s">
        <v>138</v>
      </c>
      <c r="D114">
        <f t="shared" si="9"/>
        <v>5</v>
      </c>
      <c r="E114" s="9">
        <f t="shared" si="10"/>
        <v>79.8</v>
      </c>
      <c r="F114" s="8">
        <f t="shared" si="11"/>
        <v>58.800000000000004</v>
      </c>
      <c r="G114" s="9">
        <f t="shared" si="12"/>
        <v>21</v>
      </c>
      <c r="H114">
        <f>E113-F113-G113</f>
        <v>0</v>
      </c>
      <c r="I114" s="8" t="s">
        <v>113</v>
      </c>
      <c r="L114" s="19">
        <f t="shared" si="14"/>
        <v>141</v>
      </c>
    </row>
    <row r="115" spans="1:12" x14ac:dyDescent="0.25">
      <c r="A115">
        <f t="shared" si="8"/>
        <v>1</v>
      </c>
      <c r="B115" s="18">
        <f t="shared" si="13"/>
        <v>2.7272962283173485</v>
      </c>
      <c r="C115" s="8" t="s">
        <v>137</v>
      </c>
      <c r="D115">
        <f t="shared" si="9"/>
        <v>4</v>
      </c>
      <c r="E115" s="9">
        <f t="shared" si="10"/>
        <v>422</v>
      </c>
      <c r="F115" s="8">
        <f t="shared" si="11"/>
        <v>0</v>
      </c>
      <c r="G115" s="9">
        <f t="shared" si="12"/>
        <v>322</v>
      </c>
      <c r="H115">
        <f>E115-F115-G115</f>
        <v>100</v>
      </c>
      <c r="I115" s="8" t="s">
        <v>110</v>
      </c>
      <c r="L115" s="19">
        <f t="shared" si="14"/>
        <v>360.09090909090912</v>
      </c>
    </row>
    <row r="116" spans="1:12" x14ac:dyDescent="0.25">
      <c r="A116">
        <f t="shared" si="8"/>
        <v>1</v>
      </c>
      <c r="B116" s="18">
        <f t="shared" si="13"/>
        <v>4.5368766641677221</v>
      </c>
      <c r="C116" s="8" t="s">
        <v>140</v>
      </c>
      <c r="D116">
        <f t="shared" si="9"/>
        <v>5</v>
      </c>
      <c r="E116" s="9">
        <f t="shared" si="10"/>
        <v>702</v>
      </c>
      <c r="F116" s="8">
        <f t="shared" si="11"/>
        <v>105</v>
      </c>
      <c r="G116" s="9">
        <f t="shared" si="12"/>
        <v>597</v>
      </c>
      <c r="H116">
        <f t="shared" ref="H116:H124" si="15">E117-F117-G117</f>
        <v>47</v>
      </c>
      <c r="I116" s="8" t="s">
        <v>321</v>
      </c>
      <c r="L116" s="19">
        <f t="shared" si="14"/>
        <v>19</v>
      </c>
    </row>
    <row r="117" spans="1:12" x14ac:dyDescent="0.25">
      <c r="A117">
        <f t="shared" si="8"/>
        <v>1</v>
      </c>
      <c r="B117" s="18">
        <f t="shared" si="13"/>
        <v>0.30375100173202696</v>
      </c>
      <c r="C117" s="8" t="s">
        <v>605</v>
      </c>
      <c r="D117">
        <f t="shared" si="9"/>
        <v>1</v>
      </c>
      <c r="E117" s="9">
        <f t="shared" si="10"/>
        <v>47</v>
      </c>
      <c r="F117" s="8">
        <f t="shared" si="11"/>
        <v>0</v>
      </c>
      <c r="G117" s="9">
        <f t="shared" si="12"/>
        <v>0</v>
      </c>
      <c r="H117">
        <f t="shared" si="15"/>
        <v>156</v>
      </c>
      <c r="I117" s="8" t="s">
        <v>112</v>
      </c>
      <c r="L117" s="19">
        <f t="shared" si="14"/>
        <v>22.95125164690382</v>
      </c>
    </row>
    <row r="118" spans="1:12" x14ac:dyDescent="0.25">
      <c r="A118">
        <f t="shared" si="8"/>
        <v>1</v>
      </c>
      <c r="B118" s="18">
        <f t="shared" si="13"/>
        <v>1.6480107540780184</v>
      </c>
      <c r="C118" s="8" t="s">
        <v>146</v>
      </c>
      <c r="D118">
        <f t="shared" si="9"/>
        <v>6</v>
      </c>
      <c r="E118" s="9">
        <f t="shared" si="10"/>
        <v>255</v>
      </c>
      <c r="F118" s="8">
        <f t="shared" si="11"/>
        <v>51</v>
      </c>
      <c r="G118" s="9">
        <f t="shared" si="12"/>
        <v>48</v>
      </c>
      <c r="H118">
        <f t="shared" si="15"/>
        <v>108</v>
      </c>
      <c r="I118" s="8" t="s">
        <v>122</v>
      </c>
      <c r="L118" s="19">
        <f t="shared" si="14"/>
        <v>216</v>
      </c>
    </row>
    <row r="119" spans="1:12" x14ac:dyDescent="0.25">
      <c r="A119">
        <f t="shared" si="8"/>
        <v>1</v>
      </c>
      <c r="B119" s="18">
        <f t="shared" si="13"/>
        <v>0.69798102525657268</v>
      </c>
      <c r="C119" t="s">
        <v>608</v>
      </c>
      <c r="D119">
        <f t="shared" si="9"/>
        <v>1</v>
      </c>
      <c r="E119" s="9">
        <f t="shared" si="10"/>
        <v>108</v>
      </c>
      <c r="F119" s="8">
        <f t="shared" si="11"/>
        <v>0</v>
      </c>
      <c r="G119" s="9">
        <f t="shared" si="12"/>
        <v>0</v>
      </c>
      <c r="H119">
        <f t="shared" si="15"/>
        <v>0</v>
      </c>
      <c r="I119" s="8" t="s">
        <v>115</v>
      </c>
      <c r="L119" s="19">
        <f t="shared" si="14"/>
        <v>178.15217391304347</v>
      </c>
    </row>
    <row r="120" spans="1:12" x14ac:dyDescent="0.25">
      <c r="A120">
        <f t="shared" si="8"/>
        <v>1</v>
      </c>
      <c r="B120" s="18">
        <f t="shared" si="13"/>
        <v>1.9776129048936224</v>
      </c>
      <c r="C120" s="8" t="s">
        <v>34</v>
      </c>
      <c r="D120">
        <f t="shared" si="9"/>
        <v>1</v>
      </c>
      <c r="E120" s="9">
        <f t="shared" si="10"/>
        <v>306</v>
      </c>
      <c r="F120" s="8">
        <f t="shared" si="11"/>
        <v>0</v>
      </c>
      <c r="G120" s="9">
        <f t="shared" si="12"/>
        <v>306</v>
      </c>
      <c r="H120">
        <f t="shared" si="15"/>
        <v>0</v>
      </c>
      <c r="I120" s="8" t="s">
        <v>578</v>
      </c>
      <c r="L120" s="19">
        <f t="shared" si="14"/>
        <v>195</v>
      </c>
    </row>
    <row r="121" spans="1:12" x14ac:dyDescent="0.25">
      <c r="A121">
        <f t="shared" si="8"/>
        <v>1</v>
      </c>
      <c r="B121" s="18">
        <f t="shared" si="13"/>
        <v>7.1026032107127159</v>
      </c>
      <c r="C121" s="8" t="s">
        <v>144</v>
      </c>
      <c r="D121">
        <f t="shared" si="9"/>
        <v>6</v>
      </c>
      <c r="E121" s="9">
        <f t="shared" si="10"/>
        <v>1099</v>
      </c>
      <c r="F121" s="8">
        <f t="shared" si="11"/>
        <v>181</v>
      </c>
      <c r="G121" s="9">
        <f t="shared" si="12"/>
        <v>918</v>
      </c>
      <c r="H121">
        <f t="shared" si="15"/>
        <v>0</v>
      </c>
      <c r="I121" s="8" t="s">
        <v>574</v>
      </c>
      <c r="L121" s="19">
        <f t="shared" si="14"/>
        <v>264.72727272727275</v>
      </c>
    </row>
    <row r="122" spans="1:12" x14ac:dyDescent="0.25">
      <c r="A122">
        <f t="shared" si="8"/>
        <v>1</v>
      </c>
      <c r="B122" s="18">
        <f t="shared" si="13"/>
        <v>3.7186877956725173</v>
      </c>
      <c r="C122" s="8" t="s">
        <v>139</v>
      </c>
      <c r="D122">
        <f t="shared" si="9"/>
        <v>3</v>
      </c>
      <c r="E122" s="9">
        <f t="shared" si="10"/>
        <v>575.4</v>
      </c>
      <c r="F122" s="8">
        <f t="shared" si="11"/>
        <v>0</v>
      </c>
      <c r="G122" s="9">
        <f t="shared" si="12"/>
        <v>575.4</v>
      </c>
      <c r="H122">
        <f t="shared" si="15"/>
        <v>101</v>
      </c>
      <c r="I122" s="8" t="s">
        <v>224</v>
      </c>
      <c r="L122" s="19">
        <f t="shared" si="14"/>
        <v>10</v>
      </c>
    </row>
    <row r="123" spans="1:12" x14ac:dyDescent="0.25">
      <c r="A123">
        <f t="shared" si="8"/>
        <v>1</v>
      </c>
      <c r="B123" s="18">
        <f t="shared" si="13"/>
        <v>1.6286223922653362</v>
      </c>
      <c r="C123" s="8" t="s">
        <v>141</v>
      </c>
      <c r="D123">
        <f t="shared" si="9"/>
        <v>2</v>
      </c>
      <c r="E123" s="9">
        <f t="shared" si="10"/>
        <v>252</v>
      </c>
      <c r="F123" s="8">
        <f t="shared" si="11"/>
        <v>0</v>
      </c>
      <c r="G123" s="9">
        <f t="shared" si="12"/>
        <v>151</v>
      </c>
      <c r="H123">
        <f t="shared" si="15"/>
        <v>0</v>
      </c>
      <c r="I123" s="8" t="s">
        <v>1156</v>
      </c>
      <c r="L123" s="19">
        <f t="shared" si="14"/>
        <v>31</v>
      </c>
    </row>
    <row r="124" spans="1:12" x14ac:dyDescent="0.25">
      <c r="A124">
        <f t="shared" si="8"/>
        <v>1</v>
      </c>
      <c r="B124" s="18">
        <f t="shared" si="13"/>
        <v>2.6368172065248299</v>
      </c>
      <c r="C124" s="8" t="s">
        <v>45</v>
      </c>
      <c r="D124">
        <f t="shared" si="9"/>
        <v>3</v>
      </c>
      <c r="E124" s="9">
        <f t="shared" si="10"/>
        <v>408</v>
      </c>
      <c r="F124" s="8">
        <f t="shared" si="11"/>
        <v>0</v>
      </c>
      <c r="G124" s="9">
        <f t="shared" si="12"/>
        <v>408</v>
      </c>
      <c r="H124">
        <f t="shared" si="15"/>
        <v>0</v>
      </c>
      <c r="I124" s="8" t="s">
        <v>109</v>
      </c>
      <c r="L124" s="19">
        <f t="shared" si="14"/>
        <v>230.11212814645307</v>
      </c>
    </row>
    <row r="125" spans="1:12" x14ac:dyDescent="0.25">
      <c r="A125">
        <f t="shared" si="8"/>
        <v>1</v>
      </c>
      <c r="B125" s="18">
        <f t="shared" si="13"/>
        <v>0.19388361812682572</v>
      </c>
      <c r="C125" s="8" t="s">
        <v>630</v>
      </c>
      <c r="D125">
        <f t="shared" si="9"/>
        <v>1</v>
      </c>
      <c r="E125" s="9">
        <f t="shared" si="10"/>
        <v>30</v>
      </c>
      <c r="F125" s="8">
        <f t="shared" si="11"/>
        <v>0</v>
      </c>
      <c r="G125" s="9">
        <f t="shared" si="12"/>
        <v>30</v>
      </c>
      <c r="I125" s="8" t="s">
        <v>120</v>
      </c>
      <c r="L125" s="19">
        <f t="shared" si="14"/>
        <v>31</v>
      </c>
    </row>
    <row r="126" spans="1:12" x14ac:dyDescent="0.25">
      <c r="A126">
        <f t="shared" si="8"/>
        <v>1</v>
      </c>
      <c r="B126" s="18">
        <f t="shared" si="13"/>
        <v>0.96295530336323443</v>
      </c>
      <c r="C126" s="8" t="s">
        <v>207</v>
      </c>
      <c r="D126">
        <f t="shared" si="9"/>
        <v>3</v>
      </c>
      <c r="E126" s="9">
        <f t="shared" si="10"/>
        <v>149</v>
      </c>
      <c r="F126" s="8">
        <f t="shared" si="11"/>
        <v>97</v>
      </c>
      <c r="G126" s="9">
        <f t="shared" si="12"/>
        <v>52</v>
      </c>
      <c r="I126" s="8" t="s">
        <v>114</v>
      </c>
      <c r="L126" s="19">
        <f t="shared" si="14"/>
        <v>0</v>
      </c>
    </row>
    <row r="127" spans="1:12" x14ac:dyDescent="0.25">
      <c r="A127">
        <f t="shared" si="8"/>
        <v>1</v>
      </c>
      <c r="B127" s="18">
        <f t="shared" si="13"/>
        <v>1.0275831760721765</v>
      </c>
      <c r="C127" s="8" t="s">
        <v>633</v>
      </c>
      <c r="D127">
        <f t="shared" si="9"/>
        <v>1</v>
      </c>
      <c r="E127" s="9">
        <f t="shared" si="10"/>
        <v>159</v>
      </c>
      <c r="F127" s="8">
        <f t="shared" si="11"/>
        <v>0</v>
      </c>
      <c r="G127" s="9">
        <f t="shared" si="12"/>
        <v>159</v>
      </c>
      <c r="H127">
        <f>E127-F127-G127</f>
        <v>0</v>
      </c>
      <c r="I127" s="8" t="s">
        <v>119</v>
      </c>
      <c r="L127" s="19">
        <f t="shared" si="14"/>
        <v>183.18181818181816</v>
      </c>
    </row>
    <row r="128" spans="1:12" x14ac:dyDescent="0.25">
      <c r="A128">
        <f t="shared" si="8"/>
        <v>1</v>
      </c>
      <c r="B128" s="18">
        <f t="shared" si="13"/>
        <v>0.16803246904324895</v>
      </c>
      <c r="C128" s="8" t="s">
        <v>206</v>
      </c>
      <c r="D128">
        <f t="shared" si="9"/>
        <v>1</v>
      </c>
      <c r="E128" s="9">
        <f t="shared" si="10"/>
        <v>26</v>
      </c>
      <c r="F128" s="8">
        <f t="shared" si="11"/>
        <v>0</v>
      </c>
      <c r="G128" s="9">
        <f t="shared" si="12"/>
        <v>26</v>
      </c>
      <c r="H128">
        <f>E128-F128-G128</f>
        <v>0</v>
      </c>
      <c r="I128" s="8" t="s">
        <v>108</v>
      </c>
      <c r="L128" s="19">
        <f t="shared" si="14"/>
        <v>717.71789982201881</v>
      </c>
    </row>
    <row r="129" spans="1:13" x14ac:dyDescent="0.25">
      <c r="A129">
        <f t="shared" si="8"/>
        <v>1</v>
      </c>
      <c r="B129" s="18">
        <f t="shared" si="13"/>
        <v>0.3360649380864979</v>
      </c>
      <c r="C129" s="8" t="s">
        <v>564</v>
      </c>
      <c r="D129">
        <f t="shared" si="9"/>
        <v>1</v>
      </c>
      <c r="E129" s="9">
        <f t="shared" si="10"/>
        <v>52</v>
      </c>
      <c r="F129" s="8">
        <f t="shared" si="11"/>
        <v>52</v>
      </c>
      <c r="G129" s="9">
        <f t="shared" si="12"/>
        <v>0</v>
      </c>
      <c r="H129">
        <f>E129-F129-G129</f>
        <v>0</v>
      </c>
      <c r="I129" s="8" t="s">
        <v>118</v>
      </c>
      <c r="L129" s="19">
        <f t="shared" si="14"/>
        <v>103</v>
      </c>
    </row>
    <row r="130" spans="1:13" x14ac:dyDescent="0.25">
      <c r="A130">
        <f t="shared" si="8"/>
        <v>1</v>
      </c>
      <c r="B130" s="18">
        <f>E130/$E$103*100</f>
        <v>0.68505545071478424</v>
      </c>
      <c r="C130" s="8" t="s">
        <v>148</v>
      </c>
      <c r="D130">
        <f t="shared" si="9"/>
        <v>1</v>
      </c>
      <c r="E130" s="9">
        <f t="shared" si="10"/>
        <v>106</v>
      </c>
      <c r="F130" s="8">
        <f t="shared" si="11"/>
        <v>106</v>
      </c>
      <c r="G130" s="9">
        <f t="shared" si="12"/>
        <v>0</v>
      </c>
      <c r="H130">
        <f>E131-F131-G131</f>
        <v>0</v>
      </c>
      <c r="I130" s="8" t="s">
        <v>121</v>
      </c>
      <c r="L130" s="19">
        <f t="shared" si="14"/>
        <v>406.8095238095238</v>
      </c>
    </row>
    <row r="131" spans="1:13" x14ac:dyDescent="0.25">
      <c r="A131">
        <f t="shared" si="8"/>
        <v>1</v>
      </c>
      <c r="B131" s="18">
        <f t="shared" ref="B131:B144" si="16">E131/$E$103*100</f>
        <v>0.44593232169169916</v>
      </c>
      <c r="C131" s="8" t="s">
        <v>623</v>
      </c>
      <c r="D131">
        <f t="shared" si="9"/>
        <v>1</v>
      </c>
      <c r="E131" s="9">
        <f t="shared" si="10"/>
        <v>69</v>
      </c>
      <c r="F131" s="8">
        <f t="shared" si="11"/>
        <v>69</v>
      </c>
      <c r="G131" s="9">
        <f t="shared" si="12"/>
        <v>0</v>
      </c>
      <c r="H131">
        <f>E132-F132-G132</f>
        <v>0</v>
      </c>
      <c r="I131" s="10" t="s">
        <v>619</v>
      </c>
      <c r="J131" s="11"/>
      <c r="K131" s="11"/>
      <c r="L131" s="20">
        <f t="shared" si="14"/>
        <v>267</v>
      </c>
      <c r="M131" s="17">
        <f>L132-SUM(H2:H64)-SUM(O2:O90)-SUM(U2:U64)</f>
        <v>1079.4844497607664</v>
      </c>
    </row>
    <row r="132" spans="1:13" x14ac:dyDescent="0.25">
      <c r="A132">
        <f t="shared" si="8"/>
        <v>1</v>
      </c>
      <c r="B132" s="18">
        <f t="shared" si="16"/>
        <v>0.31021378900292118</v>
      </c>
      <c r="C132" s="8" t="s">
        <v>449</v>
      </c>
      <c r="D132">
        <f t="shared" si="9"/>
        <v>1</v>
      </c>
      <c r="E132" s="9">
        <f t="shared" si="10"/>
        <v>48</v>
      </c>
      <c r="F132" s="8">
        <f t="shared" si="11"/>
        <v>0</v>
      </c>
      <c r="G132" s="9">
        <f t="shared" si="12"/>
        <v>48</v>
      </c>
      <c r="L132" s="1">
        <f>SUM(L112:L131)</f>
        <v>3496.9929773379436</v>
      </c>
    </row>
    <row r="133" spans="1:13" x14ac:dyDescent="0.25">
      <c r="A133">
        <f t="shared" si="8"/>
        <v>1</v>
      </c>
      <c r="B133" s="18">
        <f t="shared" si="16"/>
        <v>1.2796318796370498</v>
      </c>
      <c r="C133" s="8" t="s">
        <v>143</v>
      </c>
      <c r="D133">
        <f t="shared" si="9"/>
        <v>1</v>
      </c>
      <c r="E133" s="9">
        <f t="shared" si="10"/>
        <v>198</v>
      </c>
      <c r="F133" s="8">
        <f t="shared" si="11"/>
        <v>0</v>
      </c>
      <c r="G133" s="9">
        <f t="shared" si="12"/>
        <v>0</v>
      </c>
      <c r="I133" t="s">
        <v>5</v>
      </c>
    </row>
    <row r="134" spans="1:13" x14ac:dyDescent="0.25">
      <c r="A134">
        <f t="shared" si="8"/>
        <v>1</v>
      </c>
      <c r="B134" s="18">
        <f t="shared" si="16"/>
        <v>0.6721298761729958</v>
      </c>
      <c r="C134" s="8" t="s">
        <v>1139</v>
      </c>
      <c r="D134">
        <f t="shared" si="9"/>
        <v>1</v>
      </c>
      <c r="E134" s="9">
        <f t="shared" si="10"/>
        <v>104</v>
      </c>
      <c r="F134" s="8">
        <f t="shared" si="11"/>
        <v>104</v>
      </c>
      <c r="G134" s="9">
        <f t="shared" si="12"/>
        <v>0</v>
      </c>
      <c r="I134" t="s">
        <v>1164</v>
      </c>
      <c r="L134">
        <f>A15</f>
        <v>1176</v>
      </c>
    </row>
    <row r="135" spans="1:13" x14ac:dyDescent="0.25">
      <c r="A135">
        <f t="shared" si="8"/>
        <v>1</v>
      </c>
      <c r="B135" s="18">
        <f t="shared" si="16"/>
        <v>0</v>
      </c>
      <c r="C135" s="8" t="s">
        <v>1140</v>
      </c>
      <c r="D135">
        <f t="shared" si="9"/>
        <v>0</v>
      </c>
      <c r="E135" s="9">
        <f t="shared" si="10"/>
        <v>0</v>
      </c>
      <c r="F135" s="8">
        <f t="shared" si="11"/>
        <v>0</v>
      </c>
      <c r="G135" s="9">
        <f t="shared" si="12"/>
        <v>0</v>
      </c>
      <c r="I135" t="s">
        <v>1165</v>
      </c>
      <c r="L135">
        <f>A34</f>
        <v>2695.2</v>
      </c>
    </row>
    <row r="136" spans="1:13" x14ac:dyDescent="0.25">
      <c r="A136">
        <f t="shared" si="8"/>
        <v>1</v>
      </c>
      <c r="B136" s="18">
        <f t="shared" si="16"/>
        <v>0.56872527983868881</v>
      </c>
      <c r="C136" s="8" t="s">
        <v>161</v>
      </c>
      <c r="D136">
        <f t="shared" si="9"/>
        <v>1</v>
      </c>
      <c r="E136" s="9">
        <f t="shared" si="10"/>
        <v>88</v>
      </c>
      <c r="F136" s="8">
        <f t="shared" si="11"/>
        <v>88</v>
      </c>
      <c r="G136" s="9">
        <f t="shared" si="12"/>
        <v>0</v>
      </c>
      <c r="I136" t="s">
        <v>1166</v>
      </c>
      <c r="L136">
        <f>A60</f>
        <v>2672</v>
      </c>
    </row>
    <row r="137" spans="1:13" x14ac:dyDescent="0.25">
      <c r="A137">
        <f t="shared" si="8"/>
        <v>1</v>
      </c>
      <c r="B137" s="18">
        <f t="shared" si="16"/>
        <v>0.18742083085593153</v>
      </c>
      <c r="C137" s="8" t="s">
        <v>163</v>
      </c>
      <c r="D137">
        <f t="shared" si="9"/>
        <v>1</v>
      </c>
      <c r="E137" s="9">
        <f t="shared" si="10"/>
        <v>29</v>
      </c>
      <c r="F137" s="8">
        <f t="shared" si="11"/>
        <v>0</v>
      </c>
      <c r="G137" s="9">
        <f t="shared" si="12"/>
        <v>0</v>
      </c>
      <c r="I137" t="s">
        <v>1167</v>
      </c>
      <c r="L137">
        <f>A92</f>
        <v>4174</v>
      </c>
    </row>
    <row r="138" spans="1:13" x14ac:dyDescent="0.25">
      <c r="A138">
        <f t="shared" si="8"/>
        <v>1</v>
      </c>
      <c r="B138" s="18">
        <f t="shared" si="16"/>
        <v>0.84016234521624489</v>
      </c>
      <c r="C138" s="8" t="s">
        <v>318</v>
      </c>
      <c r="D138">
        <f t="shared" si="9"/>
        <v>3</v>
      </c>
      <c r="E138" s="9">
        <f t="shared" si="10"/>
        <v>130</v>
      </c>
      <c r="F138" s="8">
        <f t="shared" si="11"/>
        <v>0</v>
      </c>
      <c r="G138" s="9">
        <f t="shared" si="12"/>
        <v>130</v>
      </c>
      <c r="H138">
        <f>E139-F139-G139</f>
        <v>0</v>
      </c>
    </row>
    <row r="139" spans="1:13" x14ac:dyDescent="0.25">
      <c r="A139">
        <f t="shared" si="8"/>
        <v>1</v>
      </c>
      <c r="B139" s="18">
        <f t="shared" si="16"/>
        <v>0.29082542719023857</v>
      </c>
      <c r="C139" s="8" t="s">
        <v>61</v>
      </c>
      <c r="D139">
        <f t="shared" si="9"/>
        <v>1</v>
      </c>
      <c r="E139" s="9">
        <f t="shared" si="10"/>
        <v>45</v>
      </c>
      <c r="F139" s="8">
        <f t="shared" si="11"/>
        <v>0</v>
      </c>
      <c r="G139" s="9">
        <f t="shared" si="12"/>
        <v>45</v>
      </c>
      <c r="H139">
        <f>E140-F140-G140</f>
        <v>97</v>
      </c>
    </row>
    <row r="140" spans="1:13" x14ac:dyDescent="0.25">
      <c r="A140">
        <f t="shared" si="8"/>
        <v>1</v>
      </c>
      <c r="B140" s="18">
        <f t="shared" si="16"/>
        <v>1.2667063050952614</v>
      </c>
      <c r="C140" s="8" t="s">
        <v>69</v>
      </c>
      <c r="D140">
        <f t="shared" si="9"/>
        <v>2</v>
      </c>
      <c r="E140" s="9">
        <f t="shared" si="10"/>
        <v>196</v>
      </c>
      <c r="F140" s="8">
        <f t="shared" si="11"/>
        <v>0</v>
      </c>
      <c r="G140" s="9">
        <f t="shared" si="12"/>
        <v>99</v>
      </c>
      <c r="H140">
        <f>E141-F141-G141</f>
        <v>0</v>
      </c>
    </row>
    <row r="141" spans="1:13" x14ac:dyDescent="0.25">
      <c r="A141">
        <f t="shared" si="8"/>
        <v>1</v>
      </c>
      <c r="B141" s="18">
        <f t="shared" si="16"/>
        <v>2.8565519737352321</v>
      </c>
      <c r="C141" s="8" t="s">
        <v>528</v>
      </c>
      <c r="D141">
        <f t="shared" si="9"/>
        <v>2</v>
      </c>
      <c r="E141" s="9">
        <f t="shared" si="10"/>
        <v>442</v>
      </c>
      <c r="F141" s="8">
        <f t="shared" si="11"/>
        <v>0</v>
      </c>
      <c r="G141" s="9">
        <f t="shared" si="12"/>
        <v>442</v>
      </c>
      <c r="H141">
        <f>E142-F142-G142</f>
        <v>66</v>
      </c>
    </row>
    <row r="142" spans="1:13" x14ac:dyDescent="0.25">
      <c r="A142">
        <f t="shared" si="8"/>
        <v>1</v>
      </c>
      <c r="B142" s="18">
        <f t="shared" si="16"/>
        <v>0.42654395987901661</v>
      </c>
      <c r="C142" s="10" t="s">
        <v>593</v>
      </c>
      <c r="D142" s="11">
        <f t="shared" si="9"/>
        <v>1</v>
      </c>
      <c r="E142" s="12">
        <f t="shared" si="10"/>
        <v>66</v>
      </c>
      <c r="F142" s="10">
        <f t="shared" si="11"/>
        <v>0</v>
      </c>
      <c r="G142" s="12">
        <f t="shared" si="12"/>
        <v>0</v>
      </c>
    </row>
    <row r="143" spans="1:13" x14ac:dyDescent="0.25">
      <c r="B143" s="18">
        <f t="shared" si="16"/>
        <v>69.262983739627231</v>
      </c>
      <c r="E143" s="9">
        <f>SUM(E111:E142)</f>
        <v>10717.2</v>
      </c>
      <c r="F143" s="13">
        <f>SUM(F111:F142)</f>
        <v>1202.8</v>
      </c>
      <c r="G143" s="15">
        <f>SUM(G111:G142)</f>
        <v>7360.4</v>
      </c>
    </row>
    <row r="144" spans="1:13" x14ac:dyDescent="0.25">
      <c r="B144" s="18">
        <f t="shared" si="16"/>
        <v>30.737016260372773</v>
      </c>
      <c r="E144" s="9">
        <f>E103-E143</f>
        <v>4756</v>
      </c>
      <c r="F144" s="10" t="s">
        <v>389</v>
      </c>
      <c r="G144" s="12">
        <f>E103-F143-G143</f>
        <v>6910.0000000000018</v>
      </c>
    </row>
    <row r="146" spans="3:7" x14ac:dyDescent="0.25">
      <c r="C146" s="13"/>
      <c r="D146" s="14" t="s">
        <v>93</v>
      </c>
      <c r="E146" s="15" t="s">
        <v>94</v>
      </c>
    </row>
    <row r="147" spans="3:7" x14ac:dyDescent="0.25">
      <c r="C147" s="8" t="s">
        <v>402</v>
      </c>
      <c r="D147">
        <f>SUMIFS($D$2:$D$100,$E$2:$E$100,D$146,$F$2:$F$100,"&lt;5.1")</f>
        <v>580</v>
      </c>
      <c r="E147" s="9">
        <f>SUMIFS($D$2:$D$100,$E$2:$E$100,E$146,$F$2:$F$100,"&lt;5.1")</f>
        <v>1808</v>
      </c>
      <c r="F147" s="3"/>
      <c r="G147" s="3"/>
    </row>
    <row r="148" spans="3:7" x14ac:dyDescent="0.25">
      <c r="C148" s="29" t="s">
        <v>403</v>
      </c>
      <c r="D148">
        <f>SUMIFS($D$2:$D$100,$E$2:$E$100,D$146,$F$2:$F$100,"&lt;10.1")-D147</f>
        <v>0</v>
      </c>
      <c r="E148" s="9">
        <f>SUMIFS($D$2:$D$100,$E$2:$E$100,E$146,$F$2:$F$100,"&lt;10.1")-E147</f>
        <v>1594</v>
      </c>
      <c r="G148" s="18"/>
    </row>
    <row r="149" spans="3:7" x14ac:dyDescent="0.25">
      <c r="C149" s="29" t="s">
        <v>404</v>
      </c>
      <c r="D149">
        <f>SUMIFS($D$2:$D$100,$E$2:$E$100,D$146,$F$2:$F$100,"&lt;15.1")-D148-D147</f>
        <v>154</v>
      </c>
      <c r="E149" s="9">
        <f>SUMIFS($D$2:$D$100,$E$2:$E$100,E$146,$F$2:$F$100,"&lt;15.1")-E148-E147</f>
        <v>946.39999999999964</v>
      </c>
    </row>
    <row r="150" spans="3:7" x14ac:dyDescent="0.25">
      <c r="C150" s="29" t="s">
        <v>102</v>
      </c>
      <c r="D150">
        <f>SUMIFS($D$2:$D$100,$E$2:$E$100,D$146,$F$2:$F$100,"&lt;20.1")-D149-D148-D147</f>
        <v>131.79999999999995</v>
      </c>
      <c r="E150" s="9">
        <f>SUMIFS($D$2:$D$100,$E$2:$E$100,E$146,$F$2:$F$100,"&lt;20.1")-E149-E148-E147</f>
        <v>1092</v>
      </c>
      <c r="G150" s="18"/>
    </row>
    <row r="151" spans="3:7" x14ac:dyDescent="0.25">
      <c r="C151" s="8" t="s">
        <v>405</v>
      </c>
      <c r="D151">
        <f>SUMIFS($D$2:$D$100,$E$2:$E$100,D$146,$F$2:$F$100,"&lt;40.1")-D150-D149-D148-D147</f>
        <v>0</v>
      </c>
      <c r="E151" s="9">
        <f>SUMIFS($D$2:$D$100,$E$2:$E$100,E$146,$F$2:$F$100,"&lt;40.1")-E150-E149-E148-E147</f>
        <v>1402</v>
      </c>
      <c r="G151" s="18"/>
    </row>
    <row r="152" spans="3:7" x14ac:dyDescent="0.25">
      <c r="C152" s="10" t="s">
        <v>406</v>
      </c>
      <c r="D152" s="11">
        <f>E106-SUM(D147:D151)</f>
        <v>337</v>
      </c>
      <c r="E152" s="12">
        <f>E105-SUM(E147:E151)</f>
        <v>518</v>
      </c>
    </row>
    <row r="153" spans="3:7" x14ac:dyDescent="0.25">
      <c r="C153" s="25"/>
      <c r="D153" s="18"/>
      <c r="E153" s="18"/>
    </row>
    <row r="154" spans="3:7" x14ac:dyDescent="0.25">
      <c r="C154" t="s">
        <v>395</v>
      </c>
      <c r="E154" s="24">
        <f>AVERAGE(F2:F93)</f>
        <v>13.955223880597014</v>
      </c>
    </row>
    <row r="155" spans="3:7" x14ac:dyDescent="0.25">
      <c r="C155" t="s">
        <v>1489</v>
      </c>
      <c r="E155" s="24">
        <f>SUMPRODUCT(F2:F92,D2:D92)/SUM(D2:D92)</f>
        <v>10.306983167245175</v>
      </c>
    </row>
  </sheetData>
  <pageMargins left="0.7" right="0.7" top="0.75" bottom="0.75" header="0.3" footer="0.3"/>
  <pageSetup paperSize="9" orientation="portrait" r:id="rId1"/>
  <headerFooter>
    <oddFooter>&amp;L&amp;1#&amp;"Arial"&amp;8&amp;KD5DAD9</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55"/>
  <sheetViews>
    <sheetView topLeftCell="A25" zoomScale="70" zoomScaleNormal="70" workbookViewId="0">
      <selection activeCell="B2" sqref="B2:B91"/>
    </sheetView>
  </sheetViews>
  <sheetFormatPr defaultRowHeight="15" x14ac:dyDescent="0.25"/>
  <cols>
    <col min="2" max="9" width="13.7109375" customWidth="1"/>
    <col min="10" max="10" width="1.7109375" customWidth="1"/>
    <col min="11" max="11" width="2.140625" customWidth="1"/>
    <col min="12" max="13" width="12" bestFit="1" customWidth="1"/>
    <col min="14" max="14" width="12" customWidth="1"/>
    <col min="15" max="15" width="4.140625" customWidth="1"/>
    <col min="16" max="16" width="15.140625" customWidth="1"/>
    <col min="17" max="17" width="2.7109375" customWidth="1"/>
    <col min="18" max="18" width="3.28515625" customWidth="1"/>
    <col min="19" max="20" width="12" bestFit="1" customWidth="1"/>
    <col min="21" max="21" width="4.42578125" customWidth="1"/>
    <col min="22" max="22" width="13.28515625" bestFit="1" customWidth="1"/>
    <col min="23" max="24" width="12" bestFit="1" customWidth="1"/>
  </cols>
  <sheetData>
    <row r="1" spans="1:29" x14ac:dyDescent="0.25">
      <c r="B1" s="3" t="s">
        <v>86</v>
      </c>
      <c r="C1" s="3" t="s">
        <v>87</v>
      </c>
      <c r="D1" s="3" t="s">
        <v>88</v>
      </c>
      <c r="E1" s="3" t="s">
        <v>98</v>
      </c>
      <c r="F1" s="3" t="s">
        <v>100</v>
      </c>
      <c r="G1" s="3" t="s">
        <v>89</v>
      </c>
      <c r="H1" s="3" t="s">
        <v>91</v>
      </c>
      <c r="I1" s="3" t="s">
        <v>90</v>
      </c>
      <c r="J1" s="3" t="s">
        <v>131</v>
      </c>
      <c r="K1" s="3" t="s">
        <v>130</v>
      </c>
      <c r="L1" s="3" t="s">
        <v>103</v>
      </c>
      <c r="M1" s="3" t="s">
        <v>101</v>
      </c>
      <c r="N1" s="3" t="s">
        <v>107</v>
      </c>
      <c r="O1" s="3" t="s">
        <v>91</v>
      </c>
      <c r="P1" s="3" t="s">
        <v>105</v>
      </c>
      <c r="Q1" s="3" t="s">
        <v>131</v>
      </c>
      <c r="R1" s="3" t="s">
        <v>130</v>
      </c>
      <c r="S1" s="3" t="s">
        <v>103</v>
      </c>
      <c r="T1" s="3" t="s">
        <v>101</v>
      </c>
      <c r="U1" s="3" t="s">
        <v>91</v>
      </c>
      <c r="V1" s="3" t="s">
        <v>105</v>
      </c>
      <c r="W1" s="3" t="s">
        <v>103</v>
      </c>
      <c r="X1" s="3" t="s">
        <v>101</v>
      </c>
      <c r="AB1" s="3" t="s">
        <v>682</v>
      </c>
      <c r="AC1" t="s">
        <v>683</v>
      </c>
    </row>
    <row r="2" spans="1:29" x14ac:dyDescent="0.25">
      <c r="B2" s="151">
        <v>42745</v>
      </c>
      <c r="C2" t="s">
        <v>1247</v>
      </c>
      <c r="D2">
        <v>300</v>
      </c>
      <c r="E2" t="s">
        <v>99</v>
      </c>
      <c r="F2" t="s">
        <v>95</v>
      </c>
      <c r="G2" t="s">
        <v>95</v>
      </c>
      <c r="H2" s="1">
        <f>D2/K2</f>
        <v>150</v>
      </c>
      <c r="I2" t="s">
        <v>110</v>
      </c>
      <c r="J2">
        <v>110</v>
      </c>
      <c r="K2">
        <v>2</v>
      </c>
      <c r="AB2">
        <f t="shared" ref="AB2" si="0">COUNTIF($I$112:$I$142,I2)</f>
        <v>1</v>
      </c>
      <c r="AC2">
        <f t="shared" ref="AC2" si="1">COUNTIF($C$111:$C$142,C2)</f>
        <v>1</v>
      </c>
    </row>
    <row r="3" spans="1:29" x14ac:dyDescent="0.25">
      <c r="B3" s="151">
        <v>42759</v>
      </c>
      <c r="C3" t="s">
        <v>142</v>
      </c>
      <c r="D3">
        <v>110</v>
      </c>
      <c r="E3" t="s">
        <v>95</v>
      </c>
      <c r="F3" t="s">
        <v>95</v>
      </c>
      <c r="G3" t="s">
        <v>95</v>
      </c>
      <c r="H3" s="1">
        <f t="shared" ref="H3:H66" si="2">D3/K3</f>
        <v>55</v>
      </c>
      <c r="I3" t="s">
        <v>92</v>
      </c>
      <c r="K3">
        <v>2</v>
      </c>
      <c r="AB3">
        <f t="shared" ref="AB3:AB66" si="3">COUNTIF($I$112:$I$142,I3)</f>
        <v>1</v>
      </c>
      <c r="AC3">
        <f t="shared" ref="AC3:AC66" si="4">COUNTIF($C$111:$C$142,C3)</f>
        <v>1</v>
      </c>
    </row>
    <row r="4" spans="1:29" x14ac:dyDescent="0.25">
      <c r="B4" s="151">
        <v>42762</v>
      </c>
      <c r="C4" t="s">
        <v>138</v>
      </c>
      <c r="D4">
        <v>41</v>
      </c>
      <c r="E4" t="s">
        <v>95</v>
      </c>
      <c r="F4" t="s">
        <v>95</v>
      </c>
      <c r="G4" t="s">
        <v>53</v>
      </c>
      <c r="H4" s="1">
        <f t="shared" si="2"/>
        <v>11.884057971014492</v>
      </c>
      <c r="I4" t="s">
        <v>109</v>
      </c>
      <c r="J4">
        <v>126</v>
      </c>
      <c r="K4">
        <v>3.45</v>
      </c>
      <c r="M4">
        <v>117</v>
      </c>
      <c r="P4" t="s">
        <v>106</v>
      </c>
      <c r="Q4">
        <v>126</v>
      </c>
      <c r="R4">
        <v>3.3</v>
      </c>
      <c r="S4" s="4"/>
      <c r="T4">
        <v>137</v>
      </c>
      <c r="AB4">
        <f t="shared" si="3"/>
        <v>1</v>
      </c>
      <c r="AC4">
        <f t="shared" si="4"/>
        <v>1</v>
      </c>
    </row>
    <row r="5" spans="1:29" x14ac:dyDescent="0.25">
      <c r="B5" s="151">
        <v>42772</v>
      </c>
      <c r="C5" t="s">
        <v>27</v>
      </c>
      <c r="D5">
        <v>100</v>
      </c>
      <c r="E5" t="s">
        <v>94</v>
      </c>
      <c r="F5">
        <v>10</v>
      </c>
      <c r="G5" t="s">
        <v>83</v>
      </c>
      <c r="H5" s="1">
        <f t="shared" si="2"/>
        <v>28.985507246376809</v>
      </c>
      <c r="I5" t="s">
        <v>109</v>
      </c>
      <c r="J5">
        <v>126</v>
      </c>
      <c r="K5">
        <v>3.45</v>
      </c>
      <c r="AB5">
        <f t="shared" si="3"/>
        <v>1</v>
      </c>
      <c r="AC5">
        <f t="shared" si="4"/>
        <v>1</v>
      </c>
    </row>
    <row r="6" spans="1:29" x14ac:dyDescent="0.25">
      <c r="B6" s="151">
        <v>42794</v>
      </c>
      <c r="C6" t="s">
        <v>1247</v>
      </c>
      <c r="D6">
        <v>348</v>
      </c>
      <c r="E6" t="s">
        <v>99</v>
      </c>
      <c r="F6" t="s">
        <v>95</v>
      </c>
      <c r="G6" t="s">
        <v>95</v>
      </c>
      <c r="H6" s="1">
        <f t="shared" si="2"/>
        <v>174</v>
      </c>
      <c r="I6" t="s">
        <v>110</v>
      </c>
      <c r="J6">
        <v>110</v>
      </c>
      <c r="K6">
        <v>2</v>
      </c>
      <c r="AB6">
        <f t="shared" si="3"/>
        <v>1</v>
      </c>
      <c r="AC6">
        <f t="shared" si="4"/>
        <v>1</v>
      </c>
    </row>
    <row r="7" spans="1:29" x14ac:dyDescent="0.25">
      <c r="B7" s="151">
        <v>42797</v>
      </c>
      <c r="C7" t="s">
        <v>145</v>
      </c>
      <c r="D7">
        <v>33</v>
      </c>
      <c r="E7" t="s">
        <v>95</v>
      </c>
      <c r="F7" t="s">
        <v>95</v>
      </c>
      <c r="G7" t="s">
        <v>84</v>
      </c>
      <c r="H7" s="1">
        <f t="shared" si="2"/>
        <v>10</v>
      </c>
      <c r="I7" t="s">
        <v>111</v>
      </c>
      <c r="J7">
        <v>112</v>
      </c>
      <c r="K7">
        <v>3.3</v>
      </c>
      <c r="M7">
        <v>140</v>
      </c>
      <c r="P7" t="s">
        <v>106</v>
      </c>
      <c r="Q7">
        <v>126</v>
      </c>
      <c r="R7">
        <v>3.3</v>
      </c>
      <c r="T7">
        <v>137</v>
      </c>
      <c r="AB7">
        <f t="shared" si="3"/>
        <v>1</v>
      </c>
      <c r="AC7">
        <f t="shared" si="4"/>
        <v>1</v>
      </c>
    </row>
    <row r="8" spans="1:29" x14ac:dyDescent="0.25">
      <c r="B8" s="151">
        <v>42800</v>
      </c>
      <c r="C8" t="s">
        <v>139</v>
      </c>
      <c r="D8">
        <v>50</v>
      </c>
      <c r="E8" t="s">
        <v>94</v>
      </c>
      <c r="G8" t="s">
        <v>80</v>
      </c>
      <c r="H8" s="1">
        <f t="shared" si="2"/>
        <v>13.888888888888889</v>
      </c>
      <c r="I8" t="s">
        <v>109</v>
      </c>
      <c r="J8">
        <v>126</v>
      </c>
      <c r="K8">
        <v>3.6</v>
      </c>
      <c r="L8" t="s">
        <v>104</v>
      </c>
      <c r="AB8">
        <f t="shared" si="3"/>
        <v>1</v>
      </c>
      <c r="AC8">
        <f t="shared" si="4"/>
        <v>1</v>
      </c>
    </row>
    <row r="9" spans="1:29" x14ac:dyDescent="0.25">
      <c r="B9" s="151">
        <v>42808</v>
      </c>
      <c r="C9" t="s">
        <v>138</v>
      </c>
      <c r="D9">
        <v>31</v>
      </c>
      <c r="E9" t="s">
        <v>93</v>
      </c>
      <c r="F9">
        <v>5</v>
      </c>
      <c r="G9" t="s">
        <v>71</v>
      </c>
      <c r="H9" s="1">
        <f t="shared" si="2"/>
        <v>8.9855072463768106</v>
      </c>
      <c r="I9" t="s">
        <v>108</v>
      </c>
      <c r="J9">
        <v>136</v>
      </c>
      <c r="K9">
        <v>3.45</v>
      </c>
      <c r="AB9">
        <f t="shared" si="3"/>
        <v>1</v>
      </c>
      <c r="AC9">
        <f t="shared" si="4"/>
        <v>1</v>
      </c>
    </row>
    <row r="10" spans="1:29" x14ac:dyDescent="0.25">
      <c r="B10" s="151">
        <v>42810</v>
      </c>
      <c r="C10" t="s">
        <v>69</v>
      </c>
      <c r="D10">
        <v>41</v>
      </c>
      <c r="E10" t="s">
        <v>95</v>
      </c>
      <c r="F10">
        <v>15</v>
      </c>
      <c r="G10" t="s">
        <v>70</v>
      </c>
      <c r="H10" s="1">
        <f t="shared" si="2"/>
        <v>11.884057971014492</v>
      </c>
      <c r="I10" t="s">
        <v>109</v>
      </c>
      <c r="J10">
        <v>126</v>
      </c>
      <c r="K10">
        <v>3.45</v>
      </c>
      <c r="AB10">
        <f t="shared" si="3"/>
        <v>1</v>
      </c>
      <c r="AC10">
        <f t="shared" si="4"/>
        <v>1</v>
      </c>
    </row>
    <row r="11" spans="1:29" x14ac:dyDescent="0.25">
      <c r="B11" s="151">
        <v>42823</v>
      </c>
      <c r="C11" t="s">
        <v>142</v>
      </c>
      <c r="D11">
        <v>48</v>
      </c>
      <c r="E11" t="s">
        <v>93</v>
      </c>
      <c r="F11">
        <v>2</v>
      </c>
      <c r="G11" t="s">
        <v>95</v>
      </c>
      <c r="H11" s="1">
        <f t="shared" si="2"/>
        <v>24</v>
      </c>
      <c r="I11" t="s">
        <v>110</v>
      </c>
      <c r="J11">
        <v>110</v>
      </c>
      <c r="K11">
        <v>2</v>
      </c>
      <c r="M11">
        <v>137</v>
      </c>
      <c r="AB11">
        <f t="shared" si="3"/>
        <v>1</v>
      </c>
      <c r="AC11">
        <f t="shared" si="4"/>
        <v>1</v>
      </c>
    </row>
    <row r="12" spans="1:29" x14ac:dyDescent="0.25">
      <c r="B12" s="151">
        <v>42823</v>
      </c>
      <c r="C12" t="s">
        <v>142</v>
      </c>
      <c r="D12">
        <v>55</v>
      </c>
      <c r="E12" t="s">
        <v>95</v>
      </c>
      <c r="F12" t="s">
        <v>95</v>
      </c>
      <c r="G12" t="s">
        <v>95</v>
      </c>
      <c r="H12" s="1">
        <f t="shared" si="2"/>
        <v>27.5</v>
      </c>
      <c r="I12" t="s">
        <v>92</v>
      </c>
      <c r="K12">
        <v>2</v>
      </c>
      <c r="AB12">
        <f t="shared" si="3"/>
        <v>1</v>
      </c>
      <c r="AC12">
        <f t="shared" si="4"/>
        <v>1</v>
      </c>
    </row>
    <row r="13" spans="1:29" x14ac:dyDescent="0.25">
      <c r="B13" s="151">
        <v>42823</v>
      </c>
      <c r="C13" t="s">
        <v>142</v>
      </c>
      <c r="D13">
        <v>48</v>
      </c>
      <c r="E13" t="s">
        <v>93</v>
      </c>
      <c r="F13">
        <v>2</v>
      </c>
      <c r="G13" t="s">
        <v>39</v>
      </c>
      <c r="H13" s="1">
        <f t="shared" si="2"/>
        <v>24</v>
      </c>
      <c r="I13" t="s">
        <v>110</v>
      </c>
      <c r="J13">
        <v>110</v>
      </c>
      <c r="K13">
        <v>2</v>
      </c>
      <c r="M13">
        <v>137</v>
      </c>
      <c r="AB13">
        <f t="shared" si="3"/>
        <v>1</v>
      </c>
      <c r="AC13">
        <f t="shared" si="4"/>
        <v>1</v>
      </c>
    </row>
    <row r="14" spans="1:29" s="11" customFormat="1" x14ac:dyDescent="0.25">
      <c r="A14" s="11">
        <f>SUM(D2:D14)</f>
        <v>1353</v>
      </c>
      <c r="B14" s="152">
        <v>42824</v>
      </c>
      <c r="C14" s="11" t="s">
        <v>1247</v>
      </c>
      <c r="D14" s="11">
        <v>148</v>
      </c>
      <c r="E14" s="11" t="s">
        <v>94</v>
      </c>
      <c r="F14" s="11">
        <v>20</v>
      </c>
      <c r="G14" s="11" t="s">
        <v>21</v>
      </c>
      <c r="H14" s="28">
        <f t="shared" si="2"/>
        <v>42.89855072463768</v>
      </c>
      <c r="I14" s="11" t="s">
        <v>109</v>
      </c>
      <c r="J14" s="11">
        <v>126</v>
      </c>
      <c r="K14" s="11">
        <v>3.45</v>
      </c>
      <c r="AB14">
        <f t="shared" si="3"/>
        <v>1</v>
      </c>
      <c r="AC14">
        <f t="shared" si="4"/>
        <v>1</v>
      </c>
    </row>
    <row r="15" spans="1:29" x14ac:dyDescent="0.25">
      <c r="B15" s="151">
        <v>42832</v>
      </c>
      <c r="C15" t="s">
        <v>138</v>
      </c>
      <c r="D15">
        <v>76</v>
      </c>
      <c r="E15" t="s">
        <v>94</v>
      </c>
      <c r="F15">
        <v>15</v>
      </c>
      <c r="G15" t="s">
        <v>79</v>
      </c>
      <c r="H15" s="1">
        <f t="shared" si="2"/>
        <v>22.028985507246375</v>
      </c>
      <c r="I15" t="s">
        <v>112</v>
      </c>
      <c r="J15">
        <v>112</v>
      </c>
      <c r="K15">
        <v>3.45</v>
      </c>
      <c r="AB15">
        <f t="shared" si="3"/>
        <v>1</v>
      </c>
      <c r="AC15">
        <f t="shared" si="4"/>
        <v>1</v>
      </c>
    </row>
    <row r="16" spans="1:29" x14ac:dyDescent="0.25">
      <c r="B16" s="151">
        <v>42853</v>
      </c>
      <c r="C16" t="s">
        <v>142</v>
      </c>
      <c r="D16">
        <v>110</v>
      </c>
      <c r="E16" t="s">
        <v>95</v>
      </c>
      <c r="F16" t="s">
        <v>95</v>
      </c>
      <c r="G16" t="s">
        <v>95</v>
      </c>
      <c r="H16" s="1">
        <f t="shared" si="2"/>
        <v>55</v>
      </c>
      <c r="I16" t="s">
        <v>92</v>
      </c>
      <c r="K16">
        <v>2</v>
      </c>
      <c r="AB16">
        <f t="shared" si="3"/>
        <v>1</v>
      </c>
      <c r="AC16">
        <f t="shared" si="4"/>
        <v>1</v>
      </c>
    </row>
    <row r="17" spans="2:29" x14ac:dyDescent="0.25">
      <c r="B17" s="151">
        <v>42853</v>
      </c>
      <c r="C17" t="s">
        <v>142</v>
      </c>
      <c r="D17">
        <v>55</v>
      </c>
      <c r="E17" t="s">
        <v>95</v>
      </c>
      <c r="F17" t="s">
        <v>95</v>
      </c>
      <c r="G17" t="s">
        <v>95</v>
      </c>
      <c r="H17" s="1">
        <f t="shared" si="2"/>
        <v>27.5</v>
      </c>
      <c r="I17" t="s">
        <v>92</v>
      </c>
      <c r="K17">
        <v>2</v>
      </c>
      <c r="AB17">
        <f t="shared" si="3"/>
        <v>1</v>
      </c>
      <c r="AC17">
        <f t="shared" si="4"/>
        <v>1</v>
      </c>
    </row>
    <row r="18" spans="2:29" x14ac:dyDescent="0.25">
      <c r="B18" s="151">
        <v>42885</v>
      </c>
      <c r="C18" t="s">
        <v>147</v>
      </c>
      <c r="D18">
        <v>21</v>
      </c>
      <c r="E18" t="s">
        <v>93</v>
      </c>
      <c r="F18">
        <v>10</v>
      </c>
      <c r="G18" t="s">
        <v>22</v>
      </c>
      <c r="H18" s="1">
        <f t="shared" si="2"/>
        <v>6.0869565217391299</v>
      </c>
      <c r="I18" t="s">
        <v>109</v>
      </c>
      <c r="J18">
        <v>126</v>
      </c>
      <c r="K18">
        <v>3.45</v>
      </c>
      <c r="AB18">
        <f t="shared" si="3"/>
        <v>1</v>
      </c>
      <c r="AC18">
        <f t="shared" si="4"/>
        <v>1</v>
      </c>
    </row>
    <row r="19" spans="2:29" x14ac:dyDescent="0.25">
      <c r="B19" s="151">
        <v>42892</v>
      </c>
      <c r="C19" t="s">
        <v>27</v>
      </c>
      <c r="D19">
        <v>220</v>
      </c>
      <c r="E19" t="s">
        <v>94</v>
      </c>
      <c r="F19">
        <v>10</v>
      </c>
      <c r="G19" t="s">
        <v>81</v>
      </c>
      <c r="H19" s="1">
        <f t="shared" si="2"/>
        <v>63.768115942028984</v>
      </c>
      <c r="I19" t="s">
        <v>109</v>
      </c>
      <c r="J19">
        <v>126</v>
      </c>
      <c r="K19">
        <v>3.45</v>
      </c>
      <c r="AB19">
        <f t="shared" si="3"/>
        <v>1</v>
      </c>
      <c r="AC19">
        <f t="shared" si="4"/>
        <v>1</v>
      </c>
    </row>
    <row r="20" spans="2:29" x14ac:dyDescent="0.25">
      <c r="B20" s="151">
        <v>42892</v>
      </c>
      <c r="C20" t="s">
        <v>148</v>
      </c>
      <c r="D20">
        <v>48</v>
      </c>
      <c r="E20" t="s">
        <v>93</v>
      </c>
      <c r="F20">
        <v>10</v>
      </c>
      <c r="G20" t="s">
        <v>82</v>
      </c>
      <c r="H20" s="1">
        <f t="shared" si="2"/>
        <v>24</v>
      </c>
      <c r="I20" t="s">
        <v>113</v>
      </c>
      <c r="J20">
        <v>100</v>
      </c>
      <c r="K20">
        <v>2</v>
      </c>
      <c r="AB20">
        <f t="shared" si="3"/>
        <v>1</v>
      </c>
      <c r="AC20">
        <f t="shared" si="4"/>
        <v>1</v>
      </c>
    </row>
    <row r="21" spans="2:29" x14ac:dyDescent="0.25">
      <c r="B21" s="151">
        <v>42893</v>
      </c>
      <c r="C21" t="s">
        <v>27</v>
      </c>
      <c r="D21">
        <v>50</v>
      </c>
      <c r="E21" t="s">
        <v>94</v>
      </c>
      <c r="F21">
        <v>15</v>
      </c>
      <c r="G21" t="s">
        <v>48</v>
      </c>
      <c r="H21" s="1">
        <f t="shared" si="2"/>
        <v>14.492753623188404</v>
      </c>
      <c r="I21" t="s">
        <v>109</v>
      </c>
      <c r="J21">
        <v>126</v>
      </c>
      <c r="K21">
        <v>3.45</v>
      </c>
      <c r="AB21">
        <f t="shared" si="3"/>
        <v>1</v>
      </c>
      <c r="AC21">
        <f t="shared" si="4"/>
        <v>1</v>
      </c>
    </row>
    <row r="22" spans="2:29" x14ac:dyDescent="0.25">
      <c r="B22" s="151">
        <v>42900</v>
      </c>
      <c r="C22" t="s">
        <v>148</v>
      </c>
      <c r="D22">
        <v>90</v>
      </c>
      <c r="E22" t="s">
        <v>93</v>
      </c>
      <c r="F22">
        <v>20</v>
      </c>
      <c r="G22" t="s">
        <v>72</v>
      </c>
      <c r="H22" s="1">
        <f t="shared" si="2"/>
        <v>25</v>
      </c>
      <c r="I22" t="s">
        <v>108</v>
      </c>
      <c r="J22">
        <v>136</v>
      </c>
      <c r="K22">
        <v>3.6</v>
      </c>
      <c r="L22" t="s">
        <v>104</v>
      </c>
      <c r="AB22">
        <f t="shared" si="3"/>
        <v>1</v>
      </c>
      <c r="AC22">
        <f t="shared" si="4"/>
        <v>1</v>
      </c>
    </row>
    <row r="23" spans="2:29" x14ac:dyDescent="0.25">
      <c r="B23" s="151">
        <v>42913</v>
      </c>
      <c r="C23" t="s">
        <v>142</v>
      </c>
      <c r="D23">
        <v>50</v>
      </c>
      <c r="E23" t="s">
        <v>93</v>
      </c>
      <c r="F23" t="s">
        <v>95</v>
      </c>
      <c r="G23" t="s">
        <v>52</v>
      </c>
      <c r="H23" s="1">
        <f t="shared" si="2"/>
        <v>25</v>
      </c>
      <c r="I23" t="s">
        <v>110</v>
      </c>
      <c r="J23">
        <v>110</v>
      </c>
      <c r="K23">
        <v>2</v>
      </c>
      <c r="AB23">
        <f t="shared" si="3"/>
        <v>1</v>
      </c>
      <c r="AC23">
        <f t="shared" si="4"/>
        <v>1</v>
      </c>
    </row>
    <row r="24" spans="2:29" x14ac:dyDescent="0.25">
      <c r="B24" s="151">
        <v>42915</v>
      </c>
      <c r="C24" t="s">
        <v>1247</v>
      </c>
      <c r="D24">
        <v>60</v>
      </c>
      <c r="E24" t="s">
        <v>94</v>
      </c>
      <c r="F24" t="s">
        <v>95</v>
      </c>
      <c r="G24" t="s">
        <v>95</v>
      </c>
      <c r="H24" s="1">
        <f t="shared" si="2"/>
        <v>30</v>
      </c>
      <c r="I24" t="s">
        <v>110</v>
      </c>
      <c r="J24">
        <v>110</v>
      </c>
      <c r="K24">
        <v>2</v>
      </c>
      <c r="AB24">
        <f t="shared" si="3"/>
        <v>1</v>
      </c>
      <c r="AC24">
        <f t="shared" si="4"/>
        <v>1</v>
      </c>
    </row>
    <row r="25" spans="2:29" x14ac:dyDescent="0.25">
      <c r="B25" s="151">
        <v>42915</v>
      </c>
      <c r="C25" t="s">
        <v>145</v>
      </c>
      <c r="D25">
        <v>33</v>
      </c>
      <c r="E25" t="s">
        <v>93</v>
      </c>
      <c r="F25">
        <v>17.5</v>
      </c>
      <c r="G25" t="s">
        <v>40</v>
      </c>
      <c r="H25" s="1">
        <f t="shared" si="2"/>
        <v>10</v>
      </c>
      <c r="I25" t="s">
        <v>106</v>
      </c>
      <c r="J25">
        <v>126</v>
      </c>
      <c r="K25">
        <v>3.3</v>
      </c>
      <c r="M25">
        <v>137</v>
      </c>
      <c r="P25" t="s">
        <v>111</v>
      </c>
      <c r="Q25">
        <v>112</v>
      </c>
      <c r="R25">
        <v>3.3</v>
      </c>
      <c r="T25">
        <v>140</v>
      </c>
      <c r="AB25">
        <f t="shared" si="3"/>
        <v>1</v>
      </c>
      <c r="AC25">
        <f t="shared" si="4"/>
        <v>1</v>
      </c>
    </row>
    <row r="26" spans="2:29" x14ac:dyDescent="0.25">
      <c r="B26" s="151">
        <v>42916</v>
      </c>
      <c r="C26" t="s">
        <v>1247</v>
      </c>
      <c r="D26">
        <v>200</v>
      </c>
      <c r="E26" t="s">
        <v>93</v>
      </c>
      <c r="G26" t="s">
        <v>95</v>
      </c>
      <c r="H26" s="1">
        <f t="shared" si="2"/>
        <v>100</v>
      </c>
      <c r="I26" t="s">
        <v>110</v>
      </c>
      <c r="J26">
        <v>110</v>
      </c>
      <c r="K26">
        <v>2</v>
      </c>
      <c r="AB26">
        <f t="shared" si="3"/>
        <v>1</v>
      </c>
      <c r="AC26">
        <f t="shared" si="4"/>
        <v>1</v>
      </c>
    </row>
    <row r="27" spans="2:29" x14ac:dyDescent="0.25">
      <c r="B27" s="151">
        <v>42916</v>
      </c>
      <c r="C27" t="s">
        <v>1247</v>
      </c>
      <c r="D27">
        <v>302</v>
      </c>
      <c r="E27" t="s">
        <v>94</v>
      </c>
      <c r="F27">
        <v>5</v>
      </c>
      <c r="G27" t="s">
        <v>23</v>
      </c>
      <c r="H27" s="1">
        <f t="shared" si="2"/>
        <v>151</v>
      </c>
      <c r="I27" t="s">
        <v>110</v>
      </c>
      <c r="J27">
        <v>110</v>
      </c>
      <c r="K27">
        <v>2</v>
      </c>
      <c r="AB27">
        <f t="shared" si="3"/>
        <v>1</v>
      </c>
      <c r="AC27">
        <f t="shared" si="4"/>
        <v>1</v>
      </c>
    </row>
    <row r="28" spans="2:29" x14ac:dyDescent="0.25">
      <c r="B28" s="151">
        <v>42916</v>
      </c>
      <c r="C28" t="s">
        <v>24</v>
      </c>
      <c r="D28">
        <v>14</v>
      </c>
      <c r="E28" t="s">
        <v>94</v>
      </c>
      <c r="F28">
        <v>15</v>
      </c>
      <c r="G28" t="s">
        <v>25</v>
      </c>
      <c r="H28" s="1">
        <f t="shared" si="2"/>
        <v>3.8888888888888888</v>
      </c>
      <c r="I28" t="s">
        <v>114</v>
      </c>
      <c r="J28">
        <v>105</v>
      </c>
      <c r="K28">
        <v>3.6</v>
      </c>
      <c r="L28" t="s">
        <v>104</v>
      </c>
      <c r="AB28">
        <f t="shared" si="3"/>
        <v>1</v>
      </c>
      <c r="AC28">
        <f t="shared" si="4"/>
        <v>1</v>
      </c>
    </row>
    <row r="29" spans="2:29" x14ac:dyDescent="0.25">
      <c r="B29" s="151">
        <v>42916</v>
      </c>
      <c r="C29" t="s">
        <v>140</v>
      </c>
      <c r="D29">
        <v>115</v>
      </c>
      <c r="E29" t="s">
        <v>94</v>
      </c>
      <c r="F29">
        <v>20</v>
      </c>
      <c r="G29" t="s">
        <v>26</v>
      </c>
      <c r="H29" s="1">
        <f t="shared" si="2"/>
        <v>31.944444444444443</v>
      </c>
      <c r="I29" t="s">
        <v>108</v>
      </c>
      <c r="J29">
        <v>136</v>
      </c>
      <c r="K29">
        <v>3.6</v>
      </c>
      <c r="L29" t="s">
        <v>104</v>
      </c>
      <c r="AB29">
        <f t="shared" si="3"/>
        <v>1</v>
      </c>
      <c r="AC29">
        <f t="shared" si="4"/>
        <v>1</v>
      </c>
    </row>
    <row r="30" spans="2:29" x14ac:dyDescent="0.25">
      <c r="B30" s="151">
        <v>42916</v>
      </c>
      <c r="C30" t="s">
        <v>27</v>
      </c>
      <c r="D30">
        <v>100</v>
      </c>
      <c r="E30" t="s">
        <v>94</v>
      </c>
      <c r="F30">
        <v>10</v>
      </c>
      <c r="G30" t="s">
        <v>28</v>
      </c>
      <c r="H30" s="1">
        <f t="shared" si="2"/>
        <v>27.777777777777779</v>
      </c>
      <c r="I30" t="s">
        <v>115</v>
      </c>
      <c r="J30">
        <v>117</v>
      </c>
      <c r="K30">
        <v>3.6</v>
      </c>
      <c r="L30" t="s">
        <v>104</v>
      </c>
      <c r="AB30">
        <f t="shared" si="3"/>
        <v>1</v>
      </c>
      <c r="AC30">
        <f t="shared" si="4"/>
        <v>1</v>
      </c>
    </row>
    <row r="31" spans="2:29" x14ac:dyDescent="0.25">
      <c r="B31" s="151">
        <v>42916</v>
      </c>
      <c r="C31" t="s">
        <v>1247</v>
      </c>
      <c r="D31">
        <v>70</v>
      </c>
      <c r="E31" t="s">
        <v>94</v>
      </c>
      <c r="F31">
        <v>10</v>
      </c>
      <c r="G31" t="s">
        <v>29</v>
      </c>
      <c r="H31" s="1">
        <f t="shared" si="2"/>
        <v>35</v>
      </c>
      <c r="I31" t="s">
        <v>110</v>
      </c>
      <c r="J31">
        <v>110</v>
      </c>
      <c r="K31">
        <v>2</v>
      </c>
      <c r="AB31">
        <f t="shared" si="3"/>
        <v>1</v>
      </c>
      <c r="AC31">
        <f t="shared" si="4"/>
        <v>1</v>
      </c>
    </row>
    <row r="32" spans="2:29" x14ac:dyDescent="0.25">
      <c r="B32" s="151">
        <v>42916</v>
      </c>
      <c r="C32" t="s">
        <v>144</v>
      </c>
      <c r="D32">
        <v>54</v>
      </c>
      <c r="E32" t="s">
        <v>93</v>
      </c>
      <c r="F32">
        <v>25</v>
      </c>
      <c r="G32" t="s">
        <v>30</v>
      </c>
      <c r="H32" s="1">
        <f t="shared" si="2"/>
        <v>15</v>
      </c>
      <c r="I32" t="s">
        <v>109</v>
      </c>
      <c r="J32">
        <v>126</v>
      </c>
      <c r="K32">
        <v>3.6</v>
      </c>
      <c r="L32" t="s">
        <v>104</v>
      </c>
      <c r="AB32">
        <f t="shared" si="3"/>
        <v>1</v>
      </c>
      <c r="AC32">
        <f t="shared" si="4"/>
        <v>1</v>
      </c>
    </row>
    <row r="33" spans="1:29" s="11" customFormat="1" x14ac:dyDescent="0.25">
      <c r="A33" s="11">
        <f>SUM(D15:D33)</f>
        <v>1956</v>
      </c>
      <c r="B33" s="152">
        <v>42916</v>
      </c>
      <c r="C33" s="11" t="s">
        <v>140</v>
      </c>
      <c r="D33" s="11">
        <v>288</v>
      </c>
      <c r="E33" s="11" t="s">
        <v>94</v>
      </c>
      <c r="F33" s="11">
        <v>20</v>
      </c>
      <c r="G33" s="11" t="s">
        <v>31</v>
      </c>
      <c r="H33" s="28">
        <f t="shared" si="2"/>
        <v>80</v>
      </c>
      <c r="I33" s="11" t="s">
        <v>108</v>
      </c>
      <c r="J33" s="11">
        <v>136</v>
      </c>
      <c r="K33" s="11">
        <v>3.6</v>
      </c>
      <c r="L33" s="11" t="s">
        <v>104</v>
      </c>
      <c r="AB33">
        <f t="shared" si="3"/>
        <v>1</v>
      </c>
      <c r="AC33">
        <f t="shared" si="4"/>
        <v>1</v>
      </c>
    </row>
    <row r="34" spans="1:29" x14ac:dyDescent="0.25">
      <c r="B34" s="151">
        <v>42929</v>
      </c>
      <c r="C34" t="s">
        <v>74</v>
      </c>
      <c r="D34">
        <v>22</v>
      </c>
      <c r="E34" t="s">
        <v>99</v>
      </c>
      <c r="F34" t="s">
        <v>95</v>
      </c>
      <c r="G34" t="s">
        <v>75</v>
      </c>
      <c r="H34" s="1">
        <f t="shared" si="2"/>
        <v>6.1111111111111107</v>
      </c>
      <c r="I34" t="s">
        <v>112</v>
      </c>
      <c r="J34">
        <v>112</v>
      </c>
      <c r="K34">
        <v>3.6</v>
      </c>
      <c r="L34" t="s">
        <v>104</v>
      </c>
      <c r="AB34">
        <f t="shared" si="3"/>
        <v>1</v>
      </c>
      <c r="AC34">
        <f t="shared" si="4"/>
        <v>1</v>
      </c>
    </row>
    <row r="35" spans="1:29" x14ac:dyDescent="0.25">
      <c r="B35" s="151">
        <v>42934</v>
      </c>
      <c r="C35" t="s">
        <v>66</v>
      </c>
      <c r="D35">
        <v>48</v>
      </c>
      <c r="E35" t="s">
        <v>95</v>
      </c>
      <c r="F35" t="s">
        <v>95</v>
      </c>
      <c r="G35" t="s">
        <v>67</v>
      </c>
      <c r="H35" s="1">
        <f t="shared" si="2"/>
        <v>13.913043478260869</v>
      </c>
      <c r="I35" t="s">
        <v>115</v>
      </c>
      <c r="J35">
        <v>117</v>
      </c>
      <c r="K35">
        <v>3.45</v>
      </c>
      <c r="AB35">
        <f t="shared" si="3"/>
        <v>1</v>
      </c>
      <c r="AC35">
        <f t="shared" si="4"/>
        <v>1</v>
      </c>
    </row>
    <row r="36" spans="1:29" x14ac:dyDescent="0.25">
      <c r="B36" s="151">
        <v>42937</v>
      </c>
      <c r="C36" t="s">
        <v>1247</v>
      </c>
      <c r="D36">
        <v>200</v>
      </c>
      <c r="E36" t="s">
        <v>94</v>
      </c>
      <c r="F36">
        <v>10</v>
      </c>
      <c r="G36" t="s">
        <v>57</v>
      </c>
      <c r="H36" s="1">
        <f t="shared" si="2"/>
        <v>100</v>
      </c>
      <c r="I36" t="s">
        <v>110</v>
      </c>
      <c r="J36">
        <v>110</v>
      </c>
      <c r="K36">
        <v>2</v>
      </c>
      <c r="AB36">
        <f t="shared" si="3"/>
        <v>1</v>
      </c>
      <c r="AC36">
        <f t="shared" si="4"/>
        <v>1</v>
      </c>
    </row>
    <row r="37" spans="1:29" x14ac:dyDescent="0.25">
      <c r="B37" s="151">
        <v>42950</v>
      </c>
      <c r="C37" t="s">
        <v>1247</v>
      </c>
      <c r="D37">
        <v>148</v>
      </c>
      <c r="E37" t="s">
        <v>99</v>
      </c>
      <c r="F37">
        <v>20</v>
      </c>
      <c r="G37" t="s">
        <v>85</v>
      </c>
      <c r="H37" s="1">
        <f t="shared" si="2"/>
        <v>42.89855072463768</v>
      </c>
      <c r="I37" t="s">
        <v>109</v>
      </c>
      <c r="J37">
        <v>126</v>
      </c>
      <c r="K37">
        <v>3.45</v>
      </c>
      <c r="AB37">
        <f t="shared" si="3"/>
        <v>1</v>
      </c>
      <c r="AC37">
        <f t="shared" si="4"/>
        <v>1</v>
      </c>
    </row>
    <row r="38" spans="1:29" x14ac:dyDescent="0.25">
      <c r="B38" s="151">
        <v>42958</v>
      </c>
      <c r="C38" t="s">
        <v>142</v>
      </c>
      <c r="D38">
        <v>99</v>
      </c>
      <c r="E38" t="s">
        <v>93</v>
      </c>
      <c r="F38" t="s">
        <v>95</v>
      </c>
      <c r="G38" t="s">
        <v>78</v>
      </c>
      <c r="H38" s="1">
        <f t="shared" si="2"/>
        <v>44.999999999999993</v>
      </c>
      <c r="I38" t="s">
        <v>110</v>
      </c>
      <c r="J38">
        <v>110</v>
      </c>
      <c r="K38">
        <v>2.2000000000000002</v>
      </c>
      <c r="L38" t="s">
        <v>116</v>
      </c>
      <c r="AB38">
        <f t="shared" si="3"/>
        <v>1</v>
      </c>
      <c r="AC38">
        <f t="shared" si="4"/>
        <v>1</v>
      </c>
    </row>
    <row r="39" spans="1:29" x14ac:dyDescent="0.25">
      <c r="B39" s="151">
        <v>42962</v>
      </c>
      <c r="C39" t="s">
        <v>34</v>
      </c>
      <c r="D39">
        <v>424</v>
      </c>
      <c r="E39" t="s">
        <v>94</v>
      </c>
      <c r="F39">
        <v>15</v>
      </c>
      <c r="G39" t="s">
        <v>96</v>
      </c>
      <c r="H39" s="1">
        <f t="shared" si="2"/>
        <v>122.89855072463767</v>
      </c>
      <c r="I39" t="s">
        <v>108</v>
      </c>
      <c r="J39">
        <v>136</v>
      </c>
      <c r="K39">
        <v>3.45</v>
      </c>
      <c r="AB39">
        <f t="shared" si="3"/>
        <v>1</v>
      </c>
      <c r="AC39">
        <f t="shared" si="4"/>
        <v>1</v>
      </c>
    </row>
    <row r="40" spans="1:29" x14ac:dyDescent="0.25">
      <c r="B40" s="151">
        <v>42968</v>
      </c>
      <c r="C40" t="s">
        <v>61</v>
      </c>
      <c r="D40">
        <v>180</v>
      </c>
      <c r="E40" t="s">
        <v>93</v>
      </c>
      <c r="F40">
        <v>15</v>
      </c>
      <c r="G40" t="s">
        <v>62</v>
      </c>
      <c r="H40" s="1">
        <f t="shared" si="2"/>
        <v>60</v>
      </c>
      <c r="I40" t="s">
        <v>117</v>
      </c>
      <c r="J40">
        <v>136</v>
      </c>
      <c r="K40">
        <v>3</v>
      </c>
      <c r="AB40">
        <f t="shared" si="3"/>
        <v>1</v>
      </c>
      <c r="AC40">
        <f t="shared" si="4"/>
        <v>1</v>
      </c>
    </row>
    <row r="41" spans="1:29" x14ac:dyDescent="0.25">
      <c r="B41" s="151">
        <v>42978</v>
      </c>
      <c r="C41" t="s">
        <v>16</v>
      </c>
      <c r="D41">
        <v>55</v>
      </c>
      <c r="E41" t="s">
        <v>93</v>
      </c>
      <c r="F41">
        <v>15</v>
      </c>
      <c r="G41" t="s">
        <v>17</v>
      </c>
      <c r="H41" s="1">
        <f t="shared" si="2"/>
        <v>24.999999999999996</v>
      </c>
      <c r="I41" t="s">
        <v>110</v>
      </c>
      <c r="J41">
        <v>110</v>
      </c>
      <c r="K41">
        <v>2.2000000000000002</v>
      </c>
      <c r="L41" t="s">
        <v>116</v>
      </c>
      <c r="AB41">
        <f t="shared" si="3"/>
        <v>1</v>
      </c>
      <c r="AC41">
        <f t="shared" si="4"/>
        <v>1</v>
      </c>
    </row>
    <row r="42" spans="1:29" x14ac:dyDescent="0.25">
      <c r="B42" s="151">
        <v>42979</v>
      </c>
      <c r="C42" t="s">
        <v>137</v>
      </c>
      <c r="D42">
        <v>100</v>
      </c>
      <c r="E42" t="s">
        <v>93</v>
      </c>
      <c r="F42">
        <v>10</v>
      </c>
      <c r="G42" t="s">
        <v>95</v>
      </c>
      <c r="H42" s="1">
        <f t="shared" si="2"/>
        <v>50</v>
      </c>
      <c r="I42" t="s">
        <v>110</v>
      </c>
      <c r="J42">
        <v>110</v>
      </c>
      <c r="K42">
        <v>2</v>
      </c>
      <c r="AB42">
        <f t="shared" si="3"/>
        <v>1</v>
      </c>
      <c r="AC42">
        <f t="shared" si="4"/>
        <v>1</v>
      </c>
    </row>
    <row r="43" spans="1:29" x14ac:dyDescent="0.25">
      <c r="B43" s="151">
        <v>43007</v>
      </c>
      <c r="C43" t="s">
        <v>146</v>
      </c>
      <c r="D43">
        <v>40</v>
      </c>
      <c r="E43" t="s">
        <v>94</v>
      </c>
      <c r="F43">
        <v>15</v>
      </c>
      <c r="G43" t="s">
        <v>32</v>
      </c>
      <c r="H43" s="1">
        <f t="shared" si="2"/>
        <v>12.121212121212121</v>
      </c>
      <c r="I43" t="s">
        <v>106</v>
      </c>
      <c r="J43">
        <v>126</v>
      </c>
      <c r="K43">
        <v>3.3</v>
      </c>
      <c r="AB43">
        <f t="shared" si="3"/>
        <v>1</v>
      </c>
      <c r="AC43">
        <f t="shared" si="4"/>
        <v>1</v>
      </c>
    </row>
    <row r="44" spans="1:29" x14ac:dyDescent="0.25">
      <c r="B44" s="151">
        <v>43007</v>
      </c>
      <c r="C44" t="s">
        <v>146</v>
      </c>
      <c r="D44">
        <v>38</v>
      </c>
      <c r="E44" t="s">
        <v>99</v>
      </c>
      <c r="F44">
        <v>10</v>
      </c>
      <c r="G44" t="s">
        <v>33</v>
      </c>
      <c r="H44" s="1">
        <f t="shared" si="2"/>
        <v>11.014492753623188</v>
      </c>
      <c r="I44" t="s">
        <v>115</v>
      </c>
      <c r="J44">
        <v>117</v>
      </c>
      <c r="K44">
        <v>3.45</v>
      </c>
      <c r="O44">
        <v>3</v>
      </c>
      <c r="P44" t="s">
        <v>112</v>
      </c>
      <c r="Q44">
        <v>112</v>
      </c>
      <c r="R44">
        <v>3.45</v>
      </c>
      <c r="AB44">
        <f t="shared" si="3"/>
        <v>1</v>
      </c>
      <c r="AC44">
        <f t="shared" si="4"/>
        <v>1</v>
      </c>
    </row>
    <row r="45" spans="1:29" x14ac:dyDescent="0.25">
      <c r="B45" s="151">
        <v>43007</v>
      </c>
      <c r="C45" t="s">
        <v>34</v>
      </c>
      <c r="D45">
        <v>93</v>
      </c>
      <c r="E45" t="s">
        <v>94</v>
      </c>
      <c r="F45" t="s">
        <v>95</v>
      </c>
      <c r="G45" t="s">
        <v>95</v>
      </c>
      <c r="H45" s="1">
        <f t="shared" si="2"/>
        <v>26.956521739130434</v>
      </c>
      <c r="I45" t="s">
        <v>108</v>
      </c>
      <c r="J45">
        <v>136</v>
      </c>
      <c r="K45">
        <v>3.45</v>
      </c>
      <c r="AB45">
        <f t="shared" si="3"/>
        <v>1</v>
      </c>
      <c r="AC45">
        <f t="shared" si="4"/>
        <v>1</v>
      </c>
    </row>
    <row r="46" spans="1:29" x14ac:dyDescent="0.25">
      <c r="B46" s="151">
        <v>43007</v>
      </c>
      <c r="C46" t="s">
        <v>146</v>
      </c>
      <c r="D46">
        <v>38</v>
      </c>
      <c r="E46" t="s">
        <v>93</v>
      </c>
      <c r="F46">
        <v>2</v>
      </c>
      <c r="G46" t="s">
        <v>95</v>
      </c>
      <c r="H46" s="1">
        <f t="shared" si="2"/>
        <v>10.555555555555555</v>
      </c>
      <c r="I46" t="s">
        <v>120</v>
      </c>
      <c r="J46">
        <v>126</v>
      </c>
      <c r="K46">
        <v>3.6</v>
      </c>
      <c r="O46">
        <v>4</v>
      </c>
      <c r="P46" t="s">
        <v>119</v>
      </c>
      <c r="Q46">
        <v>110</v>
      </c>
      <c r="R46">
        <v>2.2000000000000002</v>
      </c>
      <c r="AB46">
        <f t="shared" si="3"/>
        <v>1</v>
      </c>
      <c r="AC46">
        <f t="shared" si="4"/>
        <v>1</v>
      </c>
    </row>
    <row r="47" spans="1:29" x14ac:dyDescent="0.25">
      <c r="B47" s="151">
        <v>43007</v>
      </c>
      <c r="C47" t="s">
        <v>27</v>
      </c>
      <c r="D47">
        <v>40</v>
      </c>
      <c r="E47" t="s">
        <v>95</v>
      </c>
      <c r="F47" t="s">
        <v>95</v>
      </c>
      <c r="G47" t="s">
        <v>35</v>
      </c>
      <c r="H47" s="1">
        <f t="shared" si="2"/>
        <v>11.111111111111111</v>
      </c>
      <c r="I47" t="s">
        <v>118</v>
      </c>
      <c r="J47">
        <v>136</v>
      </c>
      <c r="K47">
        <v>3.6</v>
      </c>
      <c r="AB47">
        <f t="shared" si="3"/>
        <v>1</v>
      </c>
      <c r="AC47">
        <f t="shared" si="4"/>
        <v>1</v>
      </c>
    </row>
    <row r="48" spans="1:29" x14ac:dyDescent="0.25">
      <c r="B48" s="151">
        <v>43007</v>
      </c>
      <c r="C48" t="s">
        <v>137</v>
      </c>
      <c r="D48">
        <v>40</v>
      </c>
      <c r="E48" t="s">
        <v>94</v>
      </c>
      <c r="F48">
        <v>15</v>
      </c>
      <c r="G48" t="s">
        <v>36</v>
      </c>
      <c r="H48" s="1">
        <f t="shared" si="2"/>
        <v>18.18181818181818</v>
      </c>
      <c r="I48" t="s">
        <v>119</v>
      </c>
      <c r="J48">
        <v>110</v>
      </c>
      <c r="K48">
        <v>2.2000000000000002</v>
      </c>
      <c r="AB48">
        <f t="shared" si="3"/>
        <v>1</v>
      </c>
      <c r="AC48">
        <f t="shared" si="4"/>
        <v>1</v>
      </c>
    </row>
    <row r="49" spans="1:29" s="11" customFormat="1" x14ac:dyDescent="0.25">
      <c r="A49" s="11">
        <f>SUM(D34:D49)</f>
        <v>1739</v>
      </c>
      <c r="B49" s="152">
        <v>43007</v>
      </c>
      <c r="C49" s="11" t="s">
        <v>1247</v>
      </c>
      <c r="D49" s="11">
        <v>174</v>
      </c>
      <c r="E49" s="11" t="s">
        <v>94</v>
      </c>
      <c r="F49" s="11">
        <v>5</v>
      </c>
      <c r="G49" s="11" t="s">
        <v>23</v>
      </c>
      <c r="H49" s="28">
        <f t="shared" si="2"/>
        <v>87</v>
      </c>
      <c r="I49" s="11" t="s">
        <v>110</v>
      </c>
      <c r="J49" s="11">
        <v>110</v>
      </c>
      <c r="K49" s="11">
        <v>2</v>
      </c>
      <c r="AB49">
        <f t="shared" si="3"/>
        <v>1</v>
      </c>
      <c r="AC49">
        <f t="shared" si="4"/>
        <v>1</v>
      </c>
    </row>
    <row r="50" spans="1:29" x14ac:dyDescent="0.25">
      <c r="B50" s="151">
        <v>43027</v>
      </c>
      <c r="C50" t="s">
        <v>144</v>
      </c>
      <c r="D50">
        <v>43</v>
      </c>
      <c r="E50" t="s">
        <v>93</v>
      </c>
      <c r="F50">
        <v>15</v>
      </c>
      <c r="G50" t="s">
        <v>63</v>
      </c>
      <c r="H50" s="1">
        <f t="shared" si="2"/>
        <v>11.944444444444445</v>
      </c>
      <c r="I50" t="s">
        <v>118</v>
      </c>
      <c r="J50">
        <v>136</v>
      </c>
      <c r="K50">
        <v>3.6</v>
      </c>
      <c r="AB50">
        <f t="shared" si="3"/>
        <v>1</v>
      </c>
      <c r="AC50">
        <f t="shared" si="4"/>
        <v>1</v>
      </c>
    </row>
    <row r="51" spans="1:29" x14ac:dyDescent="0.25">
      <c r="B51" s="151">
        <v>43032</v>
      </c>
      <c r="C51" t="s">
        <v>1247</v>
      </c>
      <c r="D51">
        <v>136</v>
      </c>
      <c r="E51" t="s">
        <v>94</v>
      </c>
      <c r="F51" t="s">
        <v>95</v>
      </c>
      <c r="G51" t="s">
        <v>18</v>
      </c>
      <c r="H51" s="1">
        <f t="shared" si="2"/>
        <v>37.777777777777779</v>
      </c>
      <c r="I51" t="s">
        <v>108</v>
      </c>
      <c r="J51">
        <v>136</v>
      </c>
      <c r="K51">
        <v>3.6</v>
      </c>
      <c r="L51" t="s">
        <v>104</v>
      </c>
      <c r="AB51">
        <f t="shared" si="3"/>
        <v>1</v>
      </c>
      <c r="AC51">
        <f t="shared" si="4"/>
        <v>1</v>
      </c>
    </row>
    <row r="52" spans="1:29" x14ac:dyDescent="0.25">
      <c r="B52" s="151">
        <v>43034</v>
      </c>
      <c r="C52" t="s">
        <v>142</v>
      </c>
      <c r="D52">
        <v>55</v>
      </c>
      <c r="E52" t="s">
        <v>93</v>
      </c>
      <c r="F52">
        <v>2</v>
      </c>
      <c r="G52" t="s">
        <v>18</v>
      </c>
      <c r="H52" s="1">
        <f t="shared" si="2"/>
        <v>24.999999999999996</v>
      </c>
      <c r="I52" t="s">
        <v>110</v>
      </c>
      <c r="J52">
        <v>110</v>
      </c>
      <c r="K52">
        <v>2.2000000000000002</v>
      </c>
      <c r="L52" t="s">
        <v>116</v>
      </c>
      <c r="M52">
        <v>137</v>
      </c>
      <c r="AB52">
        <f t="shared" si="3"/>
        <v>1</v>
      </c>
      <c r="AC52">
        <f t="shared" si="4"/>
        <v>1</v>
      </c>
    </row>
    <row r="53" spans="1:29" x14ac:dyDescent="0.25">
      <c r="B53" s="151">
        <v>43041</v>
      </c>
      <c r="C53" t="s">
        <v>137</v>
      </c>
      <c r="D53">
        <v>40</v>
      </c>
      <c r="E53" t="s">
        <v>94</v>
      </c>
      <c r="F53">
        <v>15</v>
      </c>
      <c r="G53" t="s">
        <v>36</v>
      </c>
      <c r="H53" s="1">
        <f t="shared" si="2"/>
        <v>18.18181818181818</v>
      </c>
      <c r="I53" t="s">
        <v>119</v>
      </c>
      <c r="J53">
        <v>110</v>
      </c>
      <c r="K53">
        <v>2.2000000000000002</v>
      </c>
      <c r="AB53">
        <f t="shared" si="3"/>
        <v>1</v>
      </c>
      <c r="AC53">
        <f t="shared" si="4"/>
        <v>1</v>
      </c>
    </row>
    <row r="54" spans="1:29" x14ac:dyDescent="0.25">
      <c r="B54" s="151">
        <v>43052</v>
      </c>
      <c r="C54" t="s">
        <v>145</v>
      </c>
      <c r="D54">
        <v>31</v>
      </c>
      <c r="E54" t="s">
        <v>95</v>
      </c>
      <c r="F54" t="s">
        <v>95</v>
      </c>
      <c r="G54" t="s">
        <v>73</v>
      </c>
      <c r="H54" s="1">
        <f t="shared" si="2"/>
        <v>8.9855072463768106</v>
      </c>
      <c r="I54" t="s">
        <v>112</v>
      </c>
      <c r="J54">
        <v>112</v>
      </c>
      <c r="K54">
        <v>3.45</v>
      </c>
      <c r="M54">
        <v>106</v>
      </c>
      <c r="AB54">
        <f t="shared" si="3"/>
        <v>1</v>
      </c>
      <c r="AC54">
        <f t="shared" si="4"/>
        <v>1</v>
      </c>
    </row>
    <row r="55" spans="1:29" x14ac:dyDescent="0.25">
      <c r="B55" s="151">
        <v>43061</v>
      </c>
      <c r="C55" t="s">
        <v>143</v>
      </c>
      <c r="D55">
        <v>50</v>
      </c>
      <c r="E55" t="s">
        <v>95</v>
      </c>
      <c r="F55" t="s">
        <v>95</v>
      </c>
      <c r="G55" t="s">
        <v>55</v>
      </c>
      <c r="H55" s="1">
        <f t="shared" si="2"/>
        <v>13.888888888888889</v>
      </c>
      <c r="I55" t="s">
        <v>120</v>
      </c>
      <c r="J55">
        <v>126</v>
      </c>
      <c r="K55">
        <v>3.6</v>
      </c>
      <c r="AB55">
        <f t="shared" si="3"/>
        <v>1</v>
      </c>
      <c r="AC55">
        <f t="shared" si="4"/>
        <v>1</v>
      </c>
    </row>
    <row r="56" spans="1:29" x14ac:dyDescent="0.25">
      <c r="B56" s="151">
        <v>43067</v>
      </c>
      <c r="C56" t="s">
        <v>1247</v>
      </c>
      <c r="D56">
        <v>100</v>
      </c>
      <c r="E56" t="s">
        <v>94</v>
      </c>
      <c r="F56" t="s">
        <v>95</v>
      </c>
      <c r="G56" t="s">
        <v>51</v>
      </c>
      <c r="H56" s="1">
        <f t="shared" si="2"/>
        <v>28.985507246376809</v>
      </c>
      <c r="I56" t="s">
        <v>109</v>
      </c>
      <c r="J56">
        <v>126</v>
      </c>
      <c r="K56">
        <v>3.45</v>
      </c>
      <c r="AB56">
        <f t="shared" si="3"/>
        <v>1</v>
      </c>
      <c r="AC56">
        <f t="shared" si="4"/>
        <v>1</v>
      </c>
    </row>
    <row r="57" spans="1:29" x14ac:dyDescent="0.25">
      <c r="B57" s="151">
        <v>43068</v>
      </c>
      <c r="C57" t="s">
        <v>37</v>
      </c>
      <c r="D57">
        <v>86</v>
      </c>
      <c r="E57" t="s">
        <v>95</v>
      </c>
      <c r="F57" t="s">
        <v>95</v>
      </c>
      <c r="G57" t="s">
        <v>38</v>
      </c>
      <c r="H57" s="1">
        <f t="shared" si="2"/>
        <v>43</v>
      </c>
      <c r="I57" t="s">
        <v>110</v>
      </c>
      <c r="J57">
        <v>110</v>
      </c>
      <c r="K57">
        <v>2</v>
      </c>
      <c r="P57" t="s">
        <v>115</v>
      </c>
      <c r="Q57">
        <v>117</v>
      </c>
      <c r="R57">
        <v>3.45</v>
      </c>
      <c r="V57" t="s">
        <v>109</v>
      </c>
      <c r="AB57">
        <f t="shared" si="3"/>
        <v>1</v>
      </c>
      <c r="AC57">
        <f t="shared" si="4"/>
        <v>1</v>
      </c>
    </row>
    <row r="58" spans="1:29" x14ac:dyDescent="0.25">
      <c r="B58" s="151">
        <v>43069</v>
      </c>
      <c r="C58" t="s">
        <v>146</v>
      </c>
      <c r="D58">
        <v>53</v>
      </c>
      <c r="E58" t="s">
        <v>95</v>
      </c>
      <c r="F58" t="s">
        <v>95</v>
      </c>
      <c r="G58" t="s">
        <v>19</v>
      </c>
      <c r="H58" s="1">
        <f t="shared" si="2"/>
        <v>16.060606060606062</v>
      </c>
      <c r="I58" t="s">
        <v>111</v>
      </c>
      <c r="J58">
        <v>112</v>
      </c>
      <c r="K58">
        <v>3.3</v>
      </c>
      <c r="AB58">
        <f t="shared" si="3"/>
        <v>1</v>
      </c>
      <c r="AC58">
        <f t="shared" si="4"/>
        <v>1</v>
      </c>
    </row>
    <row r="59" spans="1:29" x14ac:dyDescent="0.25">
      <c r="B59" s="151">
        <v>43070</v>
      </c>
      <c r="C59" t="s">
        <v>1247</v>
      </c>
      <c r="D59">
        <v>70</v>
      </c>
      <c r="E59" t="s">
        <v>94</v>
      </c>
      <c r="F59" t="s">
        <v>95</v>
      </c>
      <c r="G59" t="s">
        <v>23</v>
      </c>
      <c r="H59" s="1">
        <f t="shared" si="2"/>
        <v>35</v>
      </c>
      <c r="I59" t="s">
        <v>110</v>
      </c>
      <c r="J59">
        <v>110</v>
      </c>
      <c r="K59">
        <v>2</v>
      </c>
      <c r="AB59">
        <f t="shared" si="3"/>
        <v>1</v>
      </c>
      <c r="AC59">
        <f t="shared" si="4"/>
        <v>1</v>
      </c>
    </row>
    <row r="60" spans="1:29" x14ac:dyDescent="0.25">
      <c r="B60" s="151">
        <v>43076</v>
      </c>
      <c r="C60" t="s">
        <v>142</v>
      </c>
      <c r="D60">
        <v>77</v>
      </c>
      <c r="E60" t="s">
        <v>93</v>
      </c>
      <c r="F60">
        <v>2</v>
      </c>
      <c r="G60" t="s">
        <v>18</v>
      </c>
      <c r="H60" s="1">
        <f t="shared" si="2"/>
        <v>35</v>
      </c>
      <c r="I60" t="s">
        <v>110</v>
      </c>
      <c r="J60">
        <v>110</v>
      </c>
      <c r="K60">
        <v>2.2000000000000002</v>
      </c>
      <c r="L60" t="s">
        <v>116</v>
      </c>
      <c r="M60">
        <v>137</v>
      </c>
      <c r="AB60">
        <f t="shared" si="3"/>
        <v>1</v>
      </c>
      <c r="AC60">
        <f t="shared" si="4"/>
        <v>1</v>
      </c>
    </row>
    <row r="61" spans="1:29" x14ac:dyDescent="0.25">
      <c r="B61" s="151">
        <v>43077</v>
      </c>
      <c r="C61" t="s">
        <v>1247</v>
      </c>
      <c r="D61">
        <v>40</v>
      </c>
      <c r="E61" t="s">
        <v>95</v>
      </c>
      <c r="F61" t="s">
        <v>95</v>
      </c>
      <c r="G61" t="s">
        <v>95</v>
      </c>
      <c r="H61" s="1"/>
      <c r="I61" t="s">
        <v>95</v>
      </c>
      <c r="AB61">
        <f t="shared" si="3"/>
        <v>0</v>
      </c>
      <c r="AC61">
        <f t="shared" si="4"/>
        <v>1</v>
      </c>
    </row>
    <row r="62" spans="1:29" x14ac:dyDescent="0.25">
      <c r="B62" s="151">
        <v>43082</v>
      </c>
      <c r="C62" t="s">
        <v>137</v>
      </c>
      <c r="D62">
        <v>250</v>
      </c>
      <c r="E62" t="s">
        <v>93</v>
      </c>
      <c r="F62">
        <v>10</v>
      </c>
      <c r="G62" t="s">
        <v>76</v>
      </c>
      <c r="H62" s="1">
        <f t="shared" si="2"/>
        <v>125</v>
      </c>
      <c r="I62" t="s">
        <v>110</v>
      </c>
      <c r="J62">
        <v>110</v>
      </c>
      <c r="K62">
        <v>2</v>
      </c>
      <c r="AB62">
        <f t="shared" si="3"/>
        <v>1</v>
      </c>
      <c r="AC62">
        <f t="shared" si="4"/>
        <v>1</v>
      </c>
    </row>
    <row r="63" spans="1:29" x14ac:dyDescent="0.25">
      <c r="B63" s="151">
        <v>43082</v>
      </c>
      <c r="C63" t="s">
        <v>139</v>
      </c>
      <c r="D63">
        <v>54</v>
      </c>
      <c r="E63" t="s">
        <v>95</v>
      </c>
      <c r="F63" t="s">
        <v>95</v>
      </c>
      <c r="G63" t="s">
        <v>77</v>
      </c>
      <c r="H63" s="1">
        <f t="shared" si="2"/>
        <v>15</v>
      </c>
      <c r="I63" t="s">
        <v>118</v>
      </c>
      <c r="J63">
        <v>136</v>
      </c>
      <c r="K63">
        <v>3.6</v>
      </c>
      <c r="AB63">
        <f t="shared" si="3"/>
        <v>1</v>
      </c>
      <c r="AC63">
        <f t="shared" si="4"/>
        <v>1</v>
      </c>
    </row>
    <row r="64" spans="1:29" x14ac:dyDescent="0.25">
      <c r="B64" s="151">
        <v>43083</v>
      </c>
      <c r="C64" t="s">
        <v>137</v>
      </c>
      <c r="D64">
        <v>40</v>
      </c>
      <c r="E64" t="s">
        <v>94</v>
      </c>
      <c r="F64">
        <v>15</v>
      </c>
      <c r="G64" t="s">
        <v>36</v>
      </c>
      <c r="H64" s="1">
        <f t="shared" si="2"/>
        <v>20</v>
      </c>
      <c r="I64" t="s">
        <v>110</v>
      </c>
      <c r="J64">
        <v>110</v>
      </c>
      <c r="K64">
        <v>2</v>
      </c>
      <c r="L64" t="s">
        <v>116</v>
      </c>
      <c r="AB64">
        <f t="shared" si="3"/>
        <v>1</v>
      </c>
      <c r="AC64">
        <f t="shared" si="4"/>
        <v>1</v>
      </c>
    </row>
    <row r="65" spans="2:29" x14ac:dyDescent="0.25">
      <c r="B65" s="151">
        <v>43084</v>
      </c>
      <c r="C65" t="s">
        <v>142</v>
      </c>
      <c r="D65">
        <v>51</v>
      </c>
      <c r="E65" t="s">
        <v>93</v>
      </c>
      <c r="F65" t="s">
        <v>95</v>
      </c>
      <c r="G65" t="s">
        <v>18</v>
      </c>
      <c r="H65" s="1">
        <f t="shared" si="2"/>
        <v>25.5</v>
      </c>
      <c r="I65" t="s">
        <v>110</v>
      </c>
      <c r="J65">
        <v>110</v>
      </c>
      <c r="K65">
        <v>2</v>
      </c>
      <c r="L65" t="s">
        <v>116</v>
      </c>
      <c r="AB65">
        <f t="shared" si="3"/>
        <v>1</v>
      </c>
      <c r="AC65">
        <f t="shared" si="4"/>
        <v>1</v>
      </c>
    </row>
    <row r="66" spans="2:29" x14ac:dyDescent="0.25">
      <c r="B66" s="151">
        <v>43087</v>
      </c>
      <c r="C66" t="s">
        <v>140</v>
      </c>
      <c r="D66">
        <v>357</v>
      </c>
      <c r="E66" t="s">
        <v>94</v>
      </c>
      <c r="F66">
        <v>20</v>
      </c>
      <c r="G66" t="s">
        <v>68</v>
      </c>
      <c r="H66" s="1">
        <f t="shared" si="2"/>
        <v>85</v>
      </c>
      <c r="I66" t="s">
        <v>121</v>
      </c>
      <c r="J66">
        <v>136</v>
      </c>
      <c r="K66">
        <v>4.2</v>
      </c>
      <c r="AB66">
        <f t="shared" si="3"/>
        <v>1</v>
      </c>
      <c r="AC66">
        <f t="shared" si="4"/>
        <v>1</v>
      </c>
    </row>
    <row r="67" spans="2:29" x14ac:dyDescent="0.25">
      <c r="B67" s="151">
        <v>43088</v>
      </c>
      <c r="C67" t="s">
        <v>138</v>
      </c>
      <c r="D67">
        <v>21</v>
      </c>
      <c r="E67" t="s">
        <v>94</v>
      </c>
      <c r="F67">
        <v>20</v>
      </c>
      <c r="G67" t="s">
        <v>64</v>
      </c>
      <c r="H67" s="1">
        <f t="shared" ref="H67:H91" si="5">D67/K67</f>
        <v>6.0869565217391299</v>
      </c>
      <c r="I67" t="s">
        <v>109</v>
      </c>
      <c r="J67">
        <v>126</v>
      </c>
      <c r="K67">
        <v>3.45</v>
      </c>
      <c r="AB67">
        <f t="shared" ref="AB67:AB91" si="6">COUNTIF($I$112:$I$142,I67)</f>
        <v>1</v>
      </c>
      <c r="AC67">
        <f t="shared" ref="AC67:AC91" si="7">COUNTIF($C$111:$C$142,C67)</f>
        <v>1</v>
      </c>
    </row>
    <row r="68" spans="2:29" x14ac:dyDescent="0.25">
      <c r="B68" s="151">
        <v>43088</v>
      </c>
      <c r="C68" t="s">
        <v>141</v>
      </c>
      <c r="D68">
        <v>53</v>
      </c>
      <c r="E68" t="s">
        <v>94</v>
      </c>
      <c r="F68">
        <v>10</v>
      </c>
      <c r="G68" t="s">
        <v>65</v>
      </c>
      <c r="H68" s="1">
        <f t="shared" si="5"/>
        <v>26.5</v>
      </c>
      <c r="I68" t="s">
        <v>110</v>
      </c>
      <c r="J68">
        <v>110</v>
      </c>
      <c r="K68">
        <v>2</v>
      </c>
      <c r="L68" t="s">
        <v>116</v>
      </c>
      <c r="AB68">
        <f t="shared" si="6"/>
        <v>1</v>
      </c>
      <c r="AC68">
        <f t="shared" si="7"/>
        <v>1</v>
      </c>
    </row>
    <row r="69" spans="2:29" x14ac:dyDescent="0.25">
      <c r="B69" s="151">
        <v>43090</v>
      </c>
      <c r="C69" t="s">
        <v>140</v>
      </c>
      <c r="D69">
        <v>49</v>
      </c>
      <c r="E69" t="s">
        <v>94</v>
      </c>
      <c r="F69">
        <v>25</v>
      </c>
      <c r="G69" t="s">
        <v>58</v>
      </c>
      <c r="H69" s="1">
        <f t="shared" si="5"/>
        <v>24.5</v>
      </c>
      <c r="I69" t="s">
        <v>110</v>
      </c>
      <c r="J69">
        <v>110</v>
      </c>
      <c r="K69">
        <v>2</v>
      </c>
      <c r="AB69">
        <f t="shared" si="6"/>
        <v>1</v>
      </c>
      <c r="AC69">
        <f t="shared" si="7"/>
        <v>1</v>
      </c>
    </row>
    <row r="70" spans="2:29" x14ac:dyDescent="0.25">
      <c r="B70" s="151">
        <v>43090</v>
      </c>
      <c r="C70" t="s">
        <v>59</v>
      </c>
      <c r="D70">
        <v>96</v>
      </c>
      <c r="E70" t="s">
        <v>94</v>
      </c>
      <c r="F70">
        <v>15</v>
      </c>
      <c r="G70" t="s">
        <v>60</v>
      </c>
      <c r="H70" s="1">
        <f t="shared" si="5"/>
        <v>27.826086956521738</v>
      </c>
      <c r="I70" t="s">
        <v>114</v>
      </c>
      <c r="J70">
        <v>105</v>
      </c>
      <c r="K70">
        <v>3.45</v>
      </c>
      <c r="AB70">
        <f t="shared" si="6"/>
        <v>1</v>
      </c>
      <c r="AC70">
        <f t="shared" si="7"/>
        <v>1</v>
      </c>
    </row>
    <row r="71" spans="2:29" x14ac:dyDescent="0.25">
      <c r="B71" s="151">
        <v>43091</v>
      </c>
      <c r="C71" t="s">
        <v>138</v>
      </c>
      <c r="D71">
        <v>28</v>
      </c>
      <c r="E71" t="s">
        <v>94</v>
      </c>
      <c r="F71">
        <v>20</v>
      </c>
      <c r="G71" t="s">
        <v>56</v>
      </c>
      <c r="H71" s="1">
        <f t="shared" si="5"/>
        <v>8.115942028985506</v>
      </c>
      <c r="I71" t="s">
        <v>108</v>
      </c>
      <c r="J71">
        <v>136</v>
      </c>
      <c r="K71">
        <v>3.45</v>
      </c>
      <c r="AB71">
        <f t="shared" si="6"/>
        <v>1</v>
      </c>
      <c r="AC71">
        <f t="shared" si="7"/>
        <v>1</v>
      </c>
    </row>
    <row r="72" spans="2:29" x14ac:dyDescent="0.25">
      <c r="B72" s="151">
        <v>43096</v>
      </c>
      <c r="C72" t="s">
        <v>145</v>
      </c>
      <c r="D72">
        <v>14</v>
      </c>
      <c r="E72" t="s">
        <v>93</v>
      </c>
      <c r="F72">
        <v>20</v>
      </c>
      <c r="G72" t="s">
        <v>54</v>
      </c>
      <c r="H72" s="1">
        <f t="shared" si="5"/>
        <v>4.057971014492753</v>
      </c>
      <c r="I72" t="s">
        <v>109</v>
      </c>
      <c r="J72">
        <v>126</v>
      </c>
      <c r="K72">
        <v>3.45</v>
      </c>
      <c r="M72">
        <v>117</v>
      </c>
      <c r="N72">
        <v>149</v>
      </c>
      <c r="AB72">
        <f t="shared" si="6"/>
        <v>1</v>
      </c>
      <c r="AC72">
        <f t="shared" si="7"/>
        <v>1</v>
      </c>
    </row>
    <row r="73" spans="2:29" x14ac:dyDescent="0.25">
      <c r="B73" s="151">
        <v>43096</v>
      </c>
      <c r="C73" t="s">
        <v>138</v>
      </c>
      <c r="D73">
        <v>22</v>
      </c>
      <c r="E73" t="s">
        <v>93</v>
      </c>
      <c r="F73" t="s">
        <v>95</v>
      </c>
      <c r="G73" t="s">
        <v>54</v>
      </c>
      <c r="H73" s="1">
        <f t="shared" si="5"/>
        <v>6.1111111111111107</v>
      </c>
      <c r="I73" t="s">
        <v>118</v>
      </c>
      <c r="J73">
        <v>136</v>
      </c>
      <c r="K73">
        <v>3.6</v>
      </c>
      <c r="AB73">
        <f t="shared" si="6"/>
        <v>1</v>
      </c>
      <c r="AC73">
        <f t="shared" si="7"/>
        <v>1</v>
      </c>
    </row>
    <row r="74" spans="2:29" x14ac:dyDescent="0.25">
      <c r="B74" s="151">
        <v>43096</v>
      </c>
      <c r="C74" t="s">
        <v>1247</v>
      </c>
      <c r="D74">
        <v>32</v>
      </c>
      <c r="E74" t="s">
        <v>95</v>
      </c>
      <c r="F74" t="s">
        <v>95</v>
      </c>
      <c r="G74" t="s">
        <v>95</v>
      </c>
      <c r="H74" s="1">
        <f t="shared" si="5"/>
        <v>16</v>
      </c>
      <c r="I74" t="s">
        <v>110</v>
      </c>
      <c r="J74">
        <v>110</v>
      </c>
      <c r="K74">
        <v>2</v>
      </c>
      <c r="AB74">
        <f t="shared" si="6"/>
        <v>1</v>
      </c>
      <c r="AC74">
        <f t="shared" si="7"/>
        <v>1</v>
      </c>
    </row>
    <row r="75" spans="2:29" x14ac:dyDescent="0.25">
      <c r="B75" s="151">
        <v>43096</v>
      </c>
      <c r="C75" t="s">
        <v>34</v>
      </c>
      <c r="D75">
        <v>118</v>
      </c>
      <c r="E75" t="s">
        <v>93</v>
      </c>
      <c r="F75">
        <v>20</v>
      </c>
      <c r="G75" t="s">
        <v>97</v>
      </c>
      <c r="H75" s="1">
        <f t="shared" si="5"/>
        <v>32.777777777777779</v>
      </c>
      <c r="I75" t="s">
        <v>108</v>
      </c>
      <c r="J75">
        <v>136</v>
      </c>
      <c r="K75">
        <v>3.6</v>
      </c>
      <c r="L75" t="s">
        <v>104</v>
      </c>
      <c r="O75">
        <v>27</v>
      </c>
      <c r="P75" t="s">
        <v>108</v>
      </c>
      <c r="Q75">
        <v>136</v>
      </c>
      <c r="R75">
        <v>3.45</v>
      </c>
      <c r="S75" t="s">
        <v>104</v>
      </c>
      <c r="AB75">
        <f t="shared" si="6"/>
        <v>1</v>
      </c>
      <c r="AC75">
        <f t="shared" si="7"/>
        <v>1</v>
      </c>
    </row>
    <row r="76" spans="2:29" x14ac:dyDescent="0.25">
      <c r="B76" s="151">
        <v>43097</v>
      </c>
      <c r="C76" t="s">
        <v>1247</v>
      </c>
      <c r="D76">
        <v>28</v>
      </c>
      <c r="E76" t="s">
        <v>95</v>
      </c>
      <c r="F76" t="s">
        <v>95</v>
      </c>
      <c r="G76" t="s">
        <v>95</v>
      </c>
      <c r="H76" s="1">
        <f t="shared" si="5"/>
        <v>7</v>
      </c>
      <c r="I76" t="s">
        <v>379</v>
      </c>
      <c r="K76">
        <v>4</v>
      </c>
      <c r="AB76">
        <f t="shared" si="6"/>
        <v>1</v>
      </c>
      <c r="AC76">
        <f t="shared" si="7"/>
        <v>1</v>
      </c>
    </row>
    <row r="77" spans="2:29" x14ac:dyDescent="0.25">
      <c r="B77" s="151">
        <v>43097</v>
      </c>
      <c r="C77" t="s">
        <v>1247</v>
      </c>
      <c r="D77">
        <v>20</v>
      </c>
      <c r="E77" t="s">
        <v>95</v>
      </c>
      <c r="F77" t="s">
        <v>95</v>
      </c>
      <c r="G77" t="s">
        <v>95</v>
      </c>
      <c r="H77" s="1">
        <f t="shared" si="5"/>
        <v>10</v>
      </c>
      <c r="I77" t="s">
        <v>92</v>
      </c>
      <c r="K77">
        <v>2</v>
      </c>
      <c r="AB77">
        <f t="shared" si="6"/>
        <v>1</v>
      </c>
      <c r="AC77">
        <f t="shared" si="7"/>
        <v>1</v>
      </c>
    </row>
    <row r="78" spans="2:29" x14ac:dyDescent="0.25">
      <c r="B78" s="151">
        <v>43098</v>
      </c>
      <c r="C78" t="s">
        <v>137</v>
      </c>
      <c r="D78">
        <v>96</v>
      </c>
      <c r="E78" t="s">
        <v>94</v>
      </c>
      <c r="F78">
        <v>15</v>
      </c>
      <c r="G78" t="s">
        <v>41</v>
      </c>
      <c r="H78" s="1">
        <f t="shared" si="5"/>
        <v>48</v>
      </c>
      <c r="I78" t="s">
        <v>113</v>
      </c>
      <c r="J78">
        <v>100</v>
      </c>
      <c r="K78">
        <v>2</v>
      </c>
      <c r="O78">
        <v>14</v>
      </c>
      <c r="P78" t="s">
        <v>110</v>
      </c>
      <c r="Q78">
        <v>110</v>
      </c>
      <c r="R78">
        <v>2</v>
      </c>
      <c r="AB78">
        <f t="shared" si="6"/>
        <v>1</v>
      </c>
      <c r="AC78">
        <f t="shared" si="7"/>
        <v>1</v>
      </c>
    </row>
    <row r="79" spans="2:29" x14ac:dyDescent="0.25">
      <c r="B79" s="151">
        <v>43098</v>
      </c>
      <c r="C79" t="s">
        <v>1247</v>
      </c>
      <c r="D79">
        <v>190</v>
      </c>
      <c r="E79" t="s">
        <v>95</v>
      </c>
      <c r="F79" t="s">
        <v>95</v>
      </c>
      <c r="G79" t="s">
        <v>95</v>
      </c>
      <c r="H79" s="1">
        <f t="shared" si="5"/>
        <v>47.5</v>
      </c>
      <c r="I79" t="s">
        <v>379</v>
      </c>
      <c r="K79">
        <v>4</v>
      </c>
      <c r="AB79">
        <f t="shared" si="6"/>
        <v>1</v>
      </c>
      <c r="AC79">
        <f t="shared" si="7"/>
        <v>1</v>
      </c>
    </row>
    <row r="80" spans="2:29" x14ac:dyDescent="0.25">
      <c r="B80" s="151">
        <v>43098</v>
      </c>
      <c r="C80" t="s">
        <v>1247</v>
      </c>
      <c r="D80">
        <v>29</v>
      </c>
      <c r="E80" t="s">
        <v>95</v>
      </c>
      <c r="F80" t="s">
        <v>95</v>
      </c>
      <c r="G80" t="s">
        <v>95</v>
      </c>
      <c r="H80" s="1">
        <f t="shared" si="5"/>
        <v>7.25</v>
      </c>
      <c r="I80" t="s">
        <v>379</v>
      </c>
      <c r="K80">
        <v>4</v>
      </c>
      <c r="AB80">
        <f t="shared" si="6"/>
        <v>1</v>
      </c>
      <c r="AC80">
        <f t="shared" si="7"/>
        <v>1</v>
      </c>
    </row>
    <row r="81" spans="1:29" x14ac:dyDescent="0.25">
      <c r="B81" s="151">
        <v>43098</v>
      </c>
      <c r="C81" t="s">
        <v>42</v>
      </c>
      <c r="D81">
        <v>32</v>
      </c>
      <c r="E81" t="s">
        <v>93</v>
      </c>
      <c r="F81">
        <v>15</v>
      </c>
      <c r="G81" t="s">
        <v>43</v>
      </c>
      <c r="H81" s="1">
        <f t="shared" si="5"/>
        <v>8.8888888888888893</v>
      </c>
      <c r="I81" t="s">
        <v>108</v>
      </c>
      <c r="J81">
        <v>136</v>
      </c>
      <c r="K81">
        <v>3.6</v>
      </c>
      <c r="L81" t="s">
        <v>104</v>
      </c>
      <c r="AB81">
        <f t="shared" si="6"/>
        <v>1</v>
      </c>
      <c r="AC81">
        <f t="shared" si="7"/>
        <v>1</v>
      </c>
    </row>
    <row r="82" spans="1:29" x14ac:dyDescent="0.25">
      <c r="B82" s="151">
        <v>43098</v>
      </c>
      <c r="C82" t="s">
        <v>27</v>
      </c>
      <c r="D82">
        <v>22</v>
      </c>
      <c r="E82" t="s">
        <v>94</v>
      </c>
      <c r="F82">
        <v>10</v>
      </c>
      <c r="G82" t="s">
        <v>44</v>
      </c>
      <c r="H82" s="1">
        <f t="shared" si="5"/>
        <v>6.1111111111111107</v>
      </c>
      <c r="I82" t="s">
        <v>115</v>
      </c>
      <c r="J82">
        <v>117</v>
      </c>
      <c r="K82">
        <v>3.6</v>
      </c>
      <c r="L82" t="s">
        <v>104</v>
      </c>
      <c r="AB82">
        <f t="shared" si="6"/>
        <v>1</v>
      </c>
      <c r="AC82">
        <f t="shared" si="7"/>
        <v>1</v>
      </c>
    </row>
    <row r="83" spans="1:29" x14ac:dyDescent="0.25">
      <c r="B83" s="151">
        <v>43098</v>
      </c>
      <c r="C83" t="s">
        <v>45</v>
      </c>
      <c r="D83">
        <v>300</v>
      </c>
      <c r="E83" t="s">
        <v>94</v>
      </c>
      <c r="F83" t="s">
        <v>95</v>
      </c>
      <c r="G83" t="s">
        <v>46</v>
      </c>
      <c r="H83" s="1">
        <f t="shared" si="5"/>
        <v>86.956521739130437</v>
      </c>
      <c r="I83" t="s">
        <v>108</v>
      </c>
      <c r="J83">
        <v>136</v>
      </c>
      <c r="K83">
        <v>3.45</v>
      </c>
      <c r="M83">
        <v>132</v>
      </c>
      <c r="AB83">
        <f t="shared" si="6"/>
        <v>1</v>
      </c>
      <c r="AC83">
        <f t="shared" si="7"/>
        <v>1</v>
      </c>
    </row>
    <row r="84" spans="1:29" x14ac:dyDescent="0.25">
      <c r="B84" s="151">
        <v>43098</v>
      </c>
      <c r="C84" t="s">
        <v>1247</v>
      </c>
      <c r="D84">
        <v>29</v>
      </c>
      <c r="E84" t="s">
        <v>95</v>
      </c>
      <c r="F84" t="s">
        <v>95</v>
      </c>
      <c r="G84" t="s">
        <v>95</v>
      </c>
      <c r="H84" s="1">
        <f t="shared" si="5"/>
        <v>7.25</v>
      </c>
      <c r="I84" t="s">
        <v>379</v>
      </c>
      <c r="K84">
        <v>4</v>
      </c>
      <c r="AB84">
        <f t="shared" si="6"/>
        <v>1</v>
      </c>
      <c r="AC84">
        <f t="shared" si="7"/>
        <v>1</v>
      </c>
    </row>
    <row r="85" spans="1:29" x14ac:dyDescent="0.25">
      <c r="B85" s="151">
        <v>43098</v>
      </c>
      <c r="C85" t="s">
        <v>1247</v>
      </c>
      <c r="D85">
        <v>66</v>
      </c>
      <c r="E85" t="s">
        <v>94</v>
      </c>
      <c r="F85">
        <v>5</v>
      </c>
      <c r="G85" t="s">
        <v>95</v>
      </c>
      <c r="H85" s="1">
        <f t="shared" si="5"/>
        <v>33</v>
      </c>
      <c r="I85" t="s">
        <v>122</v>
      </c>
      <c r="J85">
        <v>116</v>
      </c>
      <c r="K85">
        <v>2</v>
      </c>
      <c r="AB85">
        <f t="shared" si="6"/>
        <v>1</v>
      </c>
      <c r="AC85">
        <f t="shared" si="7"/>
        <v>1</v>
      </c>
    </row>
    <row r="86" spans="1:29" x14ac:dyDescent="0.25">
      <c r="B86" s="151">
        <v>43098</v>
      </c>
      <c r="C86" t="s">
        <v>1247</v>
      </c>
      <c r="D86">
        <v>184</v>
      </c>
      <c r="E86" t="s">
        <v>94</v>
      </c>
      <c r="F86">
        <v>5</v>
      </c>
      <c r="G86" t="s">
        <v>47</v>
      </c>
      <c r="H86" s="1">
        <f t="shared" si="5"/>
        <v>51.111111111111107</v>
      </c>
      <c r="I86" t="s">
        <v>108</v>
      </c>
      <c r="J86">
        <v>136</v>
      </c>
      <c r="K86">
        <v>3.6</v>
      </c>
      <c r="L86" t="s">
        <v>104</v>
      </c>
      <c r="AB86">
        <f t="shared" si="6"/>
        <v>1</v>
      </c>
      <c r="AC86">
        <f t="shared" si="7"/>
        <v>1</v>
      </c>
    </row>
    <row r="87" spans="1:29" x14ac:dyDescent="0.25">
      <c r="B87" s="151">
        <v>43098</v>
      </c>
      <c r="C87" t="s">
        <v>27</v>
      </c>
      <c r="D87">
        <v>50</v>
      </c>
      <c r="E87" t="s">
        <v>94</v>
      </c>
      <c r="F87">
        <v>15</v>
      </c>
      <c r="G87" t="s">
        <v>48</v>
      </c>
      <c r="H87" s="1">
        <f t="shared" si="5"/>
        <v>13.888888888888889</v>
      </c>
      <c r="I87" t="s">
        <v>109</v>
      </c>
      <c r="J87">
        <v>126</v>
      </c>
      <c r="K87">
        <v>3.6</v>
      </c>
      <c r="L87" t="s">
        <v>104</v>
      </c>
      <c r="AB87">
        <f t="shared" si="6"/>
        <v>1</v>
      </c>
      <c r="AC87">
        <f t="shared" si="7"/>
        <v>1</v>
      </c>
    </row>
    <row r="88" spans="1:29" x14ac:dyDescent="0.25">
      <c r="B88" s="151">
        <v>43098</v>
      </c>
      <c r="C88" t="s">
        <v>148</v>
      </c>
      <c r="D88">
        <v>28</v>
      </c>
      <c r="E88" t="s">
        <v>93</v>
      </c>
      <c r="F88">
        <v>10</v>
      </c>
      <c r="G88" t="s">
        <v>49</v>
      </c>
      <c r="H88" s="1">
        <f t="shared" si="5"/>
        <v>8.115942028985506</v>
      </c>
      <c r="I88" t="s">
        <v>115</v>
      </c>
      <c r="J88">
        <v>117</v>
      </c>
      <c r="K88">
        <v>3.45</v>
      </c>
      <c r="O88">
        <v>6</v>
      </c>
      <c r="P88" t="s">
        <v>109</v>
      </c>
      <c r="Q88">
        <v>126</v>
      </c>
      <c r="R88">
        <v>3.45</v>
      </c>
      <c r="AB88">
        <f t="shared" si="6"/>
        <v>1</v>
      </c>
      <c r="AC88">
        <f t="shared" si="7"/>
        <v>1</v>
      </c>
    </row>
    <row r="89" spans="1:29" x14ac:dyDescent="0.25">
      <c r="B89" s="151">
        <v>43098</v>
      </c>
      <c r="C89" t="s">
        <v>140</v>
      </c>
      <c r="D89">
        <v>279</v>
      </c>
      <c r="E89" t="s">
        <v>94</v>
      </c>
      <c r="F89">
        <v>17.5</v>
      </c>
      <c r="G89" t="s">
        <v>50</v>
      </c>
      <c r="H89" s="1">
        <f t="shared" si="5"/>
        <v>73.421052631578945</v>
      </c>
      <c r="I89" t="s">
        <v>108</v>
      </c>
      <c r="J89">
        <v>136</v>
      </c>
      <c r="K89">
        <v>3.8</v>
      </c>
      <c r="L89" t="s">
        <v>123</v>
      </c>
      <c r="O89">
        <v>13</v>
      </c>
      <c r="P89" t="s">
        <v>108</v>
      </c>
      <c r="Q89">
        <v>136</v>
      </c>
      <c r="R89">
        <v>3.45</v>
      </c>
      <c r="S89" t="s">
        <v>104</v>
      </c>
      <c r="AB89">
        <f t="shared" si="6"/>
        <v>1</v>
      </c>
      <c r="AC89">
        <f t="shared" si="7"/>
        <v>1</v>
      </c>
    </row>
    <row r="90" spans="1:29" x14ac:dyDescent="0.25">
      <c r="B90" s="151">
        <v>43098</v>
      </c>
      <c r="C90" t="s">
        <v>1247</v>
      </c>
      <c r="D90">
        <v>24</v>
      </c>
      <c r="E90" t="s">
        <v>95</v>
      </c>
      <c r="F90" t="s">
        <v>95</v>
      </c>
      <c r="G90" t="s">
        <v>95</v>
      </c>
      <c r="H90" s="1">
        <f t="shared" si="5"/>
        <v>6</v>
      </c>
      <c r="I90" t="s">
        <v>379</v>
      </c>
      <c r="K90">
        <v>4</v>
      </c>
      <c r="AB90">
        <f t="shared" si="6"/>
        <v>1</v>
      </c>
      <c r="AC90">
        <f t="shared" si="7"/>
        <v>1</v>
      </c>
    </row>
    <row r="91" spans="1:29" s="11" customFormat="1" x14ac:dyDescent="0.25">
      <c r="A91" s="11">
        <f>SUM(D50:D91)</f>
        <v>3361</v>
      </c>
      <c r="B91" s="152">
        <v>43098</v>
      </c>
      <c r="C91" s="11" t="s">
        <v>1247</v>
      </c>
      <c r="D91" s="11">
        <v>18</v>
      </c>
      <c r="E91" s="11" t="s">
        <v>95</v>
      </c>
      <c r="F91" s="11" t="s">
        <v>95</v>
      </c>
      <c r="G91" s="11" t="s">
        <v>95</v>
      </c>
      <c r="H91" s="28">
        <f t="shared" si="5"/>
        <v>4.5</v>
      </c>
      <c r="I91" s="11" t="s">
        <v>379</v>
      </c>
      <c r="K91" s="11">
        <v>4</v>
      </c>
      <c r="AB91">
        <f t="shared" si="6"/>
        <v>1</v>
      </c>
      <c r="AC91">
        <f t="shared" si="7"/>
        <v>1</v>
      </c>
    </row>
    <row r="92" spans="1:29" ht="15.75" thickBot="1" x14ac:dyDescent="0.3">
      <c r="B92" s="2"/>
      <c r="H92" s="1"/>
    </row>
    <row r="93" spans="1:29" x14ac:dyDescent="0.25">
      <c r="B93" s="72" t="s">
        <v>1573</v>
      </c>
      <c r="C93" s="73"/>
      <c r="D93" s="74"/>
      <c r="E93" s="74"/>
      <c r="H93" s="1"/>
    </row>
    <row r="94" spans="1:29" x14ac:dyDescent="0.25">
      <c r="B94" s="75" t="s">
        <v>1574</v>
      </c>
      <c r="D94" s="76">
        <v>1247</v>
      </c>
      <c r="E94" s="76"/>
      <c r="H94" s="1"/>
    </row>
    <row r="95" spans="1:29" x14ac:dyDescent="0.25">
      <c r="B95" s="77" t="s">
        <v>1575</v>
      </c>
      <c r="D95" s="76">
        <v>1072</v>
      </c>
      <c r="E95" s="76"/>
      <c r="H95" s="1"/>
    </row>
    <row r="96" spans="1:29" x14ac:dyDescent="0.25">
      <c r="B96" s="77" t="s">
        <v>1576</v>
      </c>
      <c r="D96" s="76">
        <v>697</v>
      </c>
      <c r="E96" s="76"/>
      <c r="H96" s="1"/>
    </row>
    <row r="97" spans="2:20" x14ac:dyDescent="0.25">
      <c r="B97" s="77" t="s">
        <v>1577</v>
      </c>
      <c r="D97" s="76">
        <v>1740</v>
      </c>
      <c r="E97" s="76"/>
      <c r="H97" s="1"/>
    </row>
    <row r="98" spans="2:20" ht="15.75" thickBot="1" x14ac:dyDescent="0.3">
      <c r="B98" s="82" t="s">
        <v>1163</v>
      </c>
      <c r="C98" s="60"/>
      <c r="D98" s="83">
        <f>SUM(D7:D97)</f>
        <v>12266</v>
      </c>
      <c r="E98" s="76"/>
      <c r="H98" s="1"/>
    </row>
    <row r="99" spans="2:20" ht="15.75" thickBot="1" x14ac:dyDescent="0.3">
      <c r="B99" s="88" t="s">
        <v>1625</v>
      </c>
      <c r="C99" s="60"/>
      <c r="D99" s="60">
        <f>SUM(D94:D97)</f>
        <v>4756</v>
      </c>
      <c r="E99" s="79">
        <f>D99/D98</f>
        <v>0.38773846404695905</v>
      </c>
      <c r="H99" s="1"/>
    </row>
    <row r="100" spans="2:20" x14ac:dyDescent="0.25">
      <c r="B100" s="2"/>
      <c r="H100" s="1"/>
    </row>
    <row r="102" spans="2:20" x14ac:dyDescent="0.25">
      <c r="C102" s="5" t="s">
        <v>150</v>
      </c>
      <c r="D102" s="6" t="s">
        <v>91</v>
      </c>
      <c r="E102" s="6" t="s">
        <v>130</v>
      </c>
      <c r="F102" s="6"/>
      <c r="G102" s="7" t="s">
        <v>395</v>
      </c>
      <c r="I102" s="13" t="s">
        <v>124</v>
      </c>
      <c r="J102" s="14"/>
      <c r="K102" s="14"/>
      <c r="L102" s="14" t="s">
        <v>135</v>
      </c>
      <c r="M102" s="14" t="s">
        <v>378</v>
      </c>
      <c r="N102" s="15" t="s">
        <v>130</v>
      </c>
      <c r="P102" s="13" t="s">
        <v>124</v>
      </c>
      <c r="Q102" s="14"/>
      <c r="R102" s="14"/>
      <c r="S102" s="14" t="s">
        <v>135</v>
      </c>
      <c r="T102" s="15" t="s">
        <v>378</v>
      </c>
    </row>
    <row r="103" spans="2:20" x14ac:dyDescent="0.25">
      <c r="C103" s="8" t="s">
        <v>129</v>
      </c>
      <c r="D103" s="1">
        <f>SUM(M103:M105,T103:T105)</f>
        <v>3155.570371911333</v>
      </c>
      <c r="E103">
        <f>SUM(D2:D97)</f>
        <v>13165</v>
      </c>
      <c r="G103" s="23">
        <f>E103/D103</f>
        <v>4.1719874534206447</v>
      </c>
      <c r="I103" s="8" t="s">
        <v>133</v>
      </c>
      <c r="L103">
        <f>COUNTIF(K2:K91,"&lt;3")</f>
        <v>34</v>
      </c>
      <c r="M103" s="1">
        <f>SUMIF(K2:K91,"&lt;3",H2:H91)</f>
        <v>1711.8636363636365</v>
      </c>
      <c r="N103" s="9">
        <f>SUMIF(K2:K91,"&lt;3",D2:D91)</f>
        <v>3457</v>
      </c>
      <c r="P103" s="8" t="s">
        <v>133</v>
      </c>
      <c r="S103">
        <f>COUNTIF(R2:R91,"&lt;3")</f>
        <v>2</v>
      </c>
      <c r="T103" s="9">
        <f>SUMIF(R2:R91,"&lt;3",O2:O91)</f>
        <v>18</v>
      </c>
    </row>
    <row r="104" spans="2:20" x14ac:dyDescent="0.25">
      <c r="C104" s="8" t="s">
        <v>125</v>
      </c>
      <c r="D104">
        <f>COUNT(D2:D91)</f>
        <v>90</v>
      </c>
      <c r="G104" s="9"/>
      <c r="I104" s="8" t="s">
        <v>132</v>
      </c>
      <c r="L104">
        <f>COUNTIF(K2:K91,"&lt;4")-L103</f>
        <v>48</v>
      </c>
      <c r="M104" s="1">
        <f>SUMIF(K2:K91,"&lt;4",H2:H91)-M103</f>
        <v>1212.2067355476966</v>
      </c>
      <c r="N104" s="9">
        <f>SUMIF(K2:K91,"&lt;4",D2:D91)-N103</f>
        <v>4237</v>
      </c>
      <c r="P104" s="8" t="s">
        <v>132</v>
      </c>
      <c r="S104">
        <f>COUNTIF(R2:R91,"&lt;4")-S103</f>
        <v>8</v>
      </c>
      <c r="T104" s="9">
        <f>SUMIF(R2:R91,"&lt;4",O2:O91)-T103</f>
        <v>49</v>
      </c>
    </row>
    <row r="105" spans="2:20" x14ac:dyDescent="0.25">
      <c r="C105" s="8" t="s">
        <v>386</v>
      </c>
      <c r="D105">
        <f>COUNTIF(E2:E91,"AOM5000")</f>
        <v>37</v>
      </c>
      <c r="E105">
        <f>SUMIF(E2:E91,"AOM5000",D2:D91)</f>
        <v>4551</v>
      </c>
      <c r="F105" t="s">
        <v>396</v>
      </c>
      <c r="G105" s="21">
        <f>AVERAGEIF(E2:E91,"AOM5000",F2:F91)</f>
        <v>13.916666666666666</v>
      </c>
      <c r="I105" s="8" t="s">
        <v>134</v>
      </c>
      <c r="L105">
        <f>COUNTIF(K2:K91,"&lt;5")-L104-L103</f>
        <v>7</v>
      </c>
      <c r="M105" s="1">
        <f>SUMIF(K2:K91,"&lt;5",H2:H91)-M104-M103</f>
        <v>164.5</v>
      </c>
      <c r="N105" s="9">
        <f>SUMIF(K2:K91,"&lt;5",D2:D91)-N104-N103</f>
        <v>675</v>
      </c>
      <c r="P105" s="8" t="s">
        <v>134</v>
      </c>
      <c r="S105">
        <f>COUNTIF(R2:R91,"&lt;5")-S104-S103</f>
        <v>0</v>
      </c>
      <c r="T105" s="9">
        <f>SUMIF(R2:R91,"&lt;5",O2:O91)-T104-T103</f>
        <v>0</v>
      </c>
    </row>
    <row r="106" spans="2:20" x14ac:dyDescent="0.25">
      <c r="C106" s="8" t="s">
        <v>387</v>
      </c>
      <c r="D106">
        <f>COUNTIF(E2:E91,"AOM4000")</f>
        <v>25</v>
      </c>
      <c r="E106">
        <f>SUMIF(E2:E91,"AOM4000",D2:D91)</f>
        <v>1785</v>
      </c>
      <c r="F106" t="s">
        <v>397</v>
      </c>
      <c r="G106" s="21">
        <f>AVERAGEIF(E2:E91,"AOM4000",F2:F91)</f>
        <v>11.375</v>
      </c>
      <c r="I106" s="8"/>
      <c r="N106" s="9"/>
      <c r="P106" s="8"/>
      <c r="T106" s="9"/>
    </row>
    <row r="107" spans="2:20" x14ac:dyDescent="0.25">
      <c r="C107" s="8" t="s">
        <v>390</v>
      </c>
      <c r="D107" s="18">
        <f>D105/(D106+D105)*100</f>
        <v>59.677419354838712</v>
      </c>
      <c r="E107" s="18">
        <f>E105/(E106+E105)*100</f>
        <v>71.827651515151516</v>
      </c>
      <c r="G107" s="9"/>
      <c r="I107" s="8"/>
      <c r="N107" s="9"/>
      <c r="P107" s="8"/>
      <c r="T107" s="9"/>
    </row>
    <row r="108" spans="2:20" x14ac:dyDescent="0.25">
      <c r="C108" s="16" t="s">
        <v>128</v>
      </c>
      <c r="D108" s="22">
        <f>D105/D104*100</f>
        <v>41.111111111111107</v>
      </c>
      <c r="E108" s="22">
        <f>E105/E103*100</f>
        <v>34.568932776300798</v>
      </c>
      <c r="F108" s="11"/>
      <c r="G108" s="12"/>
      <c r="I108" s="8" t="s">
        <v>136</v>
      </c>
      <c r="L108">
        <f>COUNTA(L2:L91)</f>
        <v>22</v>
      </c>
      <c r="N108" s="9"/>
      <c r="P108" s="8" t="s">
        <v>136</v>
      </c>
      <c r="S108">
        <f>COUNTA(S2:S91)</f>
        <v>2</v>
      </c>
      <c r="T108" s="9"/>
    </row>
    <row r="109" spans="2:20" x14ac:dyDescent="0.25">
      <c r="F109" t="s">
        <v>388</v>
      </c>
      <c r="I109" s="10"/>
      <c r="J109" s="11"/>
      <c r="K109" s="11"/>
      <c r="L109" s="11"/>
      <c r="M109" s="11"/>
      <c r="N109" s="12"/>
      <c r="P109" s="10"/>
      <c r="Q109" s="11"/>
      <c r="R109" s="11"/>
      <c r="S109" s="11"/>
      <c r="T109" s="12"/>
    </row>
    <row r="110" spans="2:20" x14ac:dyDescent="0.25">
      <c r="B110" t="s">
        <v>544</v>
      </c>
      <c r="C110" s="5" t="s">
        <v>149</v>
      </c>
      <c r="D110" s="6" t="s">
        <v>135</v>
      </c>
      <c r="E110" s="7" t="s">
        <v>130</v>
      </c>
      <c r="F110" s="5" t="s">
        <v>93</v>
      </c>
      <c r="G110" s="7" t="s">
        <v>94</v>
      </c>
    </row>
    <row r="111" spans="2:20" x14ac:dyDescent="0.25">
      <c r="B111" s="18">
        <f>E111/$E$103*100</f>
        <v>22.149639194834787</v>
      </c>
      <c r="C111" s="8" t="s">
        <v>1247</v>
      </c>
      <c r="D111">
        <f t="shared" ref="D111:D135" si="8">COUNTIF(C$2:C$91,C111)</f>
        <v>24</v>
      </c>
      <c r="E111" s="9">
        <f t="shared" ref="E111:E135" si="9">SUMIF(C$2:C$91,C111,D$2:D$91)</f>
        <v>2916</v>
      </c>
      <c r="F111" s="8">
        <f>SUMIFS($D$2:$D$91,$C$2:$C$91,C111,$E$2:$E$91,$F$110)</f>
        <v>200</v>
      </c>
      <c r="G111" s="9">
        <f>SUMIFS($D$2:$D$91,$C$2:$C$91,C111,$E$2:$E$91,$G$110)</f>
        <v>1510</v>
      </c>
      <c r="I111" s="5" t="s">
        <v>376</v>
      </c>
      <c r="J111" s="6"/>
      <c r="K111" s="6"/>
      <c r="L111" s="7" t="s">
        <v>377</v>
      </c>
    </row>
    <row r="112" spans="2:20" x14ac:dyDescent="0.25">
      <c r="B112" s="18">
        <f t="shared" ref="B112:B136" si="10">E112/$E$103*100</f>
        <v>5.7576908469426504</v>
      </c>
      <c r="C112" s="8" t="s">
        <v>142</v>
      </c>
      <c r="D112">
        <f t="shared" si="8"/>
        <v>11</v>
      </c>
      <c r="E112" s="9">
        <f t="shared" si="9"/>
        <v>758</v>
      </c>
      <c r="F112" s="8">
        <f t="shared" ref="F112:F135" si="11">SUMIFS($D$2:$D$91,$C$2:$C$91,C112,$E$2:$E$91,$F$110)</f>
        <v>428</v>
      </c>
      <c r="G112" s="9">
        <f t="shared" ref="G112:G135" si="12">SUMIFS($D$2:$D$91,$C$2:$C$91,C112,$E$2:$E$91,$G$110)</f>
        <v>0</v>
      </c>
      <c r="I112" s="8" t="s">
        <v>92</v>
      </c>
      <c r="L112" s="19">
        <f t="shared" ref="L112:L128" si="13">SUMIF(I$2:I$91,I112,H$2:H$91)+SUMIF(P$2:P$91,I112,O$2:O$91)</f>
        <v>175</v>
      </c>
    </row>
    <row r="113" spans="2:12" x14ac:dyDescent="0.25">
      <c r="B113" s="18">
        <f t="shared" si="10"/>
        <v>4.4208127611090013</v>
      </c>
      <c r="C113" s="8" t="s">
        <v>27</v>
      </c>
      <c r="D113">
        <f t="shared" si="8"/>
        <v>7</v>
      </c>
      <c r="E113" s="9">
        <f t="shared" si="9"/>
        <v>582</v>
      </c>
      <c r="F113" s="8">
        <f t="shared" si="11"/>
        <v>0</v>
      </c>
      <c r="G113" s="9">
        <f t="shared" si="12"/>
        <v>542</v>
      </c>
      <c r="I113" s="8" t="s">
        <v>113</v>
      </c>
      <c r="L113" s="19">
        <f t="shared" si="13"/>
        <v>72</v>
      </c>
    </row>
    <row r="114" spans="2:12" x14ac:dyDescent="0.25">
      <c r="B114" s="18">
        <f t="shared" si="10"/>
        <v>1.6635017090770983</v>
      </c>
      <c r="C114" s="8" t="s">
        <v>138</v>
      </c>
      <c r="D114">
        <f t="shared" si="8"/>
        <v>6</v>
      </c>
      <c r="E114" s="9">
        <f t="shared" si="9"/>
        <v>219</v>
      </c>
      <c r="F114" s="8">
        <f t="shared" si="11"/>
        <v>53</v>
      </c>
      <c r="G114" s="9">
        <f t="shared" si="12"/>
        <v>125</v>
      </c>
      <c r="I114" s="8" t="s">
        <v>114</v>
      </c>
      <c r="L114" s="19">
        <f t="shared" si="13"/>
        <v>31.714975845410628</v>
      </c>
    </row>
    <row r="115" spans="2:12" x14ac:dyDescent="0.25">
      <c r="B115" s="18">
        <f t="shared" si="10"/>
        <v>4.2992783896695785</v>
      </c>
      <c r="C115" s="8" t="s">
        <v>137</v>
      </c>
      <c r="D115">
        <f t="shared" si="8"/>
        <v>6</v>
      </c>
      <c r="E115" s="9">
        <f t="shared" si="9"/>
        <v>566</v>
      </c>
      <c r="F115" s="8">
        <f t="shared" si="11"/>
        <v>350</v>
      </c>
      <c r="G115" s="9">
        <f t="shared" si="12"/>
        <v>216</v>
      </c>
      <c r="I115" s="8" t="s">
        <v>110</v>
      </c>
      <c r="L115" s="19">
        <f t="shared" si="13"/>
        <v>1409.5</v>
      </c>
    </row>
    <row r="116" spans="2:12" x14ac:dyDescent="0.25">
      <c r="B116" s="18">
        <f t="shared" si="10"/>
        <v>8.2643372578807437</v>
      </c>
      <c r="C116" s="8" t="s">
        <v>140</v>
      </c>
      <c r="D116">
        <f t="shared" si="8"/>
        <v>5</v>
      </c>
      <c r="E116" s="9">
        <f t="shared" si="9"/>
        <v>1088</v>
      </c>
      <c r="F116" s="8">
        <f t="shared" si="11"/>
        <v>0</v>
      </c>
      <c r="G116" s="9">
        <f t="shared" si="12"/>
        <v>1088</v>
      </c>
      <c r="I116" s="8" t="s">
        <v>119</v>
      </c>
      <c r="L116" s="19">
        <f t="shared" si="13"/>
        <v>40.36363636363636</v>
      </c>
    </row>
    <row r="117" spans="2:12" x14ac:dyDescent="0.25">
      <c r="B117" s="18">
        <f t="shared" si="10"/>
        <v>0.84314470186099499</v>
      </c>
      <c r="C117" s="8" t="s">
        <v>145</v>
      </c>
      <c r="D117">
        <f t="shared" si="8"/>
        <v>4</v>
      </c>
      <c r="E117" s="9">
        <f t="shared" si="9"/>
        <v>111</v>
      </c>
      <c r="F117" s="8">
        <f t="shared" si="11"/>
        <v>47</v>
      </c>
      <c r="G117" s="9">
        <f t="shared" si="12"/>
        <v>0</v>
      </c>
      <c r="I117" s="8" t="s">
        <v>111</v>
      </c>
      <c r="L117" s="19">
        <f t="shared" si="13"/>
        <v>26.060606060606062</v>
      </c>
    </row>
    <row r="118" spans="2:12" x14ac:dyDescent="0.25">
      <c r="B118" s="18">
        <f t="shared" si="10"/>
        <v>1.2837067983289023</v>
      </c>
      <c r="C118" s="8" t="s">
        <v>146</v>
      </c>
      <c r="D118">
        <f t="shared" si="8"/>
        <v>4</v>
      </c>
      <c r="E118" s="9">
        <f t="shared" si="9"/>
        <v>169</v>
      </c>
      <c r="F118" s="8">
        <f t="shared" si="11"/>
        <v>38</v>
      </c>
      <c r="G118" s="9">
        <f t="shared" si="12"/>
        <v>40</v>
      </c>
      <c r="I118" s="8" t="s">
        <v>112</v>
      </c>
      <c r="L118" s="19">
        <f t="shared" si="13"/>
        <v>40.125603864734295</v>
      </c>
    </row>
    <row r="119" spans="2:12" x14ac:dyDescent="0.25">
      <c r="B119" s="18">
        <f t="shared" si="10"/>
        <v>1.2609191036840106</v>
      </c>
      <c r="C119" s="8" t="s">
        <v>148</v>
      </c>
      <c r="D119">
        <f t="shared" si="8"/>
        <v>3</v>
      </c>
      <c r="E119" s="9">
        <f t="shared" si="9"/>
        <v>166</v>
      </c>
      <c r="F119" s="8">
        <f t="shared" si="11"/>
        <v>166</v>
      </c>
      <c r="G119" s="9">
        <f t="shared" si="12"/>
        <v>0</v>
      </c>
      <c r="I119" s="8" t="s">
        <v>122</v>
      </c>
      <c r="L119" s="19">
        <f t="shared" si="13"/>
        <v>33</v>
      </c>
    </row>
    <row r="120" spans="2:12" x14ac:dyDescent="0.25">
      <c r="B120" s="18">
        <f t="shared" si="10"/>
        <v>4.8233953665020888</v>
      </c>
      <c r="C120" s="8" t="s">
        <v>34</v>
      </c>
      <c r="D120">
        <f t="shared" si="8"/>
        <v>3</v>
      </c>
      <c r="E120" s="9">
        <f t="shared" si="9"/>
        <v>635</v>
      </c>
      <c r="F120" s="8">
        <f t="shared" si="11"/>
        <v>118</v>
      </c>
      <c r="G120" s="9">
        <f t="shared" si="12"/>
        <v>517</v>
      </c>
      <c r="I120" s="8" t="s">
        <v>115</v>
      </c>
      <c r="L120" s="19">
        <f t="shared" si="13"/>
        <v>66.932367149758448</v>
      </c>
    </row>
    <row r="121" spans="2:12" x14ac:dyDescent="0.25">
      <c r="B121" s="18">
        <f t="shared" si="10"/>
        <v>0.73680212685150015</v>
      </c>
      <c r="C121" s="8" t="s">
        <v>144</v>
      </c>
      <c r="D121">
        <f t="shared" si="8"/>
        <v>2</v>
      </c>
      <c r="E121" s="9">
        <f t="shared" si="9"/>
        <v>97</v>
      </c>
      <c r="F121" s="8">
        <f t="shared" si="11"/>
        <v>97</v>
      </c>
      <c r="G121" s="9">
        <f t="shared" si="12"/>
        <v>0</v>
      </c>
      <c r="I121" s="8" t="s">
        <v>106</v>
      </c>
      <c r="L121" s="19">
        <f t="shared" si="13"/>
        <v>22.121212121212121</v>
      </c>
    </row>
    <row r="122" spans="2:12" x14ac:dyDescent="0.25">
      <c r="B122" s="18">
        <f t="shared" si="10"/>
        <v>0.78997341435624768</v>
      </c>
      <c r="C122" s="8" t="s">
        <v>139</v>
      </c>
      <c r="D122">
        <f t="shared" si="8"/>
        <v>2</v>
      </c>
      <c r="E122" s="9">
        <f t="shared" si="9"/>
        <v>104</v>
      </c>
      <c r="F122" s="8">
        <f t="shared" si="11"/>
        <v>0</v>
      </c>
      <c r="G122" s="9">
        <f t="shared" si="12"/>
        <v>50</v>
      </c>
      <c r="I122" s="8" t="s">
        <v>109</v>
      </c>
      <c r="L122" s="19">
        <f t="shared" si="13"/>
        <v>310.80676328502415</v>
      </c>
    </row>
    <row r="123" spans="2:12" x14ac:dyDescent="0.25">
      <c r="B123" s="18">
        <f t="shared" si="10"/>
        <v>0.40258260539308777</v>
      </c>
      <c r="C123" s="8" t="s">
        <v>141</v>
      </c>
      <c r="D123">
        <f t="shared" si="8"/>
        <v>1</v>
      </c>
      <c r="E123" s="9">
        <f t="shared" si="9"/>
        <v>53</v>
      </c>
      <c r="F123" s="8">
        <f t="shared" si="11"/>
        <v>0</v>
      </c>
      <c r="G123" s="9">
        <f t="shared" si="12"/>
        <v>53</v>
      </c>
      <c r="I123" s="8" t="s">
        <v>120</v>
      </c>
      <c r="L123" s="19">
        <f t="shared" si="13"/>
        <v>24.444444444444443</v>
      </c>
    </row>
    <row r="124" spans="2:12" x14ac:dyDescent="0.25">
      <c r="B124" s="18">
        <f t="shared" si="10"/>
        <v>2.2787694644891761</v>
      </c>
      <c r="C124" s="8" t="s">
        <v>45</v>
      </c>
      <c r="D124">
        <f t="shared" si="8"/>
        <v>1</v>
      </c>
      <c r="E124" s="9">
        <f t="shared" si="9"/>
        <v>300</v>
      </c>
      <c r="F124" s="8">
        <f t="shared" si="11"/>
        <v>0</v>
      </c>
      <c r="G124" s="9">
        <f t="shared" si="12"/>
        <v>300</v>
      </c>
      <c r="I124" s="8" t="s">
        <v>117</v>
      </c>
      <c r="L124" s="19">
        <f t="shared" si="13"/>
        <v>60</v>
      </c>
    </row>
    <row r="125" spans="2:12" x14ac:dyDescent="0.25">
      <c r="B125" s="18">
        <f t="shared" si="10"/>
        <v>0.24306874287884545</v>
      </c>
      <c r="C125" s="8" t="s">
        <v>42</v>
      </c>
      <c r="D125">
        <f t="shared" si="8"/>
        <v>1</v>
      </c>
      <c r="E125" s="9">
        <f t="shared" si="9"/>
        <v>32</v>
      </c>
      <c r="F125" s="8">
        <f t="shared" si="11"/>
        <v>32</v>
      </c>
      <c r="G125" s="9">
        <f t="shared" si="12"/>
        <v>0</v>
      </c>
      <c r="I125" s="8" t="s">
        <v>108</v>
      </c>
      <c r="L125" s="19">
        <f t="shared" si="13"/>
        <v>634.83409610983983</v>
      </c>
    </row>
    <row r="126" spans="2:12" x14ac:dyDescent="0.25">
      <c r="B126" s="18">
        <f t="shared" si="10"/>
        <v>0.36460311431826814</v>
      </c>
      <c r="C126" s="8" t="s">
        <v>66</v>
      </c>
      <c r="D126">
        <f t="shared" si="8"/>
        <v>1</v>
      </c>
      <c r="E126" s="9">
        <f t="shared" si="9"/>
        <v>48</v>
      </c>
      <c r="F126" s="8">
        <f t="shared" si="11"/>
        <v>0</v>
      </c>
      <c r="G126" s="9">
        <f t="shared" si="12"/>
        <v>0</v>
      </c>
      <c r="I126" s="8" t="s">
        <v>118</v>
      </c>
      <c r="L126" s="19">
        <f t="shared" si="13"/>
        <v>44.166666666666671</v>
      </c>
    </row>
    <row r="127" spans="2:12" x14ac:dyDescent="0.25">
      <c r="B127" s="18">
        <f t="shared" si="10"/>
        <v>0.16710976072920622</v>
      </c>
      <c r="C127" s="8" t="s">
        <v>74</v>
      </c>
      <c r="D127">
        <f t="shared" si="8"/>
        <v>1</v>
      </c>
      <c r="E127" s="9">
        <f t="shared" si="9"/>
        <v>22</v>
      </c>
      <c r="F127" s="8">
        <f t="shared" si="11"/>
        <v>0</v>
      </c>
      <c r="G127" s="9">
        <f t="shared" si="12"/>
        <v>0</v>
      </c>
      <c r="I127" s="8" t="s">
        <v>121</v>
      </c>
      <c r="L127" s="19">
        <f t="shared" si="13"/>
        <v>85</v>
      </c>
    </row>
    <row r="128" spans="2:12" x14ac:dyDescent="0.25">
      <c r="B128" s="18">
        <f t="shared" si="10"/>
        <v>0.10634257500949489</v>
      </c>
      <c r="C128" s="8" t="s">
        <v>24</v>
      </c>
      <c r="D128">
        <f t="shared" si="8"/>
        <v>1</v>
      </c>
      <c r="E128" s="9">
        <f t="shared" si="9"/>
        <v>14</v>
      </c>
      <c r="F128" s="8">
        <f t="shared" si="11"/>
        <v>0</v>
      </c>
      <c r="G128" s="9">
        <f t="shared" si="12"/>
        <v>14</v>
      </c>
      <c r="I128" s="10" t="s">
        <v>379</v>
      </c>
      <c r="J128" s="11"/>
      <c r="K128" s="11"/>
      <c r="L128" s="20">
        <f t="shared" si="13"/>
        <v>79.5</v>
      </c>
    </row>
    <row r="129" spans="2:12" x14ac:dyDescent="0.25">
      <c r="B129" s="18">
        <f t="shared" si="10"/>
        <v>0.41777440182301556</v>
      </c>
      <c r="C129" s="8" t="s">
        <v>16</v>
      </c>
      <c r="D129">
        <f t="shared" si="8"/>
        <v>1</v>
      </c>
      <c r="E129" s="9">
        <f t="shared" si="9"/>
        <v>55</v>
      </c>
      <c r="F129" s="8">
        <f t="shared" si="11"/>
        <v>55</v>
      </c>
      <c r="G129" s="9">
        <f t="shared" si="12"/>
        <v>0</v>
      </c>
    </row>
    <row r="130" spans="2:12" x14ac:dyDescent="0.25">
      <c r="B130" s="18">
        <f t="shared" si="10"/>
        <v>0.37979491074819599</v>
      </c>
      <c r="C130" s="8" t="s">
        <v>143</v>
      </c>
      <c r="D130">
        <f t="shared" si="8"/>
        <v>1</v>
      </c>
      <c r="E130" s="9">
        <f t="shared" si="9"/>
        <v>50</v>
      </c>
      <c r="F130" s="8">
        <f t="shared" si="11"/>
        <v>0</v>
      </c>
      <c r="G130" s="9">
        <f t="shared" si="12"/>
        <v>0</v>
      </c>
      <c r="I130" t="s">
        <v>5</v>
      </c>
    </row>
    <row r="131" spans="2:12" x14ac:dyDescent="0.25">
      <c r="B131" s="18">
        <f t="shared" si="10"/>
        <v>0.15951386251424232</v>
      </c>
      <c r="C131" s="8" t="s">
        <v>147</v>
      </c>
      <c r="D131">
        <f t="shared" si="8"/>
        <v>1</v>
      </c>
      <c r="E131" s="9">
        <f t="shared" si="9"/>
        <v>21</v>
      </c>
      <c r="F131" s="8">
        <f t="shared" si="11"/>
        <v>21</v>
      </c>
      <c r="G131" s="9">
        <f t="shared" si="12"/>
        <v>0</v>
      </c>
      <c r="I131" t="s">
        <v>1164</v>
      </c>
      <c r="L131">
        <f>A14</f>
        <v>1353</v>
      </c>
    </row>
    <row r="132" spans="2:12" x14ac:dyDescent="0.25">
      <c r="B132" s="18">
        <f t="shared" si="10"/>
        <v>0.65324724648689703</v>
      </c>
      <c r="C132" s="8" t="s">
        <v>37</v>
      </c>
      <c r="D132">
        <f t="shared" si="8"/>
        <v>1</v>
      </c>
      <c r="E132" s="9">
        <f t="shared" si="9"/>
        <v>86</v>
      </c>
      <c r="F132" s="8">
        <f t="shared" si="11"/>
        <v>0</v>
      </c>
      <c r="G132" s="9">
        <f t="shared" si="12"/>
        <v>0</v>
      </c>
      <c r="I132" t="s">
        <v>1165</v>
      </c>
      <c r="L132">
        <f>A33</f>
        <v>1956</v>
      </c>
    </row>
    <row r="133" spans="2:12" x14ac:dyDescent="0.25">
      <c r="B133" s="18">
        <f t="shared" si="10"/>
        <v>1.3672616786935055</v>
      </c>
      <c r="C133" s="8" t="s">
        <v>61</v>
      </c>
      <c r="D133">
        <f t="shared" si="8"/>
        <v>1</v>
      </c>
      <c r="E133" s="9">
        <f t="shared" si="9"/>
        <v>180</v>
      </c>
      <c r="F133" s="8">
        <f t="shared" si="11"/>
        <v>180</v>
      </c>
      <c r="G133" s="9">
        <f t="shared" si="12"/>
        <v>0</v>
      </c>
      <c r="I133" t="s">
        <v>1166</v>
      </c>
      <c r="L133">
        <f>A49</f>
        <v>1739</v>
      </c>
    </row>
    <row r="134" spans="2:12" x14ac:dyDescent="0.25">
      <c r="B134" s="18">
        <f t="shared" si="10"/>
        <v>0.31143182681352066</v>
      </c>
      <c r="C134" s="8" t="s">
        <v>69</v>
      </c>
      <c r="D134">
        <f t="shared" si="8"/>
        <v>1</v>
      </c>
      <c r="E134" s="9">
        <f t="shared" si="9"/>
        <v>41</v>
      </c>
      <c r="F134" s="8">
        <f t="shared" si="11"/>
        <v>0</v>
      </c>
      <c r="G134" s="9">
        <f t="shared" si="12"/>
        <v>0</v>
      </c>
      <c r="I134" t="s">
        <v>1167</v>
      </c>
      <c r="L134">
        <f>A91</f>
        <v>3361</v>
      </c>
    </row>
    <row r="135" spans="2:12" x14ac:dyDescent="0.25">
      <c r="B135" s="18">
        <f t="shared" si="10"/>
        <v>0.72920622863653628</v>
      </c>
      <c r="C135" s="10" t="s">
        <v>59</v>
      </c>
      <c r="D135" s="11">
        <f t="shared" si="8"/>
        <v>1</v>
      </c>
      <c r="E135" s="12">
        <f t="shared" si="9"/>
        <v>96</v>
      </c>
      <c r="F135" s="10">
        <f t="shared" si="11"/>
        <v>0</v>
      </c>
      <c r="G135" s="12">
        <f t="shared" si="12"/>
        <v>96</v>
      </c>
    </row>
    <row r="136" spans="2:12" x14ac:dyDescent="0.25">
      <c r="B136" s="18">
        <f t="shared" si="10"/>
        <v>63.873908089631605</v>
      </c>
      <c r="E136" s="9">
        <f>SUM(E111:E135)</f>
        <v>8409</v>
      </c>
      <c r="F136" s="13">
        <f>SUM(F111:F135)</f>
        <v>1785</v>
      </c>
      <c r="G136" s="15">
        <f>SUM(G111:G135)</f>
        <v>4551</v>
      </c>
    </row>
    <row r="137" spans="2:12" x14ac:dyDescent="0.25">
      <c r="B137" s="18"/>
      <c r="F137" s="10" t="s">
        <v>389</v>
      </c>
      <c r="G137" s="12">
        <f>E103-F136-G136</f>
        <v>6829</v>
      </c>
    </row>
    <row r="139" spans="2:12" x14ac:dyDescent="0.25">
      <c r="C139" s="13"/>
      <c r="D139" s="14" t="s">
        <v>93</v>
      </c>
      <c r="E139" s="15" t="s">
        <v>94</v>
      </c>
    </row>
    <row r="140" spans="2:12" x14ac:dyDescent="0.25">
      <c r="C140" s="8" t="s">
        <v>402</v>
      </c>
      <c r="D140">
        <f>SUMIFS($D$2:$D$91,$E$2:$E$91,D$139,$F$2:$F$91,"&lt;5.1")</f>
        <v>297</v>
      </c>
      <c r="E140" s="9">
        <f>SUMIFS($D$2:$D$91,$E$2:$E$91,E$139,$F$2:$F$91,"&lt;5.1")</f>
        <v>726</v>
      </c>
      <c r="F140" s="3"/>
      <c r="G140" s="3"/>
    </row>
    <row r="141" spans="2:12" x14ac:dyDescent="0.25">
      <c r="C141" s="29" t="s">
        <v>403</v>
      </c>
      <c r="D141">
        <f>SUMIFS($D$2:$D$91,$E$2:$E$91,D$139,$F$2:$F$91,"&lt;10.1")-D140</f>
        <v>447</v>
      </c>
      <c r="E141" s="9">
        <f>SUMIFS($D$2:$D$91,$E$2:$E$91,E$139,$F$2:$F$91,"&lt;10.1")-E140</f>
        <v>765</v>
      </c>
      <c r="G141" s="18"/>
    </row>
    <row r="142" spans="2:12" x14ac:dyDescent="0.25">
      <c r="C142" s="29" t="s">
        <v>404</v>
      </c>
      <c r="D142">
        <f>SUMIFS($D$2:$D$91,$E$2:$E$91,D$139,$F$2:$F$91,"&lt;15.1")-D141-D140</f>
        <v>310</v>
      </c>
      <c r="E142" s="9">
        <f>SUMIFS($D$2:$D$91,$E$2:$E$91,E$139,$F$2:$F$91,"&lt;15.1")-E141-E140</f>
        <v>966</v>
      </c>
    </row>
    <row r="143" spans="2:12" x14ac:dyDescent="0.25">
      <c r="C143" s="29" t="s">
        <v>102</v>
      </c>
      <c r="D143">
        <f>SUMIFS($D$2:$D$91,$E$2:$E$91,D$139,$F$2:$F$91,"&lt;20.1")-D142-D141-D140</f>
        <v>255</v>
      </c>
      <c r="E143" s="9">
        <f>SUMIFS($D$2:$D$91,$E$2:$E$91,E$139,$F$2:$F$91,"&lt;20.1")-E142-E141-E140</f>
        <v>1236</v>
      </c>
      <c r="G143" s="18"/>
    </row>
    <row r="144" spans="2:12" x14ac:dyDescent="0.25">
      <c r="C144" s="8" t="s">
        <v>405</v>
      </c>
      <c r="D144">
        <f>SUMIFS($D$2:$D$91,$E$2:$E$91,D$139,$F$2:$F$91,"&lt;40.1")-D143-D142-D141-D140</f>
        <v>54</v>
      </c>
      <c r="E144" s="9">
        <f>SUMIFS($D$2:$D$91,$E$2:$E$91,E$139,$F$2:$F$91,"&lt;40.1")-E143-E142-E141-E140</f>
        <v>49</v>
      </c>
      <c r="G144" s="18"/>
    </row>
    <row r="145" spans="2:7" x14ac:dyDescent="0.25">
      <c r="C145" s="10" t="s">
        <v>406</v>
      </c>
      <c r="D145" s="11">
        <f>E106-SUM(D140:D144)</f>
        <v>422</v>
      </c>
      <c r="E145" s="12">
        <f>E105-SUM(E140:E144)</f>
        <v>809</v>
      </c>
    </row>
    <row r="146" spans="2:7" x14ac:dyDescent="0.25">
      <c r="C146" s="25"/>
      <c r="D146" s="18"/>
      <c r="E146" s="18"/>
    </row>
    <row r="147" spans="2:7" x14ac:dyDescent="0.25">
      <c r="B147" t="s">
        <v>548</v>
      </c>
      <c r="D147" t="s">
        <v>549</v>
      </c>
      <c r="E147" t="s">
        <v>550</v>
      </c>
      <c r="F147" t="s">
        <v>551</v>
      </c>
      <c r="G147" t="s">
        <v>552</v>
      </c>
    </row>
    <row r="148" spans="2:7" x14ac:dyDescent="0.25">
      <c r="C148" s="13" t="s">
        <v>545</v>
      </c>
      <c r="D148" s="14">
        <v>2017</v>
      </c>
      <c r="E148" s="14">
        <v>2016</v>
      </c>
      <c r="F148" s="14">
        <v>2015</v>
      </c>
      <c r="G148" s="15">
        <v>2014</v>
      </c>
    </row>
    <row r="149" spans="2:7" x14ac:dyDescent="0.25">
      <c r="C149" s="8" t="s">
        <v>547</v>
      </c>
      <c r="D149">
        <v>1.3</v>
      </c>
      <c r="E149">
        <v>2.7</v>
      </c>
      <c r="F149">
        <v>4.3</v>
      </c>
      <c r="G149" s="9">
        <v>0.2</v>
      </c>
    </row>
    <row r="150" spans="2:7" x14ac:dyDescent="0.25">
      <c r="C150" s="8" t="s">
        <v>546</v>
      </c>
      <c r="D150">
        <v>3.4</v>
      </c>
      <c r="E150">
        <v>4.2</v>
      </c>
      <c r="F150">
        <v>6.4</v>
      </c>
      <c r="G150" s="9">
        <v>1.3</v>
      </c>
    </row>
    <row r="151" spans="2:7" x14ac:dyDescent="0.25">
      <c r="C151" s="8" t="s">
        <v>93</v>
      </c>
      <c r="D151">
        <v>33.700000000000003</v>
      </c>
      <c r="E151">
        <v>47</v>
      </c>
      <c r="F151">
        <v>42.3</v>
      </c>
      <c r="G151" s="9">
        <v>40.9</v>
      </c>
    </row>
    <row r="152" spans="2:7" x14ac:dyDescent="0.25">
      <c r="C152" s="10" t="s">
        <v>94</v>
      </c>
      <c r="D152" s="11">
        <v>61.6</v>
      </c>
      <c r="E152" s="11">
        <v>46.1</v>
      </c>
      <c r="F152" s="11">
        <v>47</v>
      </c>
      <c r="G152" s="12">
        <v>57.6</v>
      </c>
    </row>
    <row r="154" spans="2:7" x14ac:dyDescent="0.25">
      <c r="C154" t="s">
        <v>395</v>
      </c>
      <c r="E154" s="24">
        <f>AVERAGE(F2:F90)</f>
        <v>13.018867924528301</v>
      </c>
    </row>
    <row r="155" spans="2:7" x14ac:dyDescent="0.25">
      <c r="C155" t="s">
        <v>1489</v>
      </c>
      <c r="E155" s="24">
        <f>SUMPRODUCT(F2:F101,D2:D101)/SUM(D2:D101)</f>
        <v>2.3568754761983635</v>
      </c>
    </row>
  </sheetData>
  <sortState xmlns:xlrd2="http://schemas.microsoft.com/office/spreadsheetml/2017/richdata2" ref="I112:L134">
    <sortCondition ref="I112:I134"/>
  </sortState>
  <pageMargins left="0.7" right="0.7" top="0.75" bottom="0.75" header="0.3" footer="0.3"/>
  <pageSetup paperSize="9" orientation="portrait" r:id="rId1"/>
  <headerFooter>
    <oddFooter>&amp;L&amp;1#&amp;"Arial"&amp;8&amp;KD5DAD9</oddFoot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25"/>
  <sheetViews>
    <sheetView topLeftCell="A9" zoomScale="70" zoomScaleNormal="70" workbookViewId="0">
      <selection activeCell="B2" sqref="B2:V73"/>
    </sheetView>
  </sheetViews>
  <sheetFormatPr defaultRowHeight="15" x14ac:dyDescent="0.25"/>
  <cols>
    <col min="2" max="9" width="13.7109375" customWidth="1"/>
    <col min="10" max="10" width="1.7109375" customWidth="1"/>
    <col min="11" max="11" width="2.140625" customWidth="1"/>
    <col min="12" max="13" width="12" bestFit="1" customWidth="1"/>
    <col min="14" max="14" width="12" customWidth="1"/>
    <col min="15" max="15" width="4.140625" customWidth="1"/>
    <col min="16" max="16" width="15.140625" customWidth="1"/>
    <col min="17" max="17" width="2.7109375" customWidth="1"/>
    <col min="18" max="18" width="3" customWidth="1"/>
    <col min="19" max="20" width="12" bestFit="1" customWidth="1"/>
    <col min="21" max="21" width="4.42578125" customWidth="1"/>
    <col min="22" max="22" width="13.28515625" bestFit="1" customWidth="1"/>
    <col min="23" max="24" width="12" bestFit="1" customWidth="1"/>
  </cols>
  <sheetData>
    <row r="1" spans="1:29" x14ac:dyDescent="0.25">
      <c r="B1" s="5" t="s">
        <v>86</v>
      </c>
      <c r="C1" s="6" t="s">
        <v>87</v>
      </c>
      <c r="D1" s="6" t="s">
        <v>88</v>
      </c>
      <c r="E1" s="6" t="s">
        <v>98</v>
      </c>
      <c r="F1" s="6" t="s">
        <v>100</v>
      </c>
      <c r="G1" s="6" t="s">
        <v>89</v>
      </c>
      <c r="H1" s="6" t="s">
        <v>91</v>
      </c>
      <c r="I1" s="6" t="s">
        <v>90</v>
      </c>
      <c r="J1" s="6" t="s">
        <v>131</v>
      </c>
      <c r="K1" s="6" t="s">
        <v>130</v>
      </c>
      <c r="L1" s="6" t="s">
        <v>103</v>
      </c>
      <c r="M1" s="6" t="s">
        <v>101</v>
      </c>
      <c r="N1" s="6" t="s">
        <v>107</v>
      </c>
      <c r="O1" s="6" t="s">
        <v>91</v>
      </c>
      <c r="P1" s="6" t="s">
        <v>105</v>
      </c>
      <c r="Q1" s="6" t="s">
        <v>131</v>
      </c>
      <c r="R1" s="6" t="s">
        <v>130</v>
      </c>
      <c r="S1" s="6" t="s">
        <v>103</v>
      </c>
      <c r="T1" s="6" t="s">
        <v>101</v>
      </c>
      <c r="U1" s="6" t="s">
        <v>91</v>
      </c>
      <c r="V1" s="6" t="s">
        <v>105</v>
      </c>
      <c r="W1" s="6" t="s">
        <v>103</v>
      </c>
      <c r="X1" s="7" t="s">
        <v>101</v>
      </c>
      <c r="AB1" s="3" t="s">
        <v>682</v>
      </c>
      <c r="AC1" t="s">
        <v>683</v>
      </c>
    </row>
    <row r="2" spans="1:29" x14ac:dyDescent="0.25">
      <c r="B2" s="8" t="s">
        <v>151</v>
      </c>
      <c r="C2" t="s">
        <v>161</v>
      </c>
      <c r="D2">
        <v>56</v>
      </c>
      <c r="E2" t="s">
        <v>94</v>
      </c>
      <c r="F2">
        <v>15</v>
      </c>
      <c r="G2" t="s">
        <v>209</v>
      </c>
      <c r="H2" s="1">
        <v>18</v>
      </c>
      <c r="I2" t="s">
        <v>113</v>
      </c>
      <c r="J2">
        <v>100</v>
      </c>
      <c r="K2">
        <v>2</v>
      </c>
      <c r="O2">
        <v>10</v>
      </c>
      <c r="P2" t="s">
        <v>110</v>
      </c>
      <c r="R2">
        <v>2</v>
      </c>
      <c r="X2" s="9"/>
      <c r="AB2">
        <f>COUNTIF($I$87:$I$117,I2)</f>
        <v>1</v>
      </c>
      <c r="AC2">
        <f>COUNTIF($C$86:$C$117,C2)</f>
        <v>1</v>
      </c>
    </row>
    <row r="3" spans="1:29" x14ac:dyDescent="0.25">
      <c r="B3" s="8" t="s">
        <v>152</v>
      </c>
      <c r="C3" t="s">
        <v>140</v>
      </c>
      <c r="D3">
        <v>26</v>
      </c>
      <c r="E3" t="s">
        <v>94</v>
      </c>
      <c r="F3">
        <v>5</v>
      </c>
      <c r="G3" t="s">
        <v>210</v>
      </c>
      <c r="H3" s="1">
        <f t="shared" ref="H3:H66" si="0">D3/K3</f>
        <v>7.8787878787878789</v>
      </c>
      <c r="I3" t="s">
        <v>106</v>
      </c>
      <c r="J3">
        <v>126</v>
      </c>
      <c r="K3">
        <v>3.3</v>
      </c>
      <c r="X3" s="9"/>
      <c r="AB3">
        <f t="shared" ref="AB3:AB66" si="1">COUNTIF($I$87:$I$117,I3)</f>
        <v>1</v>
      </c>
      <c r="AC3">
        <f t="shared" ref="AC3:AC66" si="2">COUNTIF($C$86:$C$117,C3)</f>
        <v>1</v>
      </c>
    </row>
    <row r="4" spans="1:29" x14ac:dyDescent="0.25">
      <c r="B4" s="8" t="s">
        <v>153</v>
      </c>
      <c r="C4" t="s">
        <v>162</v>
      </c>
      <c r="D4">
        <v>36</v>
      </c>
      <c r="E4" t="s">
        <v>94</v>
      </c>
      <c r="F4">
        <v>12</v>
      </c>
      <c r="G4" t="s">
        <v>211</v>
      </c>
      <c r="H4" s="1">
        <f t="shared" si="0"/>
        <v>10.90909090909091</v>
      </c>
      <c r="I4" t="s">
        <v>111</v>
      </c>
      <c r="J4">
        <v>112</v>
      </c>
      <c r="K4">
        <v>3.3</v>
      </c>
      <c r="S4" s="26"/>
      <c r="X4" s="9"/>
      <c r="AB4">
        <f t="shared" si="1"/>
        <v>1</v>
      </c>
      <c r="AC4">
        <f t="shared" si="2"/>
        <v>1</v>
      </c>
    </row>
    <row r="5" spans="1:29" x14ac:dyDescent="0.25">
      <c r="B5" s="8" t="s">
        <v>154</v>
      </c>
      <c r="C5" t="s">
        <v>20</v>
      </c>
      <c r="D5">
        <v>200</v>
      </c>
      <c r="E5" t="s">
        <v>212</v>
      </c>
      <c r="F5">
        <v>5</v>
      </c>
      <c r="G5" t="s">
        <v>95</v>
      </c>
      <c r="H5" s="1">
        <f t="shared" si="0"/>
        <v>100</v>
      </c>
      <c r="I5" t="s">
        <v>110</v>
      </c>
      <c r="J5">
        <v>110</v>
      </c>
      <c r="K5">
        <v>2</v>
      </c>
      <c r="X5" s="9"/>
      <c r="AB5">
        <f t="shared" si="1"/>
        <v>1</v>
      </c>
      <c r="AC5">
        <f t="shared" si="2"/>
        <v>1</v>
      </c>
    </row>
    <row r="6" spans="1:29" x14ac:dyDescent="0.25">
      <c r="B6" s="8" t="s">
        <v>155</v>
      </c>
      <c r="C6" t="s">
        <v>139</v>
      </c>
      <c r="D6" s="17">
        <v>1001</v>
      </c>
      <c r="E6" t="s">
        <v>94</v>
      </c>
      <c r="F6">
        <v>2</v>
      </c>
      <c r="G6" t="s">
        <v>213</v>
      </c>
      <c r="H6" s="1">
        <v>248</v>
      </c>
      <c r="I6" t="s">
        <v>115</v>
      </c>
      <c r="J6">
        <v>117</v>
      </c>
      <c r="K6">
        <v>3.6</v>
      </c>
      <c r="L6" t="s">
        <v>214</v>
      </c>
      <c r="O6">
        <v>30</v>
      </c>
      <c r="P6" t="s">
        <v>112</v>
      </c>
      <c r="Q6">
        <v>112</v>
      </c>
      <c r="R6">
        <v>3.45</v>
      </c>
      <c r="S6" t="s">
        <v>214</v>
      </c>
      <c r="X6" s="9"/>
      <c r="AB6">
        <f t="shared" si="1"/>
        <v>1</v>
      </c>
      <c r="AC6">
        <f t="shared" si="2"/>
        <v>1</v>
      </c>
    </row>
    <row r="7" spans="1:29" x14ac:dyDescent="0.25">
      <c r="B7" s="8" t="s">
        <v>156</v>
      </c>
      <c r="C7" t="s">
        <v>163</v>
      </c>
      <c r="D7">
        <v>45</v>
      </c>
      <c r="E7" t="s">
        <v>93</v>
      </c>
      <c r="F7">
        <v>10</v>
      </c>
      <c r="G7" t="s">
        <v>215</v>
      </c>
      <c r="H7" s="1">
        <v>17</v>
      </c>
      <c r="I7" t="s">
        <v>113</v>
      </c>
      <c r="J7">
        <v>100</v>
      </c>
      <c r="K7">
        <v>2.2000000000000002</v>
      </c>
      <c r="L7" t="s">
        <v>216</v>
      </c>
      <c r="O7">
        <v>4</v>
      </c>
      <c r="P7" t="s">
        <v>113</v>
      </c>
      <c r="Q7">
        <v>100</v>
      </c>
      <c r="R7">
        <v>2</v>
      </c>
      <c r="X7" s="9"/>
      <c r="AB7">
        <f t="shared" si="1"/>
        <v>1</v>
      </c>
      <c r="AC7">
        <f t="shared" si="2"/>
        <v>1</v>
      </c>
    </row>
    <row r="8" spans="1:29" x14ac:dyDescent="0.25">
      <c r="B8" s="8" t="s">
        <v>156</v>
      </c>
      <c r="C8" t="s">
        <v>164</v>
      </c>
      <c r="D8">
        <v>53</v>
      </c>
      <c r="E8" t="s">
        <v>93</v>
      </c>
      <c r="F8">
        <v>10</v>
      </c>
      <c r="G8" t="s">
        <v>217</v>
      </c>
      <c r="H8" s="1">
        <f t="shared" si="0"/>
        <v>16.060606060606062</v>
      </c>
      <c r="I8" t="s">
        <v>106</v>
      </c>
      <c r="J8">
        <v>126</v>
      </c>
      <c r="K8">
        <v>3.3</v>
      </c>
      <c r="X8" s="9"/>
      <c r="AB8">
        <f t="shared" si="1"/>
        <v>1</v>
      </c>
      <c r="AC8">
        <f t="shared" si="2"/>
        <v>1</v>
      </c>
    </row>
    <row r="9" spans="1:29" x14ac:dyDescent="0.25">
      <c r="B9" s="8" t="s">
        <v>157</v>
      </c>
      <c r="C9" t="s">
        <v>139</v>
      </c>
      <c r="D9">
        <v>52</v>
      </c>
      <c r="E9" t="s">
        <v>94</v>
      </c>
      <c r="F9">
        <v>15</v>
      </c>
      <c r="G9" t="s">
        <v>218</v>
      </c>
      <c r="H9" s="1">
        <f t="shared" si="0"/>
        <v>15.072463768115941</v>
      </c>
      <c r="I9" t="s">
        <v>112</v>
      </c>
      <c r="J9">
        <v>112</v>
      </c>
      <c r="K9">
        <v>3.45</v>
      </c>
      <c r="X9" s="9"/>
      <c r="AB9">
        <f t="shared" si="1"/>
        <v>1</v>
      </c>
      <c r="AC9">
        <f t="shared" si="2"/>
        <v>1</v>
      </c>
    </row>
    <row r="10" spans="1:29" x14ac:dyDescent="0.25">
      <c r="B10" s="8" t="s">
        <v>158</v>
      </c>
      <c r="C10" t="s">
        <v>138</v>
      </c>
      <c r="D10">
        <v>31</v>
      </c>
      <c r="E10" t="s">
        <v>93</v>
      </c>
      <c r="F10">
        <v>20</v>
      </c>
      <c r="G10" t="s">
        <v>219</v>
      </c>
      <c r="H10" s="1">
        <f t="shared" si="0"/>
        <v>8.9855072463768106</v>
      </c>
      <c r="I10" t="s">
        <v>112</v>
      </c>
      <c r="J10">
        <v>112</v>
      </c>
      <c r="K10">
        <v>3.45</v>
      </c>
      <c r="X10" s="9"/>
      <c r="AB10">
        <f t="shared" si="1"/>
        <v>1</v>
      </c>
      <c r="AC10">
        <f t="shared" si="2"/>
        <v>1</v>
      </c>
    </row>
    <row r="11" spans="1:29" x14ac:dyDescent="0.25">
      <c r="B11" s="8" t="s">
        <v>159</v>
      </c>
      <c r="C11" t="s">
        <v>165</v>
      </c>
      <c r="D11">
        <v>31</v>
      </c>
      <c r="E11" t="s">
        <v>93</v>
      </c>
      <c r="G11" t="s">
        <v>220</v>
      </c>
      <c r="H11" s="1">
        <f t="shared" si="0"/>
        <v>8.9855072463768106</v>
      </c>
      <c r="I11" t="s">
        <v>114</v>
      </c>
      <c r="J11">
        <v>105</v>
      </c>
      <c r="K11">
        <v>3.45</v>
      </c>
      <c r="X11" s="9"/>
      <c r="AB11">
        <f t="shared" si="1"/>
        <v>1</v>
      </c>
      <c r="AC11">
        <f t="shared" si="2"/>
        <v>1</v>
      </c>
    </row>
    <row r="12" spans="1:29" x14ac:dyDescent="0.25">
      <c r="B12" s="8" t="s">
        <v>160</v>
      </c>
      <c r="C12" t="s">
        <v>142</v>
      </c>
      <c r="D12">
        <v>48</v>
      </c>
      <c r="E12" t="s">
        <v>93</v>
      </c>
      <c r="F12">
        <v>2</v>
      </c>
      <c r="G12" t="s">
        <v>221</v>
      </c>
      <c r="H12" s="1">
        <f t="shared" si="0"/>
        <v>24</v>
      </c>
      <c r="I12" t="s">
        <v>110</v>
      </c>
      <c r="J12">
        <v>110</v>
      </c>
      <c r="K12">
        <v>2</v>
      </c>
      <c r="X12" s="9"/>
      <c r="AB12">
        <f t="shared" si="1"/>
        <v>1</v>
      </c>
      <c r="AC12">
        <f t="shared" si="2"/>
        <v>1</v>
      </c>
    </row>
    <row r="13" spans="1:29" x14ac:dyDescent="0.25">
      <c r="B13" s="8" t="s">
        <v>160</v>
      </c>
      <c r="C13" t="s">
        <v>166</v>
      </c>
      <c r="D13">
        <v>27</v>
      </c>
      <c r="E13" t="s">
        <v>93</v>
      </c>
      <c r="F13">
        <v>5</v>
      </c>
      <c r="G13" t="s">
        <v>95</v>
      </c>
      <c r="H13" s="1">
        <f t="shared" si="0"/>
        <v>15</v>
      </c>
      <c r="I13" t="s">
        <v>222</v>
      </c>
      <c r="J13">
        <v>100</v>
      </c>
      <c r="K13">
        <v>1.8</v>
      </c>
      <c r="X13" s="9"/>
      <c r="AB13">
        <f t="shared" si="1"/>
        <v>1</v>
      </c>
      <c r="AC13">
        <f t="shared" si="2"/>
        <v>1</v>
      </c>
    </row>
    <row r="14" spans="1:29" s="11" customFormat="1" x14ac:dyDescent="0.25">
      <c r="A14" s="11">
        <f>SUM(D2:D14)</f>
        <v>1806</v>
      </c>
      <c r="B14" s="10" t="s">
        <v>160</v>
      </c>
      <c r="C14" s="11" t="s">
        <v>20</v>
      </c>
      <c r="D14" s="11">
        <v>200</v>
      </c>
      <c r="E14" s="11" t="s">
        <v>212</v>
      </c>
      <c r="F14" s="11">
        <v>5</v>
      </c>
      <c r="H14" s="28">
        <f t="shared" si="0"/>
        <v>100</v>
      </c>
      <c r="I14" s="11" t="s">
        <v>110</v>
      </c>
      <c r="J14" s="11">
        <v>110</v>
      </c>
      <c r="K14" s="11">
        <v>2</v>
      </c>
      <c r="X14" s="12"/>
      <c r="AB14">
        <f t="shared" si="1"/>
        <v>1</v>
      </c>
      <c r="AC14">
        <f t="shared" si="2"/>
        <v>1</v>
      </c>
    </row>
    <row r="15" spans="1:29" x14ac:dyDescent="0.25">
      <c r="B15" s="8" t="s">
        <v>167</v>
      </c>
      <c r="C15" t="s">
        <v>141</v>
      </c>
      <c r="D15">
        <v>172</v>
      </c>
      <c r="E15" t="s">
        <v>95</v>
      </c>
      <c r="F15" t="s">
        <v>95</v>
      </c>
      <c r="H15" s="1">
        <f t="shared" si="0"/>
        <v>86</v>
      </c>
      <c r="I15" t="s">
        <v>110</v>
      </c>
      <c r="J15">
        <v>110</v>
      </c>
      <c r="K15">
        <v>2</v>
      </c>
      <c r="X15" s="9"/>
      <c r="AB15">
        <f t="shared" si="1"/>
        <v>1</v>
      </c>
      <c r="AC15">
        <f t="shared" si="2"/>
        <v>1</v>
      </c>
    </row>
    <row r="16" spans="1:29" x14ac:dyDescent="0.25">
      <c r="B16" s="8" t="s">
        <v>168</v>
      </c>
      <c r="C16" t="s">
        <v>140</v>
      </c>
      <c r="D16">
        <v>76</v>
      </c>
      <c r="E16" t="s">
        <v>94</v>
      </c>
      <c r="F16">
        <v>5</v>
      </c>
      <c r="G16" t="s">
        <v>80</v>
      </c>
      <c r="H16" s="1">
        <f t="shared" si="0"/>
        <v>22.028985507246375</v>
      </c>
      <c r="I16" t="s">
        <v>109</v>
      </c>
      <c r="J16">
        <v>126</v>
      </c>
      <c r="K16">
        <v>3.45</v>
      </c>
      <c r="X16" s="9"/>
      <c r="AB16">
        <f t="shared" si="1"/>
        <v>1</v>
      </c>
      <c r="AC16">
        <f t="shared" si="2"/>
        <v>1</v>
      </c>
    </row>
    <row r="17" spans="1:29" x14ac:dyDescent="0.25">
      <c r="B17" s="8" t="s">
        <v>169</v>
      </c>
      <c r="C17" t="s">
        <v>20</v>
      </c>
      <c r="D17">
        <v>178</v>
      </c>
      <c r="E17" t="s">
        <v>94</v>
      </c>
      <c r="F17">
        <v>5</v>
      </c>
      <c r="G17" t="s">
        <v>223</v>
      </c>
      <c r="H17" s="1">
        <f t="shared" si="0"/>
        <v>53.939393939393945</v>
      </c>
      <c r="I17" t="s">
        <v>224</v>
      </c>
      <c r="J17">
        <v>117</v>
      </c>
      <c r="K17">
        <v>3.3</v>
      </c>
      <c r="X17" s="9"/>
      <c r="AB17">
        <f t="shared" si="1"/>
        <v>1</v>
      </c>
      <c r="AC17">
        <f t="shared" si="2"/>
        <v>1</v>
      </c>
    </row>
    <row r="18" spans="1:29" x14ac:dyDescent="0.25">
      <c r="B18" s="8" t="s">
        <v>170</v>
      </c>
      <c r="C18" t="s">
        <v>45</v>
      </c>
      <c r="D18">
        <v>224</v>
      </c>
      <c r="E18" t="s">
        <v>94</v>
      </c>
      <c r="F18">
        <v>10</v>
      </c>
      <c r="G18" t="s">
        <v>220</v>
      </c>
      <c r="H18" s="1">
        <f t="shared" si="0"/>
        <v>64.927536231884048</v>
      </c>
      <c r="I18" t="s">
        <v>115</v>
      </c>
      <c r="J18">
        <v>117</v>
      </c>
      <c r="K18">
        <v>3.45</v>
      </c>
      <c r="X18" s="9"/>
      <c r="AB18">
        <f t="shared" si="1"/>
        <v>1</v>
      </c>
      <c r="AC18">
        <f t="shared" si="2"/>
        <v>1</v>
      </c>
    </row>
    <row r="19" spans="1:29" x14ac:dyDescent="0.25">
      <c r="B19" s="8" t="s">
        <v>171</v>
      </c>
      <c r="C19" t="s">
        <v>142</v>
      </c>
      <c r="D19">
        <v>48</v>
      </c>
      <c r="E19" t="s">
        <v>93</v>
      </c>
      <c r="F19">
        <v>3</v>
      </c>
      <c r="G19" t="s">
        <v>225</v>
      </c>
      <c r="H19" s="1">
        <f t="shared" si="0"/>
        <v>24</v>
      </c>
      <c r="I19" t="s">
        <v>110</v>
      </c>
      <c r="J19">
        <v>110</v>
      </c>
      <c r="K19">
        <v>2</v>
      </c>
      <c r="X19" s="9"/>
      <c r="AB19">
        <f t="shared" si="1"/>
        <v>1</v>
      </c>
      <c r="AC19">
        <f t="shared" si="2"/>
        <v>1</v>
      </c>
    </row>
    <row r="20" spans="1:29" x14ac:dyDescent="0.25">
      <c r="B20" s="8" t="s">
        <v>172</v>
      </c>
      <c r="C20" t="s">
        <v>175</v>
      </c>
      <c r="D20">
        <v>30</v>
      </c>
      <c r="E20" t="s">
        <v>93</v>
      </c>
      <c r="F20">
        <v>5</v>
      </c>
      <c r="G20" t="s">
        <v>226</v>
      </c>
      <c r="H20" s="1">
        <f t="shared" si="0"/>
        <v>15</v>
      </c>
      <c r="I20" t="s">
        <v>113</v>
      </c>
      <c r="J20">
        <v>100</v>
      </c>
      <c r="K20">
        <v>2</v>
      </c>
      <c r="X20" s="9"/>
      <c r="AB20">
        <f t="shared" si="1"/>
        <v>1</v>
      </c>
      <c r="AC20">
        <f t="shared" si="2"/>
        <v>1</v>
      </c>
    </row>
    <row r="21" spans="1:29" x14ac:dyDescent="0.25">
      <c r="B21" s="8" t="s">
        <v>172</v>
      </c>
      <c r="C21" t="s">
        <v>148</v>
      </c>
      <c r="D21">
        <v>26</v>
      </c>
      <c r="E21" t="s">
        <v>93</v>
      </c>
      <c r="F21">
        <v>15</v>
      </c>
      <c r="G21" t="s">
        <v>227</v>
      </c>
      <c r="H21" s="1">
        <f t="shared" si="0"/>
        <v>7.8787878787878789</v>
      </c>
      <c r="I21" t="s">
        <v>111</v>
      </c>
      <c r="J21">
        <v>112</v>
      </c>
      <c r="K21">
        <v>3.3</v>
      </c>
      <c r="X21" s="9"/>
      <c r="AB21">
        <f t="shared" si="1"/>
        <v>1</v>
      </c>
      <c r="AC21">
        <f t="shared" si="2"/>
        <v>1</v>
      </c>
    </row>
    <row r="22" spans="1:29" x14ac:dyDescent="0.25">
      <c r="B22" s="8" t="s">
        <v>173</v>
      </c>
      <c r="C22" t="s">
        <v>20</v>
      </c>
      <c r="D22">
        <v>53</v>
      </c>
      <c r="E22" t="s">
        <v>95</v>
      </c>
      <c r="F22" t="s">
        <v>95</v>
      </c>
      <c r="G22" t="s">
        <v>228</v>
      </c>
      <c r="H22" s="1">
        <f t="shared" si="0"/>
        <v>26.5</v>
      </c>
      <c r="I22" t="s">
        <v>110</v>
      </c>
      <c r="J22">
        <v>110</v>
      </c>
      <c r="K22">
        <v>2</v>
      </c>
      <c r="X22" s="9"/>
      <c r="AB22">
        <f t="shared" si="1"/>
        <v>1</v>
      </c>
      <c r="AC22">
        <f t="shared" si="2"/>
        <v>1</v>
      </c>
    </row>
    <row r="23" spans="1:29" x14ac:dyDescent="0.25">
      <c r="B23" s="8" t="s">
        <v>173</v>
      </c>
      <c r="C23" t="s">
        <v>138</v>
      </c>
      <c r="D23">
        <v>53</v>
      </c>
      <c r="E23" t="s">
        <v>94</v>
      </c>
      <c r="F23">
        <v>20</v>
      </c>
      <c r="G23" t="s">
        <v>229</v>
      </c>
      <c r="H23" s="1">
        <f t="shared" si="0"/>
        <v>16.060606060606062</v>
      </c>
      <c r="I23" t="s">
        <v>111</v>
      </c>
      <c r="J23">
        <v>112</v>
      </c>
      <c r="K23">
        <v>3.3</v>
      </c>
      <c r="X23" s="9"/>
      <c r="AB23">
        <f t="shared" si="1"/>
        <v>1</v>
      </c>
      <c r="AC23">
        <f t="shared" si="2"/>
        <v>1</v>
      </c>
    </row>
    <row r="24" spans="1:29" x14ac:dyDescent="0.25">
      <c r="B24" s="8" t="s">
        <v>173</v>
      </c>
      <c r="C24" t="s">
        <v>176</v>
      </c>
      <c r="D24">
        <v>26</v>
      </c>
      <c r="E24" t="s">
        <v>93</v>
      </c>
      <c r="F24">
        <v>10</v>
      </c>
      <c r="G24" t="s">
        <v>230</v>
      </c>
      <c r="H24" s="1">
        <f t="shared" si="0"/>
        <v>7.8787878787878789</v>
      </c>
      <c r="I24" t="s">
        <v>106</v>
      </c>
      <c r="J24">
        <v>126</v>
      </c>
      <c r="K24">
        <v>3.3</v>
      </c>
      <c r="X24" s="9"/>
      <c r="AB24">
        <f t="shared" si="1"/>
        <v>1</v>
      </c>
      <c r="AC24">
        <f t="shared" si="2"/>
        <v>1</v>
      </c>
    </row>
    <row r="25" spans="1:29" x14ac:dyDescent="0.25">
      <c r="B25" s="8" t="s">
        <v>174</v>
      </c>
      <c r="C25" t="s">
        <v>140</v>
      </c>
      <c r="D25">
        <v>76</v>
      </c>
      <c r="E25" t="s">
        <v>94</v>
      </c>
      <c r="F25">
        <v>10</v>
      </c>
      <c r="G25" t="s">
        <v>231</v>
      </c>
      <c r="H25" s="1">
        <f t="shared" si="0"/>
        <v>22.028985507246375</v>
      </c>
      <c r="I25" t="s">
        <v>109</v>
      </c>
      <c r="J25">
        <v>126</v>
      </c>
      <c r="K25">
        <v>3.45</v>
      </c>
      <c r="X25" s="9"/>
      <c r="AB25">
        <f t="shared" si="1"/>
        <v>1</v>
      </c>
      <c r="AC25">
        <f t="shared" si="2"/>
        <v>1</v>
      </c>
    </row>
    <row r="26" spans="1:29" s="11" customFormat="1" x14ac:dyDescent="0.25">
      <c r="A26" s="11">
        <f>SUM(D15:D26)</f>
        <v>1124</v>
      </c>
      <c r="B26" s="10" t="s">
        <v>174</v>
      </c>
      <c r="C26" s="11" t="s">
        <v>20</v>
      </c>
      <c r="D26" s="11">
        <v>162</v>
      </c>
      <c r="E26" s="11" t="s">
        <v>94</v>
      </c>
      <c r="F26" s="11" t="s">
        <v>95</v>
      </c>
      <c r="G26" s="11" t="s">
        <v>95</v>
      </c>
      <c r="H26" s="28">
        <f t="shared" si="0"/>
        <v>73.636363636363626</v>
      </c>
      <c r="I26" s="11" t="s">
        <v>110</v>
      </c>
      <c r="J26" s="11">
        <v>110</v>
      </c>
      <c r="K26" s="11">
        <v>2.2000000000000002</v>
      </c>
      <c r="L26" s="11" t="s">
        <v>216</v>
      </c>
      <c r="X26" s="12"/>
      <c r="AB26">
        <f t="shared" si="1"/>
        <v>1</v>
      </c>
      <c r="AC26">
        <f t="shared" si="2"/>
        <v>1</v>
      </c>
    </row>
    <row r="27" spans="1:29" x14ac:dyDescent="0.25">
      <c r="B27" s="8" t="s">
        <v>177</v>
      </c>
      <c r="C27" t="s">
        <v>20</v>
      </c>
      <c r="D27">
        <v>131</v>
      </c>
      <c r="E27" t="s">
        <v>95</v>
      </c>
      <c r="H27" s="1">
        <f t="shared" si="0"/>
        <v>52.4</v>
      </c>
      <c r="I27" t="s">
        <v>92</v>
      </c>
      <c r="K27">
        <v>2.5</v>
      </c>
      <c r="P27" t="s">
        <v>232</v>
      </c>
      <c r="R27">
        <v>3</v>
      </c>
      <c r="X27" s="9"/>
      <c r="AB27">
        <f t="shared" si="1"/>
        <v>1</v>
      </c>
      <c r="AC27">
        <f t="shared" si="2"/>
        <v>1</v>
      </c>
    </row>
    <row r="28" spans="1:29" x14ac:dyDescent="0.25">
      <c r="B28" s="8" t="s">
        <v>178</v>
      </c>
      <c r="C28" t="s">
        <v>186</v>
      </c>
      <c r="D28">
        <v>120</v>
      </c>
      <c r="E28" t="s">
        <v>93</v>
      </c>
      <c r="F28">
        <v>20</v>
      </c>
      <c r="H28" s="1">
        <f t="shared" si="0"/>
        <v>40</v>
      </c>
      <c r="I28" t="s">
        <v>233</v>
      </c>
      <c r="J28">
        <v>90</v>
      </c>
      <c r="K28">
        <v>3</v>
      </c>
      <c r="X28" s="9"/>
      <c r="AB28">
        <f t="shared" si="1"/>
        <v>1</v>
      </c>
      <c r="AC28">
        <f t="shared" si="2"/>
        <v>1</v>
      </c>
    </row>
    <row r="29" spans="1:29" x14ac:dyDescent="0.25">
      <c r="B29" s="8" t="s">
        <v>179</v>
      </c>
      <c r="C29" t="s">
        <v>20</v>
      </c>
      <c r="D29">
        <v>160</v>
      </c>
      <c r="E29" t="s">
        <v>94</v>
      </c>
      <c r="F29" t="s">
        <v>95</v>
      </c>
      <c r="G29" t="s">
        <v>220</v>
      </c>
      <c r="H29" s="1">
        <f t="shared" si="0"/>
        <v>80</v>
      </c>
      <c r="I29" t="s">
        <v>92</v>
      </c>
      <c r="K29">
        <v>2</v>
      </c>
      <c r="X29" s="9"/>
      <c r="AB29">
        <f t="shared" si="1"/>
        <v>1</v>
      </c>
      <c r="AC29">
        <f t="shared" si="2"/>
        <v>1</v>
      </c>
    </row>
    <row r="30" spans="1:29" x14ac:dyDescent="0.25">
      <c r="B30" s="8" t="s">
        <v>180</v>
      </c>
      <c r="C30" t="s">
        <v>20</v>
      </c>
      <c r="D30">
        <v>278</v>
      </c>
      <c r="E30" t="s">
        <v>99</v>
      </c>
      <c r="G30" t="s">
        <v>234</v>
      </c>
      <c r="H30" s="1">
        <f t="shared" si="0"/>
        <v>139</v>
      </c>
      <c r="I30" t="s">
        <v>110</v>
      </c>
      <c r="J30">
        <v>110</v>
      </c>
      <c r="K30">
        <v>2</v>
      </c>
      <c r="X30" s="9"/>
      <c r="AB30">
        <f t="shared" si="1"/>
        <v>1</v>
      </c>
      <c r="AC30">
        <f t="shared" si="2"/>
        <v>1</v>
      </c>
    </row>
    <row r="31" spans="1:29" x14ac:dyDescent="0.25">
      <c r="B31" s="8" t="s">
        <v>181</v>
      </c>
      <c r="C31" t="s">
        <v>139</v>
      </c>
      <c r="D31">
        <v>112</v>
      </c>
      <c r="E31" t="s">
        <v>94</v>
      </c>
      <c r="F31">
        <v>5</v>
      </c>
      <c r="G31" t="s">
        <v>235</v>
      </c>
      <c r="H31" s="1">
        <f t="shared" si="0"/>
        <v>32.463768115942024</v>
      </c>
      <c r="I31" t="s">
        <v>109</v>
      </c>
      <c r="J31">
        <v>126</v>
      </c>
      <c r="K31">
        <v>3.45</v>
      </c>
      <c r="X31" s="9"/>
      <c r="AB31">
        <f t="shared" si="1"/>
        <v>1</v>
      </c>
      <c r="AC31">
        <f t="shared" si="2"/>
        <v>1</v>
      </c>
    </row>
    <row r="32" spans="1:29" x14ac:dyDescent="0.25">
      <c r="B32" s="8" t="s">
        <v>182</v>
      </c>
      <c r="C32" t="s">
        <v>20</v>
      </c>
      <c r="D32">
        <v>100</v>
      </c>
      <c r="E32" t="s">
        <v>94</v>
      </c>
      <c r="F32" t="s">
        <v>95</v>
      </c>
      <c r="G32" t="s">
        <v>236</v>
      </c>
      <c r="H32" s="1">
        <f t="shared" si="0"/>
        <v>28.985507246376809</v>
      </c>
      <c r="I32" t="s">
        <v>109</v>
      </c>
      <c r="J32">
        <v>126</v>
      </c>
      <c r="K32">
        <v>3.45</v>
      </c>
      <c r="X32" s="9"/>
      <c r="AB32">
        <f t="shared" si="1"/>
        <v>1</v>
      </c>
      <c r="AC32">
        <f t="shared" si="2"/>
        <v>1</v>
      </c>
    </row>
    <row r="33" spans="1:29" x14ac:dyDescent="0.25">
      <c r="B33" s="8" t="s">
        <v>183</v>
      </c>
      <c r="C33" t="s">
        <v>20</v>
      </c>
      <c r="D33">
        <v>214</v>
      </c>
      <c r="E33" t="s">
        <v>95</v>
      </c>
      <c r="F33" t="s">
        <v>95</v>
      </c>
      <c r="G33" t="s">
        <v>237</v>
      </c>
      <c r="H33" s="1">
        <f t="shared" si="0"/>
        <v>107</v>
      </c>
      <c r="I33" t="s">
        <v>110</v>
      </c>
      <c r="J33">
        <v>110</v>
      </c>
      <c r="K33">
        <v>2</v>
      </c>
      <c r="X33" s="9"/>
      <c r="AB33">
        <f t="shared" si="1"/>
        <v>1</v>
      </c>
      <c r="AC33">
        <f t="shared" si="2"/>
        <v>1</v>
      </c>
    </row>
    <row r="34" spans="1:29" x14ac:dyDescent="0.25">
      <c r="B34" s="8" t="s">
        <v>184</v>
      </c>
      <c r="C34" t="s">
        <v>138</v>
      </c>
      <c r="D34">
        <v>45</v>
      </c>
      <c r="E34" t="s">
        <v>93</v>
      </c>
      <c r="F34">
        <v>20</v>
      </c>
      <c r="G34" t="s">
        <v>238</v>
      </c>
      <c r="H34" s="1">
        <f t="shared" si="0"/>
        <v>13.043478260869565</v>
      </c>
      <c r="I34" t="s">
        <v>109</v>
      </c>
      <c r="J34">
        <v>126</v>
      </c>
      <c r="K34">
        <v>3.45</v>
      </c>
      <c r="X34" s="9"/>
      <c r="AB34">
        <f t="shared" si="1"/>
        <v>1</v>
      </c>
      <c r="AC34">
        <f t="shared" si="2"/>
        <v>1</v>
      </c>
    </row>
    <row r="35" spans="1:29" x14ac:dyDescent="0.25">
      <c r="B35" s="8" t="s">
        <v>184</v>
      </c>
      <c r="C35" t="s">
        <v>187</v>
      </c>
      <c r="D35">
        <v>50</v>
      </c>
      <c r="E35" t="s">
        <v>93</v>
      </c>
      <c r="F35">
        <v>5</v>
      </c>
      <c r="G35" t="s">
        <v>239</v>
      </c>
      <c r="H35" s="1">
        <f t="shared" si="0"/>
        <v>25</v>
      </c>
      <c r="I35" t="s">
        <v>110</v>
      </c>
      <c r="J35">
        <v>110</v>
      </c>
      <c r="K35">
        <v>2</v>
      </c>
      <c r="X35" s="9"/>
      <c r="AB35">
        <f t="shared" si="1"/>
        <v>1</v>
      </c>
      <c r="AC35">
        <f t="shared" si="2"/>
        <v>1</v>
      </c>
    </row>
    <row r="36" spans="1:29" x14ac:dyDescent="0.25">
      <c r="B36" s="8" t="s">
        <v>185</v>
      </c>
      <c r="C36" t="s">
        <v>142</v>
      </c>
      <c r="D36">
        <v>100</v>
      </c>
      <c r="E36" t="s">
        <v>93</v>
      </c>
      <c r="F36">
        <v>2</v>
      </c>
      <c r="G36" t="s">
        <v>240</v>
      </c>
      <c r="H36" s="1">
        <f t="shared" si="0"/>
        <v>50</v>
      </c>
      <c r="I36" t="s">
        <v>113</v>
      </c>
      <c r="J36">
        <v>100</v>
      </c>
      <c r="K36">
        <v>2</v>
      </c>
      <c r="X36" s="9"/>
      <c r="AB36">
        <f t="shared" si="1"/>
        <v>1</v>
      </c>
      <c r="AC36">
        <f t="shared" si="2"/>
        <v>1</v>
      </c>
    </row>
    <row r="37" spans="1:29" s="11" customFormat="1" x14ac:dyDescent="0.25">
      <c r="A37" s="11">
        <f>SUM(D27:D37)</f>
        <v>1350</v>
      </c>
      <c r="B37" s="10" t="s">
        <v>185</v>
      </c>
      <c r="C37" s="11" t="s">
        <v>141</v>
      </c>
      <c r="D37" s="11">
        <v>40</v>
      </c>
      <c r="E37" s="11" t="s">
        <v>93</v>
      </c>
      <c r="F37" s="11">
        <v>10</v>
      </c>
      <c r="G37" s="11" t="s">
        <v>241</v>
      </c>
      <c r="H37" s="28">
        <f t="shared" si="0"/>
        <v>20</v>
      </c>
      <c r="I37" s="11" t="s">
        <v>110</v>
      </c>
      <c r="J37" s="11">
        <v>110</v>
      </c>
      <c r="K37" s="11">
        <v>2</v>
      </c>
      <c r="X37" s="12"/>
      <c r="AB37">
        <f t="shared" si="1"/>
        <v>1</v>
      </c>
      <c r="AC37">
        <f t="shared" si="2"/>
        <v>1</v>
      </c>
    </row>
    <row r="38" spans="1:29" x14ac:dyDescent="0.25">
      <c r="B38" s="8" t="s">
        <v>188</v>
      </c>
      <c r="C38" t="s">
        <v>140</v>
      </c>
      <c r="D38">
        <v>148</v>
      </c>
      <c r="E38" t="s">
        <v>94</v>
      </c>
      <c r="F38">
        <v>15</v>
      </c>
      <c r="G38" t="s">
        <v>68</v>
      </c>
      <c r="H38" s="1">
        <f t="shared" si="0"/>
        <v>41.111111111111107</v>
      </c>
      <c r="I38" t="s">
        <v>109</v>
      </c>
      <c r="J38">
        <v>126</v>
      </c>
      <c r="K38">
        <v>3.6</v>
      </c>
      <c r="L38" t="s">
        <v>214</v>
      </c>
      <c r="X38" s="9"/>
      <c r="AB38">
        <f t="shared" si="1"/>
        <v>1</v>
      </c>
      <c r="AC38">
        <f t="shared" si="2"/>
        <v>1</v>
      </c>
    </row>
    <row r="39" spans="1:29" x14ac:dyDescent="0.25">
      <c r="B39" s="8" t="s">
        <v>189</v>
      </c>
      <c r="C39" t="s">
        <v>142</v>
      </c>
      <c r="D39">
        <v>48</v>
      </c>
      <c r="E39" t="s">
        <v>95</v>
      </c>
      <c r="F39" t="s">
        <v>95</v>
      </c>
      <c r="G39" t="s">
        <v>95</v>
      </c>
      <c r="H39" s="1" t="s">
        <v>95</v>
      </c>
      <c r="I39" t="s">
        <v>95</v>
      </c>
      <c r="J39" t="s">
        <v>95</v>
      </c>
      <c r="K39" t="s">
        <v>95</v>
      </c>
      <c r="L39" t="s">
        <v>95</v>
      </c>
      <c r="M39" t="s">
        <v>95</v>
      </c>
      <c r="X39" s="9"/>
      <c r="AB39">
        <f t="shared" si="1"/>
        <v>0</v>
      </c>
      <c r="AC39">
        <f t="shared" si="2"/>
        <v>1</v>
      </c>
    </row>
    <row r="40" spans="1:29" x14ac:dyDescent="0.25">
      <c r="B40" s="8" t="s">
        <v>190</v>
      </c>
      <c r="C40" t="s">
        <v>144</v>
      </c>
      <c r="D40">
        <v>30</v>
      </c>
      <c r="E40" t="s">
        <v>93</v>
      </c>
      <c r="F40">
        <v>5</v>
      </c>
      <c r="G40" t="s">
        <v>242</v>
      </c>
      <c r="H40" s="1">
        <f t="shared" si="0"/>
        <v>8.695652173913043</v>
      </c>
      <c r="I40" t="s">
        <v>109</v>
      </c>
      <c r="J40">
        <v>126</v>
      </c>
      <c r="K40">
        <v>3.45</v>
      </c>
      <c r="X40" s="9"/>
      <c r="AB40">
        <f t="shared" si="1"/>
        <v>1</v>
      </c>
      <c r="AC40">
        <f t="shared" si="2"/>
        <v>1</v>
      </c>
    </row>
    <row r="41" spans="1:29" x14ac:dyDescent="0.25">
      <c r="B41" s="8" t="s">
        <v>191</v>
      </c>
      <c r="C41" t="s">
        <v>140</v>
      </c>
      <c r="D41">
        <v>65</v>
      </c>
      <c r="E41" t="s">
        <v>94</v>
      </c>
      <c r="F41">
        <v>10</v>
      </c>
      <c r="G41" t="s">
        <v>68</v>
      </c>
      <c r="H41" s="1">
        <f t="shared" si="0"/>
        <v>18.055555555555554</v>
      </c>
      <c r="I41" t="s">
        <v>109</v>
      </c>
      <c r="J41">
        <v>126</v>
      </c>
      <c r="K41">
        <v>3.6</v>
      </c>
      <c r="L41" t="s">
        <v>214</v>
      </c>
      <c r="X41" s="9"/>
      <c r="AB41">
        <f t="shared" si="1"/>
        <v>1</v>
      </c>
      <c r="AC41">
        <f t="shared" si="2"/>
        <v>1</v>
      </c>
    </row>
    <row r="42" spans="1:29" x14ac:dyDescent="0.25">
      <c r="B42" s="8" t="s">
        <v>192</v>
      </c>
      <c r="C42" t="s">
        <v>144</v>
      </c>
      <c r="D42">
        <v>180</v>
      </c>
      <c r="E42" t="s">
        <v>93</v>
      </c>
      <c r="F42">
        <v>15</v>
      </c>
      <c r="G42" t="s">
        <v>243</v>
      </c>
      <c r="H42" s="1">
        <f t="shared" si="0"/>
        <v>52.173913043478258</v>
      </c>
      <c r="I42" t="s">
        <v>112</v>
      </c>
      <c r="J42">
        <v>112</v>
      </c>
      <c r="K42">
        <v>3.45</v>
      </c>
      <c r="P42" t="s">
        <v>115</v>
      </c>
      <c r="Q42">
        <v>117</v>
      </c>
      <c r="R42">
        <v>3.45</v>
      </c>
      <c r="X42" s="9"/>
      <c r="AB42">
        <f t="shared" si="1"/>
        <v>1</v>
      </c>
      <c r="AC42">
        <f t="shared" si="2"/>
        <v>1</v>
      </c>
    </row>
    <row r="43" spans="1:29" x14ac:dyDescent="0.25">
      <c r="B43" s="8" t="s">
        <v>193</v>
      </c>
      <c r="C43" t="s">
        <v>206</v>
      </c>
      <c r="D43">
        <v>112</v>
      </c>
      <c r="E43" t="s">
        <v>93</v>
      </c>
      <c r="F43">
        <v>20</v>
      </c>
      <c r="G43" t="s">
        <v>220</v>
      </c>
      <c r="H43" s="1">
        <f t="shared" si="0"/>
        <v>32.463768115942024</v>
      </c>
      <c r="I43" t="s">
        <v>109</v>
      </c>
      <c r="J43">
        <v>126</v>
      </c>
      <c r="K43">
        <v>3.45</v>
      </c>
      <c r="P43" t="s">
        <v>115</v>
      </c>
      <c r="Q43">
        <v>117</v>
      </c>
      <c r="R43">
        <v>3.45</v>
      </c>
      <c r="V43" t="s">
        <v>244</v>
      </c>
      <c r="X43" s="9"/>
      <c r="AB43">
        <f t="shared" si="1"/>
        <v>1</v>
      </c>
      <c r="AC43">
        <f t="shared" si="2"/>
        <v>1</v>
      </c>
    </row>
    <row r="44" spans="1:29" x14ac:dyDescent="0.25">
      <c r="B44" s="8" t="s">
        <v>194</v>
      </c>
      <c r="C44" t="s">
        <v>142</v>
      </c>
      <c r="D44">
        <v>80</v>
      </c>
      <c r="E44" t="s">
        <v>93</v>
      </c>
      <c r="F44">
        <v>2</v>
      </c>
      <c r="H44" s="1">
        <f t="shared" si="0"/>
        <v>40</v>
      </c>
      <c r="I44" t="s">
        <v>110</v>
      </c>
      <c r="J44">
        <v>110</v>
      </c>
      <c r="K44">
        <v>2</v>
      </c>
      <c r="M44">
        <v>137</v>
      </c>
      <c r="X44" s="9"/>
      <c r="AB44">
        <f t="shared" si="1"/>
        <v>1</v>
      </c>
      <c r="AC44">
        <f t="shared" si="2"/>
        <v>1</v>
      </c>
    </row>
    <row r="45" spans="1:29" x14ac:dyDescent="0.25">
      <c r="B45" s="8" t="s">
        <v>194</v>
      </c>
      <c r="C45" t="s">
        <v>140</v>
      </c>
      <c r="D45">
        <v>79</v>
      </c>
      <c r="E45" t="s">
        <v>94</v>
      </c>
      <c r="F45">
        <v>5</v>
      </c>
      <c r="G45" t="s">
        <v>210</v>
      </c>
      <c r="H45" s="1">
        <f t="shared" si="0"/>
        <v>22.89855072463768</v>
      </c>
      <c r="I45" t="s">
        <v>109</v>
      </c>
      <c r="J45">
        <v>126</v>
      </c>
      <c r="K45">
        <v>3.45</v>
      </c>
      <c r="X45" s="9"/>
      <c r="AB45">
        <f t="shared" si="1"/>
        <v>1</v>
      </c>
      <c r="AC45">
        <f t="shared" si="2"/>
        <v>1</v>
      </c>
    </row>
    <row r="46" spans="1:29" x14ac:dyDescent="0.25">
      <c r="B46" s="8" t="s">
        <v>195</v>
      </c>
      <c r="C46" t="s">
        <v>20</v>
      </c>
      <c r="D46">
        <v>101</v>
      </c>
      <c r="E46" t="s">
        <v>94</v>
      </c>
      <c r="F46">
        <v>5</v>
      </c>
      <c r="H46" s="1">
        <f t="shared" si="0"/>
        <v>28.055555555555554</v>
      </c>
      <c r="I46" t="s">
        <v>109</v>
      </c>
      <c r="J46">
        <v>126</v>
      </c>
      <c r="K46">
        <v>3.6</v>
      </c>
      <c r="L46" t="s">
        <v>214</v>
      </c>
      <c r="P46" t="s">
        <v>115</v>
      </c>
      <c r="Q46">
        <v>117</v>
      </c>
      <c r="R46">
        <v>3.45</v>
      </c>
      <c r="X46" s="9"/>
      <c r="AB46">
        <f t="shared" si="1"/>
        <v>1</v>
      </c>
      <c r="AC46">
        <f t="shared" si="2"/>
        <v>1</v>
      </c>
    </row>
    <row r="47" spans="1:29" x14ac:dyDescent="0.25">
      <c r="B47" s="8" t="s">
        <v>196</v>
      </c>
      <c r="C47" t="s">
        <v>144</v>
      </c>
      <c r="D47">
        <v>270</v>
      </c>
      <c r="E47" t="s">
        <v>93</v>
      </c>
      <c r="F47">
        <v>10</v>
      </c>
      <c r="G47" t="s">
        <v>245</v>
      </c>
      <c r="H47" s="1">
        <f t="shared" si="0"/>
        <v>75</v>
      </c>
      <c r="I47" t="s">
        <v>109</v>
      </c>
      <c r="J47">
        <v>126</v>
      </c>
      <c r="K47">
        <v>3.6</v>
      </c>
      <c r="L47" t="s">
        <v>214</v>
      </c>
      <c r="X47" s="9"/>
      <c r="AB47">
        <f t="shared" si="1"/>
        <v>1</v>
      </c>
      <c r="AC47">
        <f t="shared" si="2"/>
        <v>1</v>
      </c>
    </row>
    <row r="48" spans="1:29" x14ac:dyDescent="0.25">
      <c r="B48" s="8" t="s">
        <v>197</v>
      </c>
      <c r="C48" t="s">
        <v>20</v>
      </c>
      <c r="D48">
        <v>153</v>
      </c>
      <c r="E48" t="s">
        <v>94</v>
      </c>
      <c r="F48">
        <v>5</v>
      </c>
      <c r="G48" t="s">
        <v>237</v>
      </c>
      <c r="H48" s="1">
        <f t="shared" si="0"/>
        <v>76.5</v>
      </c>
      <c r="I48" t="s">
        <v>110</v>
      </c>
      <c r="J48">
        <v>110</v>
      </c>
      <c r="K48">
        <v>2</v>
      </c>
      <c r="X48" s="9"/>
      <c r="AB48">
        <f t="shared" si="1"/>
        <v>1</v>
      </c>
      <c r="AC48">
        <f t="shared" si="2"/>
        <v>1</v>
      </c>
    </row>
    <row r="49" spans="2:29" x14ac:dyDescent="0.25">
      <c r="B49" s="8" t="s">
        <v>198</v>
      </c>
      <c r="C49" t="s">
        <v>20</v>
      </c>
      <c r="D49">
        <v>42</v>
      </c>
      <c r="E49" t="s">
        <v>95</v>
      </c>
      <c r="F49" t="s">
        <v>95</v>
      </c>
      <c r="G49" t="s">
        <v>95</v>
      </c>
      <c r="H49" s="1">
        <f t="shared" si="0"/>
        <v>21</v>
      </c>
      <c r="I49" t="s">
        <v>110</v>
      </c>
      <c r="J49">
        <v>110</v>
      </c>
      <c r="K49">
        <v>2</v>
      </c>
      <c r="X49" s="9"/>
      <c r="AB49">
        <f t="shared" si="1"/>
        <v>1</v>
      </c>
      <c r="AC49">
        <f t="shared" si="2"/>
        <v>1</v>
      </c>
    </row>
    <row r="50" spans="2:29" x14ac:dyDescent="0.25">
      <c r="B50" s="8" t="s">
        <v>199</v>
      </c>
      <c r="C50" t="s">
        <v>147</v>
      </c>
      <c r="D50">
        <v>24</v>
      </c>
      <c r="E50" t="s">
        <v>93</v>
      </c>
      <c r="F50">
        <v>10</v>
      </c>
      <c r="G50" t="s">
        <v>246</v>
      </c>
      <c r="H50" s="1">
        <f t="shared" si="0"/>
        <v>6.9565217391304346</v>
      </c>
      <c r="I50" t="s">
        <v>112</v>
      </c>
      <c r="J50">
        <v>112</v>
      </c>
      <c r="K50">
        <v>3.45</v>
      </c>
      <c r="X50" s="9"/>
      <c r="AB50">
        <f t="shared" si="1"/>
        <v>1</v>
      </c>
      <c r="AC50">
        <f t="shared" si="2"/>
        <v>1</v>
      </c>
    </row>
    <row r="51" spans="2:29" x14ac:dyDescent="0.25">
      <c r="B51" s="8" t="s">
        <v>199</v>
      </c>
      <c r="C51" t="s">
        <v>20</v>
      </c>
      <c r="D51">
        <v>200</v>
      </c>
      <c r="E51" t="s">
        <v>95</v>
      </c>
      <c r="F51" t="s">
        <v>95</v>
      </c>
      <c r="G51" t="s">
        <v>95</v>
      </c>
      <c r="H51" s="1" t="s">
        <v>95</v>
      </c>
      <c r="I51" t="s">
        <v>95</v>
      </c>
      <c r="J51" t="s">
        <v>95</v>
      </c>
      <c r="K51" t="s">
        <v>95</v>
      </c>
      <c r="L51" t="s">
        <v>95</v>
      </c>
      <c r="M51" t="s">
        <v>95</v>
      </c>
      <c r="X51" s="9"/>
      <c r="AB51">
        <f t="shared" si="1"/>
        <v>0</v>
      </c>
      <c r="AC51">
        <f t="shared" si="2"/>
        <v>1</v>
      </c>
    </row>
    <row r="52" spans="2:29" x14ac:dyDescent="0.25">
      <c r="B52" s="8" t="s">
        <v>200</v>
      </c>
      <c r="C52" t="s">
        <v>165</v>
      </c>
      <c r="D52">
        <v>228</v>
      </c>
      <c r="E52" t="s">
        <v>93</v>
      </c>
      <c r="F52">
        <v>20</v>
      </c>
      <c r="G52" t="s">
        <v>247</v>
      </c>
      <c r="H52" s="1">
        <v>53</v>
      </c>
      <c r="I52" t="s">
        <v>115</v>
      </c>
      <c r="J52">
        <v>117</v>
      </c>
      <c r="K52">
        <v>3.45</v>
      </c>
      <c r="M52">
        <v>135</v>
      </c>
      <c r="O52">
        <v>13</v>
      </c>
      <c r="P52" t="s">
        <v>112</v>
      </c>
      <c r="Q52">
        <v>112</v>
      </c>
      <c r="R52">
        <v>3.45</v>
      </c>
      <c r="T52">
        <v>125</v>
      </c>
      <c r="X52" s="9"/>
      <c r="AB52">
        <f t="shared" si="1"/>
        <v>1</v>
      </c>
      <c r="AC52">
        <f t="shared" si="2"/>
        <v>1</v>
      </c>
    </row>
    <row r="53" spans="2:29" x14ac:dyDescent="0.25">
      <c r="B53" s="8" t="s">
        <v>201</v>
      </c>
      <c r="C53" t="s">
        <v>20</v>
      </c>
      <c r="D53">
        <v>29</v>
      </c>
      <c r="E53" t="s">
        <v>95</v>
      </c>
      <c r="F53" t="s">
        <v>95</v>
      </c>
      <c r="G53" t="s">
        <v>95</v>
      </c>
      <c r="H53" s="1">
        <f t="shared" si="0"/>
        <v>14.5</v>
      </c>
      <c r="I53" t="s">
        <v>110</v>
      </c>
      <c r="J53">
        <v>110</v>
      </c>
      <c r="K53">
        <v>2</v>
      </c>
      <c r="X53" s="9"/>
      <c r="AB53">
        <f t="shared" si="1"/>
        <v>1</v>
      </c>
      <c r="AC53">
        <f t="shared" si="2"/>
        <v>1</v>
      </c>
    </row>
    <row r="54" spans="2:29" x14ac:dyDescent="0.25">
      <c r="B54" s="8" t="s">
        <v>202</v>
      </c>
      <c r="C54" t="s">
        <v>20</v>
      </c>
      <c r="D54">
        <v>154</v>
      </c>
      <c r="E54" t="s">
        <v>94</v>
      </c>
      <c r="F54">
        <v>5</v>
      </c>
      <c r="G54" t="s">
        <v>237</v>
      </c>
      <c r="H54" s="1">
        <f t="shared" si="0"/>
        <v>77</v>
      </c>
      <c r="I54" t="s">
        <v>110</v>
      </c>
      <c r="J54">
        <v>110</v>
      </c>
      <c r="K54">
        <v>2</v>
      </c>
      <c r="X54" s="9"/>
      <c r="AB54">
        <f t="shared" si="1"/>
        <v>1</v>
      </c>
      <c r="AC54">
        <f t="shared" si="2"/>
        <v>1</v>
      </c>
    </row>
    <row r="55" spans="2:29" x14ac:dyDescent="0.25">
      <c r="B55" s="8" t="s">
        <v>202</v>
      </c>
      <c r="C55" t="s">
        <v>207</v>
      </c>
      <c r="D55">
        <v>89</v>
      </c>
      <c r="E55" t="s">
        <v>94</v>
      </c>
      <c r="F55">
        <v>20</v>
      </c>
      <c r="G55" t="s">
        <v>248</v>
      </c>
      <c r="H55" s="1">
        <f t="shared" si="0"/>
        <v>26.969696969696972</v>
      </c>
      <c r="I55" t="s">
        <v>106</v>
      </c>
      <c r="J55">
        <v>126</v>
      </c>
      <c r="K55">
        <v>3.3</v>
      </c>
      <c r="X55" s="9"/>
      <c r="AB55">
        <f t="shared" si="1"/>
        <v>1</v>
      </c>
      <c r="AC55">
        <f t="shared" si="2"/>
        <v>1</v>
      </c>
    </row>
    <row r="56" spans="2:29" x14ac:dyDescent="0.25">
      <c r="B56" s="8" t="s">
        <v>203</v>
      </c>
      <c r="C56" t="s">
        <v>20</v>
      </c>
      <c r="D56">
        <v>48</v>
      </c>
      <c r="E56" t="s">
        <v>95</v>
      </c>
      <c r="F56" t="s">
        <v>95</v>
      </c>
      <c r="G56" t="s">
        <v>95</v>
      </c>
      <c r="H56" s="1">
        <f t="shared" si="0"/>
        <v>16</v>
      </c>
      <c r="I56" t="s">
        <v>232</v>
      </c>
      <c r="K56">
        <v>3</v>
      </c>
      <c r="X56" s="9"/>
      <c r="AB56">
        <f t="shared" si="1"/>
        <v>1</v>
      </c>
      <c r="AC56">
        <f t="shared" si="2"/>
        <v>1</v>
      </c>
    </row>
    <row r="57" spans="2:29" x14ac:dyDescent="0.25">
      <c r="B57" s="8" t="s">
        <v>203</v>
      </c>
      <c r="C57" t="s">
        <v>20</v>
      </c>
      <c r="D57">
        <v>200</v>
      </c>
      <c r="E57" t="s">
        <v>95</v>
      </c>
      <c r="F57" t="s">
        <v>95</v>
      </c>
      <c r="G57" t="s">
        <v>95</v>
      </c>
      <c r="H57" s="1">
        <f t="shared" si="0"/>
        <v>100</v>
      </c>
      <c r="I57" t="s">
        <v>110</v>
      </c>
      <c r="J57">
        <v>110</v>
      </c>
      <c r="K57">
        <v>2</v>
      </c>
      <c r="X57" s="9"/>
      <c r="AB57">
        <f t="shared" si="1"/>
        <v>1</v>
      </c>
      <c r="AC57">
        <f t="shared" si="2"/>
        <v>1</v>
      </c>
    </row>
    <row r="58" spans="2:29" x14ac:dyDescent="0.25">
      <c r="B58" s="8" t="s">
        <v>203</v>
      </c>
      <c r="C58" t="s">
        <v>20</v>
      </c>
      <c r="D58">
        <v>43</v>
      </c>
      <c r="E58" t="s">
        <v>95</v>
      </c>
      <c r="F58" t="s">
        <v>95</v>
      </c>
      <c r="G58" t="s">
        <v>95</v>
      </c>
      <c r="H58" s="1">
        <f t="shared" si="0"/>
        <v>17.2</v>
      </c>
      <c r="I58" t="s">
        <v>92</v>
      </c>
      <c r="K58">
        <v>2.5</v>
      </c>
      <c r="P58" t="s">
        <v>232</v>
      </c>
      <c r="R58">
        <v>3</v>
      </c>
      <c r="X58" s="9"/>
      <c r="AB58">
        <f t="shared" si="1"/>
        <v>1</v>
      </c>
      <c r="AC58">
        <f t="shared" si="2"/>
        <v>1</v>
      </c>
    </row>
    <row r="59" spans="2:29" x14ac:dyDescent="0.25">
      <c r="B59" s="8" t="s">
        <v>203</v>
      </c>
      <c r="C59" t="s">
        <v>208</v>
      </c>
      <c r="D59">
        <v>59</v>
      </c>
      <c r="E59" t="s">
        <v>94</v>
      </c>
      <c r="F59">
        <v>15</v>
      </c>
      <c r="G59" t="s">
        <v>249</v>
      </c>
      <c r="H59" s="1">
        <f t="shared" si="0"/>
        <v>17.101449275362317</v>
      </c>
      <c r="I59" t="s">
        <v>115</v>
      </c>
      <c r="J59">
        <v>117</v>
      </c>
      <c r="K59">
        <v>3.45</v>
      </c>
      <c r="X59" s="9"/>
      <c r="AB59">
        <f t="shared" si="1"/>
        <v>1</v>
      </c>
      <c r="AC59">
        <f t="shared" si="2"/>
        <v>1</v>
      </c>
    </row>
    <row r="60" spans="2:29" x14ac:dyDescent="0.25">
      <c r="B60" s="8" t="s">
        <v>203</v>
      </c>
      <c r="C60" t="s">
        <v>138</v>
      </c>
      <c r="D60">
        <v>30</v>
      </c>
      <c r="E60" t="s">
        <v>94</v>
      </c>
      <c r="F60">
        <v>20</v>
      </c>
      <c r="G60" t="s">
        <v>250</v>
      </c>
      <c r="H60" s="1">
        <f t="shared" si="0"/>
        <v>8.695652173913043</v>
      </c>
      <c r="I60" t="s">
        <v>115</v>
      </c>
      <c r="J60">
        <v>117</v>
      </c>
      <c r="K60">
        <v>3.45</v>
      </c>
      <c r="X60" s="9"/>
      <c r="AB60">
        <f t="shared" si="1"/>
        <v>1</v>
      </c>
      <c r="AC60">
        <f t="shared" si="2"/>
        <v>1</v>
      </c>
    </row>
    <row r="61" spans="2:29" x14ac:dyDescent="0.25">
      <c r="B61" s="8" t="s">
        <v>204</v>
      </c>
      <c r="C61" t="s">
        <v>20</v>
      </c>
      <c r="D61">
        <v>140</v>
      </c>
      <c r="E61" t="s">
        <v>95</v>
      </c>
      <c r="F61" t="s">
        <v>95</v>
      </c>
      <c r="G61" t="s">
        <v>251</v>
      </c>
      <c r="H61" s="1">
        <f t="shared" si="0"/>
        <v>70</v>
      </c>
      <c r="I61" t="s">
        <v>110</v>
      </c>
      <c r="J61">
        <v>110</v>
      </c>
      <c r="K61">
        <v>2</v>
      </c>
      <c r="X61" s="9"/>
      <c r="AB61">
        <f t="shared" si="1"/>
        <v>1</v>
      </c>
      <c r="AC61">
        <f t="shared" si="2"/>
        <v>1</v>
      </c>
    </row>
    <row r="62" spans="2:29" x14ac:dyDescent="0.25">
      <c r="B62" s="8" t="s">
        <v>204</v>
      </c>
      <c r="C62" t="s">
        <v>20</v>
      </c>
      <c r="D62">
        <v>40</v>
      </c>
      <c r="E62" t="s">
        <v>95</v>
      </c>
      <c r="F62" t="s">
        <v>95</v>
      </c>
      <c r="G62" t="s">
        <v>95</v>
      </c>
      <c r="H62" s="1">
        <f t="shared" si="0"/>
        <v>20</v>
      </c>
      <c r="I62" t="s">
        <v>110</v>
      </c>
      <c r="J62">
        <v>110</v>
      </c>
      <c r="K62">
        <v>2</v>
      </c>
      <c r="X62" s="9"/>
      <c r="AB62">
        <f t="shared" si="1"/>
        <v>1</v>
      </c>
      <c r="AC62">
        <f t="shared" si="2"/>
        <v>1</v>
      </c>
    </row>
    <row r="63" spans="2:29" x14ac:dyDescent="0.25">
      <c r="B63" s="8" t="s">
        <v>204</v>
      </c>
      <c r="C63" t="s">
        <v>20</v>
      </c>
      <c r="D63">
        <v>70</v>
      </c>
      <c r="E63" t="s">
        <v>95</v>
      </c>
      <c r="F63" t="s">
        <v>95</v>
      </c>
      <c r="G63" t="s">
        <v>95</v>
      </c>
      <c r="H63" s="1">
        <f t="shared" si="0"/>
        <v>35</v>
      </c>
      <c r="I63" t="s">
        <v>92</v>
      </c>
      <c r="K63">
        <v>2</v>
      </c>
      <c r="X63" s="9"/>
      <c r="AB63">
        <f t="shared" si="1"/>
        <v>1</v>
      </c>
      <c r="AC63">
        <f t="shared" si="2"/>
        <v>1</v>
      </c>
    </row>
    <row r="64" spans="2:29" x14ac:dyDescent="0.25">
      <c r="B64" s="8" t="s">
        <v>204</v>
      </c>
      <c r="C64" t="s">
        <v>69</v>
      </c>
      <c r="D64">
        <v>21</v>
      </c>
      <c r="E64" t="s">
        <v>93</v>
      </c>
      <c r="F64">
        <v>10</v>
      </c>
      <c r="G64" t="s">
        <v>252</v>
      </c>
      <c r="H64" s="1">
        <f t="shared" si="0"/>
        <v>6.0869565217391299</v>
      </c>
      <c r="I64" t="s">
        <v>109</v>
      </c>
      <c r="J64">
        <v>126</v>
      </c>
      <c r="K64">
        <v>3.45</v>
      </c>
      <c r="X64" s="9"/>
      <c r="AB64">
        <f t="shared" si="1"/>
        <v>1</v>
      </c>
      <c r="AC64">
        <f t="shared" si="2"/>
        <v>1</v>
      </c>
    </row>
    <row r="65" spans="1:29" x14ac:dyDescent="0.25">
      <c r="B65" s="8" t="s">
        <v>205</v>
      </c>
      <c r="C65" t="s">
        <v>20</v>
      </c>
      <c r="D65">
        <v>131</v>
      </c>
      <c r="E65" t="s">
        <v>95</v>
      </c>
      <c r="F65" t="s">
        <v>95</v>
      </c>
      <c r="G65" t="s">
        <v>95</v>
      </c>
      <c r="H65" s="1">
        <f t="shared" si="0"/>
        <v>37.971014492753618</v>
      </c>
      <c r="I65" t="s">
        <v>112</v>
      </c>
      <c r="J65">
        <v>112</v>
      </c>
      <c r="K65">
        <v>3.45</v>
      </c>
      <c r="X65" s="9"/>
      <c r="AB65">
        <f t="shared" si="1"/>
        <v>1</v>
      </c>
      <c r="AC65">
        <f t="shared" si="2"/>
        <v>1</v>
      </c>
    </row>
    <row r="66" spans="1:29" x14ac:dyDescent="0.25">
      <c r="B66" s="8" t="s">
        <v>205</v>
      </c>
      <c r="C66" t="s">
        <v>20</v>
      </c>
      <c r="D66">
        <v>30</v>
      </c>
      <c r="G66" t="s">
        <v>253</v>
      </c>
      <c r="H66" s="1">
        <f t="shared" si="0"/>
        <v>10</v>
      </c>
      <c r="I66" t="s">
        <v>232</v>
      </c>
      <c r="K66">
        <v>3</v>
      </c>
      <c r="X66" s="9"/>
      <c r="AB66">
        <f t="shared" si="1"/>
        <v>1</v>
      </c>
      <c r="AC66">
        <f t="shared" si="2"/>
        <v>1</v>
      </c>
    </row>
    <row r="67" spans="1:29" x14ac:dyDescent="0.25">
      <c r="B67" s="8" t="s">
        <v>205</v>
      </c>
      <c r="C67" t="s">
        <v>141</v>
      </c>
      <c r="D67">
        <v>117</v>
      </c>
      <c r="E67" t="s">
        <v>93</v>
      </c>
      <c r="F67">
        <v>15</v>
      </c>
      <c r="G67" t="s">
        <v>220</v>
      </c>
      <c r="H67" s="1">
        <f t="shared" ref="H67:H73" si="3">D67/K67</f>
        <v>58.5</v>
      </c>
      <c r="I67" t="s">
        <v>110</v>
      </c>
      <c r="J67">
        <v>110</v>
      </c>
      <c r="K67">
        <v>2</v>
      </c>
      <c r="X67" s="9"/>
      <c r="AB67">
        <f t="shared" ref="AB67:AB73" si="4">COUNTIF($I$87:$I$117,I67)</f>
        <v>1</v>
      </c>
      <c r="AC67">
        <f t="shared" ref="AC67:AC73" si="5">COUNTIF($C$86:$C$117,C67)</f>
        <v>1</v>
      </c>
    </row>
    <row r="68" spans="1:29" x14ac:dyDescent="0.25">
      <c r="B68" s="8" t="s">
        <v>205</v>
      </c>
      <c r="C68" t="s">
        <v>142</v>
      </c>
      <c r="D68">
        <v>50</v>
      </c>
      <c r="E68" t="s">
        <v>95</v>
      </c>
      <c r="F68" t="s">
        <v>95</v>
      </c>
      <c r="G68" t="s">
        <v>95</v>
      </c>
      <c r="H68" s="1">
        <f t="shared" si="3"/>
        <v>22.727272727272727</v>
      </c>
      <c r="I68" t="s">
        <v>110</v>
      </c>
      <c r="J68">
        <v>110</v>
      </c>
      <c r="K68">
        <v>2.2000000000000002</v>
      </c>
      <c r="X68" s="9"/>
      <c r="AB68">
        <f t="shared" si="4"/>
        <v>1</v>
      </c>
      <c r="AC68">
        <f t="shared" si="5"/>
        <v>1</v>
      </c>
    </row>
    <row r="69" spans="1:29" x14ac:dyDescent="0.25">
      <c r="B69" s="8" t="s">
        <v>205</v>
      </c>
      <c r="C69" t="s">
        <v>142</v>
      </c>
      <c r="D69">
        <v>25</v>
      </c>
      <c r="E69" t="s">
        <v>93</v>
      </c>
      <c r="F69">
        <v>2</v>
      </c>
      <c r="G69" t="s">
        <v>254</v>
      </c>
      <c r="H69" s="1">
        <f t="shared" si="3"/>
        <v>7.2463768115942022</v>
      </c>
      <c r="I69" t="s">
        <v>115</v>
      </c>
      <c r="J69">
        <v>117</v>
      </c>
      <c r="K69">
        <v>3.45</v>
      </c>
      <c r="X69" s="9"/>
      <c r="AB69">
        <f t="shared" si="4"/>
        <v>1</v>
      </c>
      <c r="AC69">
        <f t="shared" si="5"/>
        <v>1</v>
      </c>
    </row>
    <row r="70" spans="1:29" x14ac:dyDescent="0.25">
      <c r="B70" s="8" t="s">
        <v>205</v>
      </c>
      <c r="C70" t="s">
        <v>141</v>
      </c>
      <c r="D70">
        <v>42</v>
      </c>
      <c r="E70" t="s">
        <v>93</v>
      </c>
      <c r="F70">
        <v>10</v>
      </c>
      <c r="G70" t="s">
        <v>241</v>
      </c>
      <c r="H70" s="1">
        <f t="shared" si="3"/>
        <v>21</v>
      </c>
      <c r="I70" t="s">
        <v>110</v>
      </c>
      <c r="J70">
        <v>110</v>
      </c>
      <c r="K70">
        <v>2</v>
      </c>
      <c r="X70" s="9"/>
      <c r="AB70">
        <f t="shared" si="4"/>
        <v>1</v>
      </c>
      <c r="AC70">
        <f t="shared" si="5"/>
        <v>1</v>
      </c>
    </row>
    <row r="71" spans="1:29" x14ac:dyDescent="0.25">
      <c r="B71" s="8" t="s">
        <v>205</v>
      </c>
      <c r="C71" t="s">
        <v>20</v>
      </c>
      <c r="D71">
        <v>131</v>
      </c>
      <c r="E71" t="s">
        <v>95</v>
      </c>
      <c r="F71" t="s">
        <v>95</v>
      </c>
      <c r="G71" t="s">
        <v>220</v>
      </c>
      <c r="H71" s="1">
        <v>50</v>
      </c>
      <c r="I71" t="s">
        <v>110</v>
      </c>
      <c r="J71">
        <v>110</v>
      </c>
      <c r="K71">
        <v>2</v>
      </c>
      <c r="P71" t="s">
        <v>92</v>
      </c>
      <c r="R71">
        <v>2</v>
      </c>
      <c r="X71" s="9"/>
      <c r="AB71">
        <f t="shared" si="4"/>
        <v>1</v>
      </c>
      <c r="AC71">
        <f t="shared" si="5"/>
        <v>1</v>
      </c>
    </row>
    <row r="72" spans="1:29" x14ac:dyDescent="0.25">
      <c r="B72" s="8" t="s">
        <v>205</v>
      </c>
      <c r="C72" t="s">
        <v>20</v>
      </c>
      <c r="D72">
        <v>67</v>
      </c>
      <c r="E72" t="s">
        <v>95</v>
      </c>
      <c r="F72" t="s">
        <v>95</v>
      </c>
      <c r="G72" t="s">
        <v>95</v>
      </c>
      <c r="H72" s="1">
        <f t="shared" si="3"/>
        <v>33.5</v>
      </c>
      <c r="I72" t="s">
        <v>110</v>
      </c>
      <c r="J72">
        <v>110</v>
      </c>
      <c r="K72">
        <v>2</v>
      </c>
      <c r="X72" s="9"/>
      <c r="AB72">
        <f t="shared" si="4"/>
        <v>1</v>
      </c>
      <c r="AC72">
        <f t="shared" si="5"/>
        <v>1</v>
      </c>
    </row>
    <row r="73" spans="1:29" s="11" customFormat="1" x14ac:dyDescent="0.25">
      <c r="A73" s="11">
        <f>SUM(D38:D73)</f>
        <v>3305</v>
      </c>
      <c r="B73" s="10" t="s">
        <v>205</v>
      </c>
      <c r="C73" s="11" t="s">
        <v>20</v>
      </c>
      <c r="D73" s="11">
        <v>29</v>
      </c>
      <c r="E73" s="11" t="s">
        <v>95</v>
      </c>
      <c r="F73" s="11" t="s">
        <v>95</v>
      </c>
      <c r="G73" s="11" t="s">
        <v>95</v>
      </c>
      <c r="H73" s="28">
        <f t="shared" si="3"/>
        <v>14.5</v>
      </c>
      <c r="I73" s="11" t="s">
        <v>110</v>
      </c>
      <c r="J73" s="11">
        <v>110</v>
      </c>
      <c r="K73" s="11">
        <v>2</v>
      </c>
      <c r="X73" s="12"/>
      <c r="AB73">
        <f t="shared" si="4"/>
        <v>1</v>
      </c>
      <c r="AC73">
        <f t="shared" si="5"/>
        <v>1</v>
      </c>
    </row>
    <row r="74" spans="1:29" x14ac:dyDescent="0.25">
      <c r="B74" s="2"/>
      <c r="H74" s="1"/>
    </row>
    <row r="75" spans="1:29" x14ac:dyDescent="0.25">
      <c r="B75" s="2"/>
      <c r="H75" s="1"/>
    </row>
    <row r="77" spans="1:29" x14ac:dyDescent="0.25">
      <c r="C77" s="5" t="s">
        <v>150</v>
      </c>
      <c r="D77" s="6" t="s">
        <v>91</v>
      </c>
      <c r="E77" s="6" t="s">
        <v>130</v>
      </c>
      <c r="F77" s="6"/>
      <c r="G77" s="7" t="s">
        <v>394</v>
      </c>
      <c r="I77" s="5" t="s">
        <v>124</v>
      </c>
      <c r="J77" s="6"/>
      <c r="K77" s="6"/>
      <c r="L77" s="6" t="s">
        <v>135</v>
      </c>
      <c r="M77" s="6" t="s">
        <v>375</v>
      </c>
      <c r="N77" s="7" t="s">
        <v>130</v>
      </c>
      <c r="P77" s="5" t="s">
        <v>124</v>
      </c>
      <c r="Q77" s="6"/>
      <c r="R77" s="6"/>
      <c r="S77" s="6" t="s">
        <v>135</v>
      </c>
      <c r="T77" s="7" t="s">
        <v>375</v>
      </c>
    </row>
    <row r="78" spans="1:29" x14ac:dyDescent="0.25">
      <c r="C78" s="8" t="s">
        <v>393</v>
      </c>
      <c r="D78" s="1">
        <f>SUM(M78:M81,T78:T81)</f>
        <v>2794.5732103645141</v>
      </c>
      <c r="E78">
        <f>SUM(D2:D75)</f>
        <v>7585</v>
      </c>
      <c r="G78" s="23">
        <f>E78/D78</f>
        <v>2.714189047497038</v>
      </c>
      <c r="I78" s="8" t="s">
        <v>255</v>
      </c>
      <c r="L78">
        <f>COUNTIF(K1:K74,"&lt;2")</f>
        <v>1</v>
      </c>
      <c r="M78" s="1">
        <f>SUMIF(K1:K74,"&lt;2",H1:H74)</f>
        <v>15</v>
      </c>
      <c r="N78" s="9">
        <f>SUMIF(K1:K74,"&lt;2",D1:D74)</f>
        <v>27</v>
      </c>
      <c r="P78" s="8" t="s">
        <v>255</v>
      </c>
      <c r="S78">
        <f>COUNTIF(R1:R74,"&lt;2")</f>
        <v>0</v>
      </c>
      <c r="T78" s="9">
        <f>SUMIF(R1:R74,"&lt;2",O1:O74)</f>
        <v>0</v>
      </c>
    </row>
    <row r="79" spans="1:29" x14ac:dyDescent="0.25">
      <c r="C79" s="8" t="s">
        <v>125</v>
      </c>
      <c r="D79">
        <f>COUNT(D2:D75)</f>
        <v>72</v>
      </c>
      <c r="G79" s="9"/>
      <c r="I79" s="8" t="s">
        <v>133</v>
      </c>
      <c r="L79">
        <f>COUNTIF(K2:K75,"&lt;3")-L78</f>
        <v>33</v>
      </c>
      <c r="M79" s="1">
        <f>SUMIF(K2:K75,"&lt;3",H2:H75)-M78</f>
        <v>1628.9636363636364</v>
      </c>
      <c r="N79" s="9">
        <f>SUMIF(K2:K75,"&lt;3",D2:D75)</f>
        <v>3401</v>
      </c>
      <c r="P79" s="8" t="s">
        <v>133</v>
      </c>
      <c r="S79">
        <f>COUNTIF(R2:R75,"&lt;3")-S78</f>
        <v>3</v>
      </c>
      <c r="T79" s="9">
        <f>SUMIF(R2:R75,"&lt;3",O2:O75)</f>
        <v>14</v>
      </c>
    </row>
    <row r="80" spans="1:29" x14ac:dyDescent="0.25">
      <c r="C80" s="8" t="s">
        <v>386</v>
      </c>
      <c r="D80">
        <f>COUNTIF(E2:E75,"AOM5000")</f>
        <v>23</v>
      </c>
      <c r="E80">
        <f>SUMIF(E2:E73,"AOM5000",D2:D73)</f>
        <v>3190</v>
      </c>
      <c r="F80" t="s">
        <v>126</v>
      </c>
      <c r="G80" s="23">
        <f>AVERAGEIF(E2:E75,"AOM5000",F2:F75)</f>
        <v>10.199999999999999</v>
      </c>
      <c r="I80" s="8" t="s">
        <v>132</v>
      </c>
      <c r="L80">
        <f>COUNTIF(K2:K75,"&lt;4")-L79-L78</f>
        <v>36</v>
      </c>
      <c r="M80" s="1">
        <f>SUMIF(K2:K75,"&lt;4",H2:H75)-M79-M78</f>
        <v>1093.6095740008777</v>
      </c>
      <c r="N80" s="9">
        <f>SUMIF(K2:K75,"&lt;4",D2:D75)-N79</f>
        <v>3936</v>
      </c>
      <c r="P80" s="8" t="s">
        <v>132</v>
      </c>
      <c r="S80">
        <f>COUNTIF(R2:R75,"&lt;4")-S79-S78</f>
        <v>7</v>
      </c>
      <c r="T80" s="9">
        <f>SUMIF(R2:R75,"&lt;4",O2:O75)-T79</f>
        <v>43</v>
      </c>
    </row>
    <row r="81" spans="2:20" x14ac:dyDescent="0.25">
      <c r="C81" s="8" t="s">
        <v>387</v>
      </c>
      <c r="D81">
        <f>COUNTIF(E2:E75,"AOM4000")</f>
        <v>26</v>
      </c>
      <c r="E81">
        <f>SUMIF(E2:E73,"AOM4000",D2:D73)</f>
        <v>1849</v>
      </c>
      <c r="F81" t="s">
        <v>127</v>
      </c>
      <c r="G81" s="23">
        <f>AVERAGEIF(E2:E75,"AOM4000",F2:F75)</f>
        <v>10.24</v>
      </c>
      <c r="I81" s="8" t="s">
        <v>134</v>
      </c>
      <c r="L81">
        <f>COUNTIF(K2:K75,"&lt;5")-L80-L79-L78</f>
        <v>0</v>
      </c>
      <c r="M81" s="1">
        <f>SUMIF(K2:K75,"&lt;5",H2:H75)-M80-M79-M78</f>
        <v>0</v>
      </c>
      <c r="N81" s="9">
        <f>SUMIF(K2:K75,"&lt;5",D2:D75)-N80-N79</f>
        <v>0</v>
      </c>
      <c r="P81" s="8" t="s">
        <v>134</v>
      </c>
      <c r="S81">
        <f>COUNTIF(R2:R75,"&lt;5")-S80-S79-S78</f>
        <v>0</v>
      </c>
      <c r="T81" s="9">
        <f>SUMIF(R2:R75,"&lt;5",O2:O75)-T80-T79</f>
        <v>0</v>
      </c>
    </row>
    <row r="82" spans="2:20" x14ac:dyDescent="0.25">
      <c r="C82" s="8" t="s">
        <v>390</v>
      </c>
      <c r="D82" s="18">
        <f>D80/(D81+D80)*100</f>
        <v>46.938775510204081</v>
      </c>
      <c r="E82" s="18">
        <f>E80/(E81+E80)*100</f>
        <v>63.306211549910699</v>
      </c>
      <c r="G82" s="9"/>
      <c r="I82" s="8"/>
      <c r="N82" s="9"/>
      <c r="P82" s="8"/>
      <c r="T82" s="9"/>
    </row>
    <row r="83" spans="2:20" x14ac:dyDescent="0.25">
      <c r="C83" s="16" t="s">
        <v>128</v>
      </c>
      <c r="D83" s="22">
        <f>D80/D79*100</f>
        <v>31.944444444444443</v>
      </c>
      <c r="E83" s="22">
        <f>E80/E78*100</f>
        <v>42.056690837178643</v>
      </c>
      <c r="F83" s="11"/>
      <c r="G83" s="12"/>
      <c r="I83" s="8" t="s">
        <v>136</v>
      </c>
      <c r="L83">
        <f>COUNTA(L2:L75)</f>
        <v>9</v>
      </c>
      <c r="N83" s="9"/>
      <c r="P83" s="8" t="s">
        <v>136</v>
      </c>
      <c r="S83">
        <f>COUNTA(S2:S75)</f>
        <v>1</v>
      </c>
      <c r="T83" s="9"/>
    </row>
    <row r="84" spans="2:20" x14ac:dyDescent="0.25">
      <c r="F84" t="s">
        <v>388</v>
      </c>
      <c r="I84" s="10"/>
      <c r="J84" s="11"/>
      <c r="K84" s="11"/>
      <c r="L84" s="11"/>
      <c r="M84" s="11"/>
      <c r="N84" s="12"/>
      <c r="P84" s="10"/>
      <c r="Q84" s="11"/>
      <c r="R84" s="11"/>
      <c r="S84" s="11"/>
      <c r="T84" s="12"/>
    </row>
    <row r="85" spans="2:20" x14ac:dyDescent="0.25">
      <c r="B85" t="s">
        <v>544</v>
      </c>
      <c r="C85" s="5" t="s">
        <v>149</v>
      </c>
      <c r="D85" s="6" t="s">
        <v>135</v>
      </c>
      <c r="E85" s="6" t="s">
        <v>130</v>
      </c>
      <c r="F85" s="5" t="s">
        <v>93</v>
      </c>
      <c r="G85" s="7" t="s">
        <v>94</v>
      </c>
    </row>
    <row r="86" spans="2:20" x14ac:dyDescent="0.25">
      <c r="B86" s="18">
        <f>E86/$E$78*100</f>
        <v>43.295978905735005</v>
      </c>
      <c r="C86" s="8" t="s">
        <v>20</v>
      </c>
      <c r="D86">
        <f t="shared" ref="D86:D109" si="6">COUNTIF(C$2:C$75,C86)</f>
        <v>27</v>
      </c>
      <c r="E86">
        <f t="shared" ref="E86:E109" si="7">SUMIF(C$2:C$75,C86,D$2:D$75)</f>
        <v>3284</v>
      </c>
      <c r="F86" s="8">
        <f>SUMIFS($D$2:$D$73,$C$2:$C$73,C86,$E$2:$E$73,$F$85)</f>
        <v>0</v>
      </c>
      <c r="G86" s="9">
        <f>SUMIFS($D$2:$D$73,$C$2:$C$73,C86,$E$2:$E$73,$G$85)</f>
        <v>1008</v>
      </c>
      <c r="I86" s="5" t="s">
        <v>376</v>
      </c>
      <c r="J86" s="6"/>
      <c r="K86" s="6"/>
      <c r="L86" s="7" t="s">
        <v>377</v>
      </c>
    </row>
    <row r="87" spans="2:20" x14ac:dyDescent="0.25">
      <c r="B87" s="18">
        <f t="shared" ref="B87:B110" si="8">E87/$E$78*100</f>
        <v>5.2603823335530651</v>
      </c>
      <c r="C87" s="8" t="s">
        <v>142</v>
      </c>
      <c r="D87">
        <f t="shared" si="6"/>
        <v>7</v>
      </c>
      <c r="E87">
        <f t="shared" si="7"/>
        <v>399</v>
      </c>
      <c r="F87" s="8">
        <f t="shared" ref="F87:F109" si="9">SUMIFS($D$2:$D$73,$C$2:$C$73,C87,$E$2:$E$73,$F$85)</f>
        <v>301</v>
      </c>
      <c r="G87" s="9">
        <f t="shared" ref="G87:G109" si="10">SUMIFS($D$2:$D$73,$C$2:$C$73,C87,$E$2:$E$73,$G$85)</f>
        <v>0</v>
      </c>
      <c r="I87" s="8" t="s">
        <v>92</v>
      </c>
      <c r="L87" s="19">
        <f t="shared" ref="L87:L99" si="11">SUMIF(I$2:I$75,I87,H$2:H$75)+SUMIF(P$2:P$75,I87,O$2:O$75)</f>
        <v>184.6</v>
      </c>
    </row>
    <row r="88" spans="2:20" x14ac:dyDescent="0.25">
      <c r="B88" s="18">
        <f t="shared" si="8"/>
        <v>6.1964403427818056</v>
      </c>
      <c r="C88" s="8" t="s">
        <v>140</v>
      </c>
      <c r="D88">
        <f t="shared" si="6"/>
        <v>6</v>
      </c>
      <c r="E88">
        <f t="shared" si="7"/>
        <v>470</v>
      </c>
      <c r="F88" s="8">
        <f t="shared" si="9"/>
        <v>0</v>
      </c>
      <c r="G88" s="9">
        <f t="shared" si="10"/>
        <v>470</v>
      </c>
      <c r="I88" s="8" t="s">
        <v>232</v>
      </c>
      <c r="L88" s="19">
        <f t="shared" si="11"/>
        <v>26</v>
      </c>
    </row>
    <row r="89" spans="2:20" x14ac:dyDescent="0.25">
      <c r="B89" s="18">
        <f t="shared" si="8"/>
        <v>4.8912326961107446</v>
      </c>
      <c r="C89" s="8" t="s">
        <v>141</v>
      </c>
      <c r="D89">
        <f t="shared" si="6"/>
        <v>4</v>
      </c>
      <c r="E89">
        <f t="shared" si="7"/>
        <v>371</v>
      </c>
      <c r="F89" s="8">
        <f t="shared" si="9"/>
        <v>199</v>
      </c>
      <c r="G89" s="9">
        <f t="shared" si="10"/>
        <v>0</v>
      </c>
      <c r="I89" s="8" t="s">
        <v>233</v>
      </c>
      <c r="L89" s="19">
        <f t="shared" si="11"/>
        <v>40</v>
      </c>
    </row>
    <row r="90" spans="2:20" x14ac:dyDescent="0.25">
      <c r="B90" s="18">
        <f t="shared" si="8"/>
        <v>2.0962425840474621</v>
      </c>
      <c r="C90" s="8" t="s">
        <v>138</v>
      </c>
      <c r="D90">
        <f t="shared" si="6"/>
        <v>4</v>
      </c>
      <c r="E90">
        <f t="shared" si="7"/>
        <v>159</v>
      </c>
      <c r="F90" s="8">
        <f t="shared" si="9"/>
        <v>76</v>
      </c>
      <c r="G90" s="9">
        <f t="shared" si="10"/>
        <v>83</v>
      </c>
      <c r="I90" s="8" t="s">
        <v>222</v>
      </c>
      <c r="L90" s="19">
        <f t="shared" si="11"/>
        <v>15</v>
      </c>
    </row>
    <row r="91" spans="2:20" x14ac:dyDescent="0.25">
      <c r="B91" s="18">
        <f t="shared" si="8"/>
        <v>6.3282794990112068</v>
      </c>
      <c r="C91" s="8" t="s">
        <v>144</v>
      </c>
      <c r="D91">
        <f t="shared" si="6"/>
        <v>3</v>
      </c>
      <c r="E91">
        <f t="shared" si="7"/>
        <v>480</v>
      </c>
      <c r="F91" s="8">
        <f t="shared" si="9"/>
        <v>480</v>
      </c>
      <c r="G91" s="9">
        <f t="shared" si="10"/>
        <v>0</v>
      </c>
      <c r="I91" s="8" t="s">
        <v>113</v>
      </c>
      <c r="L91" s="19">
        <f t="shared" si="11"/>
        <v>104</v>
      </c>
    </row>
    <row r="92" spans="2:20" x14ac:dyDescent="0.25">
      <c r="B92" s="18">
        <f t="shared" si="8"/>
        <v>15.359261700725115</v>
      </c>
      <c r="C92" s="8" t="s">
        <v>139</v>
      </c>
      <c r="D92">
        <f t="shared" si="6"/>
        <v>3</v>
      </c>
      <c r="E92">
        <f t="shared" si="7"/>
        <v>1165</v>
      </c>
      <c r="F92" s="8">
        <f t="shared" si="9"/>
        <v>0</v>
      </c>
      <c r="G92" s="9">
        <f t="shared" si="10"/>
        <v>1165</v>
      </c>
      <c r="I92" s="8" t="s">
        <v>114</v>
      </c>
      <c r="L92" s="19">
        <f t="shared" si="11"/>
        <v>8.9855072463768106</v>
      </c>
    </row>
    <row r="93" spans="2:20" x14ac:dyDescent="0.25">
      <c r="B93" s="18">
        <f t="shared" si="8"/>
        <v>3.4146341463414638</v>
      </c>
      <c r="C93" s="8" t="s">
        <v>165</v>
      </c>
      <c r="D93">
        <f t="shared" si="6"/>
        <v>2</v>
      </c>
      <c r="E93">
        <f t="shared" si="7"/>
        <v>259</v>
      </c>
      <c r="F93" s="8">
        <f t="shared" si="9"/>
        <v>259</v>
      </c>
      <c r="G93" s="9">
        <f t="shared" si="10"/>
        <v>0</v>
      </c>
      <c r="I93" s="8" t="s">
        <v>110</v>
      </c>
      <c r="L93" s="19">
        <f t="shared" si="11"/>
        <v>1354.3636363636363</v>
      </c>
    </row>
    <row r="94" spans="2:20" x14ac:dyDescent="0.25">
      <c r="B94" s="18">
        <f t="shared" si="8"/>
        <v>2.953197099538563</v>
      </c>
      <c r="C94" s="8" t="s">
        <v>45</v>
      </c>
      <c r="D94">
        <f t="shared" si="6"/>
        <v>1</v>
      </c>
      <c r="E94">
        <f t="shared" si="7"/>
        <v>224</v>
      </c>
      <c r="F94" s="8">
        <f t="shared" si="9"/>
        <v>0</v>
      </c>
      <c r="G94" s="9">
        <f t="shared" si="10"/>
        <v>224</v>
      </c>
      <c r="I94" s="8" t="s">
        <v>111</v>
      </c>
      <c r="L94" s="19">
        <f t="shared" si="11"/>
        <v>34.848484848484851</v>
      </c>
    </row>
    <row r="95" spans="2:20" x14ac:dyDescent="0.25">
      <c r="B95" s="18">
        <f t="shared" si="8"/>
        <v>0.59327620303230055</v>
      </c>
      <c r="C95" s="8" t="s">
        <v>163</v>
      </c>
      <c r="D95">
        <f t="shared" si="6"/>
        <v>1</v>
      </c>
      <c r="E95">
        <f t="shared" si="7"/>
        <v>45</v>
      </c>
      <c r="F95" s="8">
        <f t="shared" si="9"/>
        <v>45</v>
      </c>
      <c r="G95" s="9">
        <f t="shared" si="10"/>
        <v>0</v>
      </c>
      <c r="I95" s="8" t="s">
        <v>112</v>
      </c>
      <c r="L95" s="19">
        <f t="shared" si="11"/>
        <v>164.15942028985506</v>
      </c>
    </row>
    <row r="96" spans="2:20" x14ac:dyDescent="0.25">
      <c r="B96" s="18">
        <f t="shared" si="8"/>
        <v>1.4765985497692815</v>
      </c>
      <c r="C96" s="8" t="s">
        <v>206</v>
      </c>
      <c r="D96">
        <f t="shared" si="6"/>
        <v>1</v>
      </c>
      <c r="E96">
        <f t="shared" si="7"/>
        <v>112</v>
      </c>
      <c r="F96" s="8">
        <f t="shared" si="9"/>
        <v>112</v>
      </c>
      <c r="G96" s="9">
        <f t="shared" si="10"/>
        <v>0</v>
      </c>
      <c r="I96" s="8" t="s">
        <v>224</v>
      </c>
      <c r="L96" s="19">
        <f t="shared" si="11"/>
        <v>53.939393939393945</v>
      </c>
    </row>
    <row r="97" spans="2:12" x14ac:dyDescent="0.25">
      <c r="B97" s="18">
        <f t="shared" si="8"/>
        <v>0.34278180619644033</v>
      </c>
      <c r="C97" s="8" t="s">
        <v>148</v>
      </c>
      <c r="D97">
        <f t="shared" si="6"/>
        <v>1</v>
      </c>
      <c r="E97">
        <f t="shared" si="7"/>
        <v>26</v>
      </c>
      <c r="F97" s="8">
        <f t="shared" si="9"/>
        <v>26</v>
      </c>
      <c r="G97" s="9">
        <f t="shared" si="10"/>
        <v>0</v>
      </c>
      <c r="I97" s="8" t="s">
        <v>115</v>
      </c>
      <c r="L97" s="19">
        <f t="shared" si="11"/>
        <v>398.97101449275362</v>
      </c>
    </row>
    <row r="98" spans="2:12" x14ac:dyDescent="0.25">
      <c r="B98" s="18">
        <f t="shared" si="8"/>
        <v>0.77785102175346077</v>
      </c>
      <c r="C98" s="8" t="s">
        <v>208</v>
      </c>
      <c r="D98">
        <f t="shared" si="6"/>
        <v>1</v>
      </c>
      <c r="E98">
        <f t="shared" si="7"/>
        <v>59</v>
      </c>
      <c r="F98" s="8">
        <f t="shared" si="9"/>
        <v>0</v>
      </c>
      <c r="G98" s="9">
        <f t="shared" si="10"/>
        <v>59</v>
      </c>
      <c r="I98" s="8" t="s">
        <v>106</v>
      </c>
      <c r="L98" s="19">
        <f t="shared" si="11"/>
        <v>58.787878787878796</v>
      </c>
    </row>
    <row r="99" spans="2:12" x14ac:dyDescent="0.25">
      <c r="B99" s="18">
        <f t="shared" si="8"/>
        <v>0.47462096242584051</v>
      </c>
      <c r="C99" s="8" t="s">
        <v>162</v>
      </c>
      <c r="D99">
        <f t="shared" si="6"/>
        <v>1</v>
      </c>
      <c r="E99">
        <f t="shared" si="7"/>
        <v>36</v>
      </c>
      <c r="F99" s="8">
        <f t="shared" si="9"/>
        <v>0</v>
      </c>
      <c r="G99" s="9">
        <f t="shared" si="10"/>
        <v>36</v>
      </c>
      <c r="I99" s="10" t="s">
        <v>109</v>
      </c>
      <c r="J99" s="11"/>
      <c r="K99" s="11"/>
      <c r="L99" s="20">
        <f t="shared" si="11"/>
        <v>350.91787439613523</v>
      </c>
    </row>
    <row r="100" spans="2:12" x14ac:dyDescent="0.25">
      <c r="B100" s="18">
        <f t="shared" si="8"/>
        <v>1.1733684904416612</v>
      </c>
      <c r="C100" s="8" t="s">
        <v>207</v>
      </c>
      <c r="D100">
        <f t="shared" si="6"/>
        <v>1</v>
      </c>
      <c r="E100">
        <f t="shared" si="7"/>
        <v>89</v>
      </c>
      <c r="F100" s="8">
        <f t="shared" si="9"/>
        <v>0</v>
      </c>
      <c r="G100" s="9">
        <f t="shared" si="10"/>
        <v>89</v>
      </c>
    </row>
    <row r="101" spans="2:12" x14ac:dyDescent="0.25">
      <c r="B101" s="18">
        <f t="shared" si="8"/>
        <v>0.65919578114700061</v>
      </c>
      <c r="C101" s="8" t="s">
        <v>187</v>
      </c>
      <c r="D101">
        <f t="shared" si="6"/>
        <v>1</v>
      </c>
      <c r="E101">
        <f t="shared" si="7"/>
        <v>50</v>
      </c>
      <c r="F101" s="8">
        <f t="shared" si="9"/>
        <v>50</v>
      </c>
      <c r="G101" s="9">
        <f t="shared" si="10"/>
        <v>0</v>
      </c>
    </row>
    <row r="102" spans="2:12" x14ac:dyDescent="0.25">
      <c r="B102" s="18">
        <f t="shared" si="8"/>
        <v>1.5820698747528017</v>
      </c>
      <c r="C102" s="8" t="s">
        <v>186</v>
      </c>
      <c r="D102">
        <f t="shared" si="6"/>
        <v>1</v>
      </c>
      <c r="E102">
        <f t="shared" si="7"/>
        <v>120</v>
      </c>
      <c r="F102" s="8">
        <f t="shared" si="9"/>
        <v>120</v>
      </c>
      <c r="G102" s="9">
        <f t="shared" si="10"/>
        <v>0</v>
      </c>
      <c r="I102" t="s">
        <v>5</v>
      </c>
    </row>
    <row r="103" spans="2:12" x14ac:dyDescent="0.25">
      <c r="B103" s="18">
        <f t="shared" si="8"/>
        <v>0.73829927488464075</v>
      </c>
      <c r="C103" s="8" t="s">
        <v>161</v>
      </c>
      <c r="D103">
        <f t="shared" si="6"/>
        <v>1</v>
      </c>
      <c r="E103">
        <f t="shared" si="7"/>
        <v>56</v>
      </c>
      <c r="F103" s="8">
        <f>SUMIFS($D$2:$D$73,$C$2:$C$73,C103,$E$2:$E$73,$F$85)</f>
        <v>0</v>
      </c>
      <c r="G103" s="9">
        <f t="shared" si="10"/>
        <v>56</v>
      </c>
      <c r="I103" t="s">
        <v>1164</v>
      </c>
      <c r="L103">
        <f>A14</f>
        <v>1806</v>
      </c>
    </row>
    <row r="104" spans="2:12" x14ac:dyDescent="0.25">
      <c r="B104" s="18">
        <f t="shared" si="8"/>
        <v>0.31641397495056034</v>
      </c>
      <c r="C104" s="8" t="s">
        <v>147</v>
      </c>
      <c r="D104">
        <f t="shared" si="6"/>
        <v>1</v>
      </c>
      <c r="E104">
        <f t="shared" si="7"/>
        <v>24</v>
      </c>
      <c r="F104" s="8">
        <f t="shared" si="9"/>
        <v>24</v>
      </c>
      <c r="G104" s="9">
        <f t="shared" si="10"/>
        <v>0</v>
      </c>
      <c r="I104" t="s">
        <v>1165</v>
      </c>
      <c r="L104">
        <f>A26</f>
        <v>1124</v>
      </c>
    </row>
    <row r="105" spans="2:12" x14ac:dyDescent="0.25">
      <c r="B105" s="18">
        <f t="shared" si="8"/>
        <v>0.35596572181938035</v>
      </c>
      <c r="C105" s="8" t="s">
        <v>166</v>
      </c>
      <c r="D105">
        <f t="shared" si="6"/>
        <v>1</v>
      </c>
      <c r="E105">
        <f t="shared" si="7"/>
        <v>27</v>
      </c>
      <c r="F105" s="8">
        <f t="shared" si="9"/>
        <v>27</v>
      </c>
      <c r="G105" s="9">
        <f t="shared" si="10"/>
        <v>0</v>
      </c>
      <c r="I105" t="s">
        <v>1166</v>
      </c>
      <c r="L105">
        <f>A37</f>
        <v>1350</v>
      </c>
    </row>
    <row r="106" spans="2:12" x14ac:dyDescent="0.25">
      <c r="B106" s="18">
        <f t="shared" si="8"/>
        <v>0.34278180619644033</v>
      </c>
      <c r="C106" s="8" t="s">
        <v>176</v>
      </c>
      <c r="D106">
        <f t="shared" si="6"/>
        <v>1</v>
      </c>
      <c r="E106">
        <f t="shared" si="7"/>
        <v>26</v>
      </c>
      <c r="F106" s="8">
        <f t="shared" si="9"/>
        <v>26</v>
      </c>
      <c r="G106" s="9">
        <f t="shared" si="10"/>
        <v>0</v>
      </c>
      <c r="I106" t="s">
        <v>1167</v>
      </c>
      <c r="L106">
        <f>A73</f>
        <v>3305</v>
      </c>
    </row>
    <row r="107" spans="2:12" x14ac:dyDescent="0.25">
      <c r="B107" s="18">
        <f t="shared" si="8"/>
        <v>0.27686222808174027</v>
      </c>
      <c r="C107" s="8" t="s">
        <v>69</v>
      </c>
      <c r="D107">
        <f t="shared" si="6"/>
        <v>1</v>
      </c>
      <c r="E107">
        <f t="shared" si="7"/>
        <v>21</v>
      </c>
      <c r="F107" s="8">
        <f t="shared" si="9"/>
        <v>21</v>
      </c>
      <c r="G107" s="9">
        <f t="shared" si="10"/>
        <v>0</v>
      </c>
    </row>
    <row r="108" spans="2:12" x14ac:dyDescent="0.25">
      <c r="B108" s="18">
        <f t="shared" si="8"/>
        <v>0.69874752801582074</v>
      </c>
      <c r="C108" s="8" t="s">
        <v>164</v>
      </c>
      <c r="D108">
        <f t="shared" si="6"/>
        <v>1</v>
      </c>
      <c r="E108">
        <f t="shared" si="7"/>
        <v>53</v>
      </c>
      <c r="F108" s="8">
        <f t="shared" si="9"/>
        <v>53</v>
      </c>
      <c r="G108" s="9">
        <f t="shared" si="10"/>
        <v>0</v>
      </c>
    </row>
    <row r="109" spans="2:12" x14ac:dyDescent="0.25">
      <c r="B109" s="18">
        <f t="shared" si="8"/>
        <v>0.39551746868820042</v>
      </c>
      <c r="C109" s="10" t="s">
        <v>175</v>
      </c>
      <c r="D109" s="11">
        <f t="shared" si="6"/>
        <v>1</v>
      </c>
      <c r="E109" s="11">
        <f t="shared" si="7"/>
        <v>30</v>
      </c>
      <c r="F109" s="10">
        <f t="shared" si="9"/>
        <v>30</v>
      </c>
      <c r="G109" s="12">
        <f t="shared" si="10"/>
        <v>0</v>
      </c>
    </row>
    <row r="110" spans="2:12" x14ac:dyDescent="0.25">
      <c r="B110" s="18">
        <f t="shared" si="8"/>
        <v>100</v>
      </c>
      <c r="E110">
        <f>SUM(E86:E109)</f>
        <v>7585</v>
      </c>
      <c r="F110" s="8">
        <f>SUM(F86:F109)</f>
        <v>1849</v>
      </c>
      <c r="G110" s="9">
        <f>SUM(G86:G109)</f>
        <v>3190</v>
      </c>
    </row>
    <row r="111" spans="2:12" x14ac:dyDescent="0.25">
      <c r="C111" s="3"/>
      <c r="F111" s="10" t="s">
        <v>389</v>
      </c>
      <c r="G111" s="12">
        <f>E78-F110-G110</f>
        <v>2546</v>
      </c>
    </row>
    <row r="112" spans="2:12" x14ac:dyDescent="0.25">
      <c r="D112" s="1"/>
    </row>
    <row r="114" spans="3:7" x14ac:dyDescent="0.25">
      <c r="G114" s="24"/>
    </row>
    <row r="115" spans="3:7" x14ac:dyDescent="0.25">
      <c r="C115" s="13"/>
      <c r="D115" s="14" t="s">
        <v>93</v>
      </c>
      <c r="E115" s="15" t="s">
        <v>94</v>
      </c>
      <c r="G115" s="24"/>
    </row>
    <row r="116" spans="3:7" x14ac:dyDescent="0.25">
      <c r="C116" s="8" t="s">
        <v>402</v>
      </c>
      <c r="D116">
        <f>SUMIFS($D$2:$D$74,$E$2:$E$74,D$115,$F$2:$F$74,"&lt;5.1")</f>
        <v>438</v>
      </c>
      <c r="E116" s="9">
        <f>SUMIFS($D$2:$D$74,$E$2:$E$74,E$115,$F$2:$F$74,"&lt;5.1")</f>
        <v>1880</v>
      </c>
    </row>
    <row r="117" spans="3:7" x14ac:dyDescent="0.25">
      <c r="C117" s="29" t="s">
        <v>403</v>
      </c>
      <c r="D117">
        <f>SUMIFS($D$2:$D$74,$E$2:$E$74,D$115,$F$2:$F$74,"&lt;10.1")-D116</f>
        <v>521</v>
      </c>
      <c r="E117" s="9">
        <f>SUMIFS($D$2:$D$74,$E$2:$E$74,E$115,$F$2:$F$74,"&lt;10.1")-E116</f>
        <v>365</v>
      </c>
    </row>
    <row r="118" spans="3:7" x14ac:dyDescent="0.25">
      <c r="C118" s="29" t="s">
        <v>404</v>
      </c>
      <c r="D118">
        <f>SUMIFS($D$2:$D$74,$E$2:$E$74,D$115,$F$2:$F$74,"&lt;15.1")-D117-D116</f>
        <v>323</v>
      </c>
      <c r="E118" s="9">
        <f>SUMIFS($D$2:$D$74,$E$2:$E$74,E$115,$F$2:$F$74,"&lt;15.1")-E117-E116</f>
        <v>351</v>
      </c>
    </row>
    <row r="119" spans="3:7" x14ac:dyDescent="0.25">
      <c r="C119" s="29" t="s">
        <v>102</v>
      </c>
      <c r="D119">
        <f>SUMIFS($D$2:$D$74,$E$2:$E$74,D$115,$F$2:$F$74,"&lt;20.1")-D118-D117-D116</f>
        <v>536</v>
      </c>
      <c r="E119" s="9">
        <f>SUMIFS($D$2:$D$74,$E$2:$E$74,E$115,$F$2:$F$74,"&lt;20.1")-E118-E117-E116</f>
        <v>172</v>
      </c>
    </row>
    <row r="120" spans="3:7" x14ac:dyDescent="0.25">
      <c r="C120" s="8" t="s">
        <v>405</v>
      </c>
      <c r="D120">
        <f>SUMIFS($D$2:$D$74,$E$2:$E$74,D$115,$F$2:$F$74,"&lt;40.1")-D119-D118-D117-D116</f>
        <v>0</v>
      </c>
      <c r="E120" s="9">
        <f>SUMIFS($D$2:$D$74,$E$2:$E$74,E$115,$F$2:$F$74,"&lt;40.1")-E119-E118-E117-E116</f>
        <v>0</v>
      </c>
    </row>
    <row r="121" spans="3:7" x14ac:dyDescent="0.25">
      <c r="C121" s="10" t="s">
        <v>406</v>
      </c>
      <c r="D121" s="11">
        <f>E81-SUM(D116:D120)</f>
        <v>31</v>
      </c>
      <c r="E121" s="12">
        <f>E80-SUM(E116:E120)</f>
        <v>422</v>
      </c>
    </row>
    <row r="124" spans="3:7" x14ac:dyDescent="0.25">
      <c r="C124" t="s">
        <v>395</v>
      </c>
      <c r="E124" s="24">
        <f>AVERAGE(F2:F73)</f>
        <v>10</v>
      </c>
    </row>
    <row r="125" spans="3:7" x14ac:dyDescent="0.25">
      <c r="C125" t="s">
        <v>1489</v>
      </c>
      <c r="E125" s="24">
        <f>SUMPRODUCT(F2:F73,D2:D73)/SUM(D2:D73)</f>
        <v>5.636651285431773</v>
      </c>
    </row>
  </sheetData>
  <sortState xmlns:xlrd2="http://schemas.microsoft.com/office/spreadsheetml/2017/richdata2" ref="I87:L101">
    <sortCondition ref="I87:I101"/>
  </sortState>
  <pageMargins left="0.7" right="0.7" top="0.75" bottom="0.75" header="0.3" footer="0.3"/>
  <pageSetup paperSize="9" orientation="portrait" r:id="rId1"/>
  <headerFooter>
    <oddFooter>&amp;L&amp;1#&amp;"Arial"&amp;8&amp;KD5DAD9</odd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21"/>
  <sheetViews>
    <sheetView topLeftCell="A7" zoomScale="70" zoomScaleNormal="70" workbookViewId="0">
      <selection activeCell="F28" sqref="F28"/>
    </sheetView>
  </sheetViews>
  <sheetFormatPr defaultRowHeight="15" x14ac:dyDescent="0.25"/>
  <cols>
    <col min="2" max="9" width="13.7109375" customWidth="1"/>
    <col min="10" max="10" width="1.7109375" customWidth="1"/>
    <col min="11" max="11" width="2.140625" customWidth="1"/>
    <col min="12" max="13" width="12" bestFit="1" customWidth="1"/>
    <col min="14" max="14" width="12" customWidth="1"/>
    <col min="15" max="15" width="4.140625" customWidth="1"/>
    <col min="16" max="16" width="15.140625" customWidth="1"/>
    <col min="17" max="17" width="2.28515625" customWidth="1"/>
    <col min="18" max="18" width="2.5703125" customWidth="1"/>
    <col min="19" max="20" width="12" bestFit="1" customWidth="1"/>
    <col min="21" max="21" width="4.42578125" customWidth="1"/>
    <col min="22" max="22" width="13.28515625" bestFit="1" customWidth="1"/>
    <col min="23" max="24" width="12" bestFit="1" customWidth="1"/>
  </cols>
  <sheetData>
    <row r="1" spans="2:29" x14ac:dyDescent="0.25">
      <c r="B1" s="5" t="s">
        <v>86</v>
      </c>
      <c r="C1" s="6" t="s">
        <v>87</v>
      </c>
      <c r="D1" s="6" t="s">
        <v>88</v>
      </c>
      <c r="E1" s="6" t="s">
        <v>98</v>
      </c>
      <c r="F1" s="6" t="s">
        <v>100</v>
      </c>
      <c r="G1" s="6" t="s">
        <v>89</v>
      </c>
      <c r="H1" s="6" t="s">
        <v>91</v>
      </c>
      <c r="I1" s="6" t="s">
        <v>90</v>
      </c>
      <c r="J1" s="6" t="s">
        <v>131</v>
      </c>
      <c r="K1" s="6" t="s">
        <v>130</v>
      </c>
      <c r="L1" s="6" t="s">
        <v>103</v>
      </c>
      <c r="M1" s="6" t="s">
        <v>101</v>
      </c>
      <c r="N1" s="6" t="s">
        <v>107</v>
      </c>
      <c r="O1" s="6" t="s">
        <v>91</v>
      </c>
      <c r="P1" s="6" t="s">
        <v>105</v>
      </c>
      <c r="Q1" s="6" t="s">
        <v>131</v>
      </c>
      <c r="R1" s="6" t="s">
        <v>130</v>
      </c>
      <c r="S1" s="6" t="s">
        <v>103</v>
      </c>
      <c r="T1" s="6" t="s">
        <v>101</v>
      </c>
      <c r="U1" s="6" t="s">
        <v>91</v>
      </c>
      <c r="V1" s="6" t="s">
        <v>105</v>
      </c>
      <c r="W1" s="6" t="s">
        <v>103</v>
      </c>
      <c r="X1" s="7" t="s">
        <v>101</v>
      </c>
      <c r="AB1" s="3" t="s">
        <v>682</v>
      </c>
      <c r="AC1" t="s">
        <v>683</v>
      </c>
    </row>
    <row r="2" spans="2:29" x14ac:dyDescent="0.25">
      <c r="B2" s="8" t="s">
        <v>256</v>
      </c>
      <c r="C2" t="s">
        <v>161</v>
      </c>
      <c r="D2">
        <v>36</v>
      </c>
      <c r="E2" t="s">
        <v>93</v>
      </c>
      <c r="F2">
        <v>5</v>
      </c>
      <c r="G2" t="s">
        <v>95</v>
      </c>
      <c r="H2" s="1">
        <f>D2/K2</f>
        <v>12</v>
      </c>
      <c r="I2" t="s">
        <v>321</v>
      </c>
      <c r="J2">
        <v>112</v>
      </c>
      <c r="K2">
        <v>3</v>
      </c>
      <c r="X2" s="9"/>
      <c r="AB2">
        <f>COUNTIF($I$87:$I$117,I2)</f>
        <v>1</v>
      </c>
      <c r="AC2">
        <f>COUNTIF($C$86:$C$117,C2)</f>
        <v>1</v>
      </c>
    </row>
    <row r="3" spans="2:29" x14ac:dyDescent="0.25">
      <c r="B3" s="8" t="s">
        <v>257</v>
      </c>
      <c r="C3" t="s">
        <v>20</v>
      </c>
      <c r="D3">
        <v>298</v>
      </c>
      <c r="E3" t="s">
        <v>94</v>
      </c>
      <c r="F3">
        <v>10</v>
      </c>
      <c r="G3" t="s">
        <v>322</v>
      </c>
      <c r="H3" s="1">
        <f t="shared" ref="H3:H64" si="0">D3/K3</f>
        <v>149</v>
      </c>
      <c r="I3" t="s">
        <v>113</v>
      </c>
      <c r="J3">
        <v>100</v>
      </c>
      <c r="K3">
        <v>2</v>
      </c>
      <c r="X3" s="9"/>
      <c r="AB3">
        <f t="shared" ref="AB3:AB66" si="1">COUNTIF($I$87:$I$117,I3)</f>
        <v>1</v>
      </c>
      <c r="AC3">
        <f t="shared" ref="AC3:AC66" si="2">COUNTIF($C$86:$C$117,C3)</f>
        <v>1</v>
      </c>
    </row>
    <row r="4" spans="2:29" x14ac:dyDescent="0.25">
      <c r="B4" s="8" t="s">
        <v>258</v>
      </c>
      <c r="C4" t="s">
        <v>317</v>
      </c>
      <c r="D4">
        <v>36</v>
      </c>
      <c r="E4" t="s">
        <v>95</v>
      </c>
      <c r="F4" t="s">
        <v>95</v>
      </c>
      <c r="G4" t="s">
        <v>323</v>
      </c>
      <c r="H4" s="1">
        <f t="shared" si="0"/>
        <v>10.90909090909091</v>
      </c>
      <c r="I4" t="s">
        <v>111</v>
      </c>
      <c r="J4">
        <v>112</v>
      </c>
      <c r="K4">
        <v>3.3</v>
      </c>
      <c r="S4" s="26"/>
      <c r="X4" s="9"/>
      <c r="AB4">
        <f t="shared" si="1"/>
        <v>1</v>
      </c>
      <c r="AC4">
        <f t="shared" si="2"/>
        <v>1</v>
      </c>
    </row>
    <row r="5" spans="2:29" x14ac:dyDescent="0.25">
      <c r="B5" s="8" t="s">
        <v>259</v>
      </c>
      <c r="C5" t="s">
        <v>142</v>
      </c>
      <c r="D5">
        <v>74</v>
      </c>
      <c r="E5" t="s">
        <v>93</v>
      </c>
      <c r="F5">
        <v>2</v>
      </c>
      <c r="G5" t="s">
        <v>324</v>
      </c>
      <c r="H5" s="1">
        <f t="shared" si="0"/>
        <v>37</v>
      </c>
      <c r="I5" t="s">
        <v>113</v>
      </c>
      <c r="J5">
        <v>100</v>
      </c>
      <c r="K5">
        <v>2</v>
      </c>
      <c r="X5" s="9"/>
      <c r="AB5">
        <f t="shared" si="1"/>
        <v>1</v>
      </c>
      <c r="AC5">
        <f t="shared" si="2"/>
        <v>1</v>
      </c>
    </row>
    <row r="6" spans="2:29" x14ac:dyDescent="0.25">
      <c r="B6" s="8" t="s">
        <v>260</v>
      </c>
      <c r="C6" t="s">
        <v>142</v>
      </c>
      <c r="D6">
        <v>48</v>
      </c>
      <c r="E6" t="s">
        <v>93</v>
      </c>
      <c r="F6">
        <v>3</v>
      </c>
      <c r="G6" t="s">
        <v>325</v>
      </c>
      <c r="H6" s="1">
        <f t="shared" si="0"/>
        <v>24</v>
      </c>
      <c r="I6" t="s">
        <v>244</v>
      </c>
      <c r="J6">
        <v>90</v>
      </c>
      <c r="K6">
        <v>2</v>
      </c>
      <c r="X6" s="9"/>
      <c r="AB6">
        <f t="shared" si="1"/>
        <v>1</v>
      </c>
      <c r="AC6">
        <f t="shared" si="2"/>
        <v>1</v>
      </c>
    </row>
    <row r="7" spans="2:29" x14ac:dyDescent="0.25">
      <c r="B7" s="8" t="s">
        <v>261</v>
      </c>
      <c r="C7" t="s">
        <v>141</v>
      </c>
      <c r="D7">
        <v>106</v>
      </c>
      <c r="E7" t="s">
        <v>93</v>
      </c>
      <c r="F7">
        <v>10</v>
      </c>
      <c r="G7" t="s">
        <v>326</v>
      </c>
      <c r="H7" s="1">
        <f t="shared" si="0"/>
        <v>53</v>
      </c>
      <c r="I7" t="s">
        <v>110</v>
      </c>
      <c r="J7">
        <v>110</v>
      </c>
      <c r="K7">
        <v>2</v>
      </c>
      <c r="X7" s="9"/>
      <c r="AB7">
        <f t="shared" si="1"/>
        <v>1</v>
      </c>
      <c r="AC7">
        <f t="shared" si="2"/>
        <v>1</v>
      </c>
    </row>
    <row r="8" spans="2:29" x14ac:dyDescent="0.25">
      <c r="B8" s="8" t="s">
        <v>262</v>
      </c>
      <c r="C8" t="s">
        <v>165</v>
      </c>
      <c r="D8">
        <v>30</v>
      </c>
      <c r="E8" t="s">
        <v>94</v>
      </c>
      <c r="F8">
        <v>15</v>
      </c>
      <c r="G8" t="s">
        <v>327</v>
      </c>
      <c r="H8" s="1">
        <f t="shared" si="0"/>
        <v>9.0909090909090917</v>
      </c>
      <c r="I8" t="s">
        <v>111</v>
      </c>
      <c r="J8">
        <v>112</v>
      </c>
      <c r="K8">
        <v>3.3</v>
      </c>
      <c r="X8" s="9"/>
      <c r="AB8">
        <f t="shared" si="1"/>
        <v>1</v>
      </c>
      <c r="AC8">
        <f t="shared" si="2"/>
        <v>1</v>
      </c>
    </row>
    <row r="9" spans="2:29" x14ac:dyDescent="0.25">
      <c r="B9" s="8" t="s">
        <v>263</v>
      </c>
      <c r="C9" t="s">
        <v>161</v>
      </c>
      <c r="D9">
        <v>48</v>
      </c>
      <c r="E9" t="s">
        <v>94</v>
      </c>
      <c r="F9">
        <v>5</v>
      </c>
      <c r="G9" t="s">
        <v>328</v>
      </c>
      <c r="H9" s="1">
        <f t="shared" si="0"/>
        <v>24</v>
      </c>
      <c r="I9" t="s">
        <v>110</v>
      </c>
      <c r="J9">
        <v>110</v>
      </c>
      <c r="K9">
        <v>2</v>
      </c>
      <c r="X9" s="9"/>
      <c r="AB9">
        <f t="shared" si="1"/>
        <v>1</v>
      </c>
      <c r="AC9">
        <f t="shared" si="2"/>
        <v>1</v>
      </c>
    </row>
    <row r="10" spans="2:29" x14ac:dyDescent="0.25">
      <c r="B10" s="8" t="s">
        <v>264</v>
      </c>
      <c r="C10" t="s">
        <v>140</v>
      </c>
      <c r="D10">
        <v>33</v>
      </c>
      <c r="E10" t="s">
        <v>94</v>
      </c>
      <c r="F10">
        <v>15</v>
      </c>
      <c r="G10" t="s">
        <v>68</v>
      </c>
      <c r="H10" s="1">
        <f t="shared" si="0"/>
        <v>10</v>
      </c>
      <c r="I10" t="s">
        <v>106</v>
      </c>
      <c r="J10">
        <v>126</v>
      </c>
      <c r="K10">
        <v>3.3</v>
      </c>
      <c r="X10" s="9"/>
      <c r="AB10">
        <f t="shared" si="1"/>
        <v>1</v>
      </c>
      <c r="AC10">
        <f t="shared" si="2"/>
        <v>1</v>
      </c>
    </row>
    <row r="11" spans="2:29" x14ac:dyDescent="0.25">
      <c r="B11" s="8" t="s">
        <v>265</v>
      </c>
      <c r="C11" t="s">
        <v>138</v>
      </c>
      <c r="D11">
        <v>50</v>
      </c>
      <c r="E11" t="s">
        <v>94</v>
      </c>
      <c r="F11">
        <v>15</v>
      </c>
      <c r="G11" t="s">
        <v>329</v>
      </c>
      <c r="H11" s="1">
        <f t="shared" si="0"/>
        <v>15.151515151515152</v>
      </c>
      <c r="I11" t="s">
        <v>111</v>
      </c>
      <c r="J11">
        <v>112</v>
      </c>
      <c r="K11">
        <v>3.3</v>
      </c>
      <c r="X11" s="9"/>
      <c r="AB11">
        <f t="shared" si="1"/>
        <v>1</v>
      </c>
      <c r="AC11">
        <f t="shared" si="2"/>
        <v>1</v>
      </c>
    </row>
    <row r="12" spans="2:29" x14ac:dyDescent="0.25">
      <c r="B12" s="8" t="s">
        <v>266</v>
      </c>
      <c r="C12" t="s">
        <v>141</v>
      </c>
      <c r="D12">
        <v>180</v>
      </c>
      <c r="E12" t="s">
        <v>93</v>
      </c>
      <c r="F12">
        <v>2</v>
      </c>
      <c r="G12" t="s">
        <v>95</v>
      </c>
      <c r="H12" s="1">
        <f t="shared" si="0"/>
        <v>90</v>
      </c>
      <c r="I12" t="s">
        <v>110</v>
      </c>
      <c r="J12">
        <v>110</v>
      </c>
      <c r="K12">
        <v>2</v>
      </c>
      <c r="X12" s="9"/>
      <c r="AB12">
        <f t="shared" si="1"/>
        <v>1</v>
      </c>
      <c r="AC12">
        <f t="shared" si="2"/>
        <v>1</v>
      </c>
    </row>
    <row r="13" spans="2:29" x14ac:dyDescent="0.25">
      <c r="B13" s="8" t="s">
        <v>267</v>
      </c>
      <c r="C13" t="s">
        <v>142</v>
      </c>
      <c r="D13">
        <v>48</v>
      </c>
      <c r="E13" t="s">
        <v>93</v>
      </c>
      <c r="F13">
        <v>2</v>
      </c>
      <c r="G13" t="s">
        <v>330</v>
      </c>
      <c r="H13" s="1">
        <f t="shared" si="0"/>
        <v>24</v>
      </c>
      <c r="I13" t="s">
        <v>113</v>
      </c>
      <c r="J13">
        <v>100</v>
      </c>
      <c r="K13">
        <v>2</v>
      </c>
      <c r="X13" s="9"/>
      <c r="AB13">
        <f t="shared" si="1"/>
        <v>1</v>
      </c>
      <c r="AC13">
        <f t="shared" si="2"/>
        <v>1</v>
      </c>
    </row>
    <row r="14" spans="2:29" x14ac:dyDescent="0.25">
      <c r="B14" s="8" t="s">
        <v>268</v>
      </c>
      <c r="C14" t="s">
        <v>140</v>
      </c>
      <c r="D14">
        <v>122</v>
      </c>
      <c r="E14" t="s">
        <v>94</v>
      </c>
      <c r="F14">
        <v>15</v>
      </c>
      <c r="G14" t="s">
        <v>331</v>
      </c>
      <c r="H14" s="1">
        <f t="shared" si="0"/>
        <v>36.969696969696969</v>
      </c>
      <c r="I14" t="s">
        <v>224</v>
      </c>
      <c r="J14">
        <v>117</v>
      </c>
      <c r="K14">
        <v>3.3</v>
      </c>
      <c r="X14" s="9"/>
      <c r="AB14">
        <f t="shared" si="1"/>
        <v>1</v>
      </c>
      <c r="AC14">
        <f t="shared" si="2"/>
        <v>1</v>
      </c>
    </row>
    <row r="15" spans="2:29" x14ac:dyDescent="0.25">
      <c r="B15" s="8" t="s">
        <v>269</v>
      </c>
      <c r="C15" t="s">
        <v>163</v>
      </c>
      <c r="D15">
        <v>36</v>
      </c>
      <c r="E15" t="s">
        <v>93</v>
      </c>
      <c r="F15">
        <v>15</v>
      </c>
      <c r="G15" t="s">
        <v>332</v>
      </c>
      <c r="H15" s="1">
        <f t="shared" si="0"/>
        <v>10.90909090909091</v>
      </c>
      <c r="I15" t="s">
        <v>224</v>
      </c>
      <c r="J15">
        <v>117</v>
      </c>
      <c r="K15">
        <v>3.3</v>
      </c>
      <c r="X15" s="9"/>
      <c r="AB15">
        <f t="shared" si="1"/>
        <v>1</v>
      </c>
      <c r="AC15">
        <f t="shared" si="2"/>
        <v>1</v>
      </c>
    </row>
    <row r="16" spans="2:29" x14ac:dyDescent="0.25">
      <c r="B16" s="8" t="s">
        <v>270</v>
      </c>
      <c r="C16" t="s">
        <v>20</v>
      </c>
      <c r="D16">
        <v>40</v>
      </c>
      <c r="E16" t="s">
        <v>93</v>
      </c>
      <c r="F16">
        <v>5</v>
      </c>
      <c r="G16" t="s">
        <v>334</v>
      </c>
      <c r="H16" s="1">
        <f t="shared" si="0"/>
        <v>13.008130081300813</v>
      </c>
      <c r="I16" t="s">
        <v>333</v>
      </c>
      <c r="J16">
        <v>112</v>
      </c>
      <c r="K16">
        <v>3.0750000000000002</v>
      </c>
      <c r="X16" s="9"/>
      <c r="AB16">
        <f t="shared" si="1"/>
        <v>1</v>
      </c>
      <c r="AC16">
        <f t="shared" si="2"/>
        <v>1</v>
      </c>
    </row>
    <row r="17" spans="1:29" x14ac:dyDescent="0.25">
      <c r="B17" s="8" t="s">
        <v>271</v>
      </c>
      <c r="C17" t="s">
        <v>142</v>
      </c>
      <c r="D17">
        <v>50</v>
      </c>
      <c r="E17" t="s">
        <v>93</v>
      </c>
      <c r="F17">
        <v>2</v>
      </c>
      <c r="G17" t="s">
        <v>335</v>
      </c>
      <c r="H17" s="1">
        <f t="shared" si="0"/>
        <v>25</v>
      </c>
      <c r="I17" t="s">
        <v>244</v>
      </c>
      <c r="J17">
        <v>90</v>
      </c>
      <c r="K17">
        <v>2</v>
      </c>
      <c r="X17" s="9"/>
      <c r="AB17">
        <f t="shared" si="1"/>
        <v>1</v>
      </c>
      <c r="AC17">
        <f t="shared" si="2"/>
        <v>1</v>
      </c>
    </row>
    <row r="18" spans="1:29" x14ac:dyDescent="0.25">
      <c r="B18" s="8" t="s">
        <v>271</v>
      </c>
      <c r="C18" t="s">
        <v>318</v>
      </c>
      <c r="D18">
        <v>53</v>
      </c>
      <c r="E18" t="s">
        <v>94</v>
      </c>
      <c r="F18">
        <v>6</v>
      </c>
      <c r="G18" t="s">
        <v>336</v>
      </c>
      <c r="H18" s="1">
        <f t="shared" si="0"/>
        <v>16.060606060606062</v>
      </c>
      <c r="I18" t="s">
        <v>106</v>
      </c>
      <c r="J18">
        <v>126</v>
      </c>
      <c r="K18">
        <v>3.3</v>
      </c>
      <c r="X18" s="9"/>
      <c r="AB18">
        <f t="shared" si="1"/>
        <v>1</v>
      </c>
      <c r="AC18">
        <f t="shared" si="2"/>
        <v>1</v>
      </c>
    </row>
    <row r="19" spans="1:29" x14ac:dyDescent="0.25">
      <c r="B19" s="8" t="s">
        <v>271</v>
      </c>
      <c r="C19" t="s">
        <v>318</v>
      </c>
      <c r="D19">
        <v>23</v>
      </c>
      <c r="E19" t="s">
        <v>94</v>
      </c>
      <c r="F19">
        <v>10</v>
      </c>
      <c r="H19" s="1">
        <f t="shared" si="0"/>
        <v>6.9696969696969697</v>
      </c>
      <c r="I19" t="s">
        <v>106</v>
      </c>
      <c r="J19">
        <v>126</v>
      </c>
      <c r="K19">
        <v>3.3</v>
      </c>
      <c r="X19" s="9"/>
      <c r="AB19">
        <f t="shared" si="1"/>
        <v>1</v>
      </c>
      <c r="AC19">
        <f t="shared" si="2"/>
        <v>1</v>
      </c>
    </row>
    <row r="20" spans="1:29" s="11" customFormat="1" x14ac:dyDescent="0.25">
      <c r="A20" s="11">
        <f>SUM(D2:D20)</f>
        <v>1332</v>
      </c>
      <c r="B20" s="10" t="s">
        <v>271</v>
      </c>
      <c r="C20" s="11" t="s">
        <v>319</v>
      </c>
      <c r="D20" s="11">
        <v>21</v>
      </c>
      <c r="E20" s="11" t="s">
        <v>94</v>
      </c>
      <c r="F20" s="11">
        <v>10</v>
      </c>
      <c r="G20" s="11" t="s">
        <v>337</v>
      </c>
      <c r="H20" s="28">
        <f t="shared" si="0"/>
        <v>7</v>
      </c>
      <c r="I20" s="11" t="s">
        <v>233</v>
      </c>
      <c r="J20" s="11">
        <v>90</v>
      </c>
      <c r="K20" s="11">
        <v>3</v>
      </c>
      <c r="X20" s="12"/>
      <c r="AB20">
        <f t="shared" si="1"/>
        <v>1</v>
      </c>
      <c r="AC20">
        <f t="shared" si="2"/>
        <v>1</v>
      </c>
    </row>
    <row r="21" spans="1:29" x14ac:dyDescent="0.25">
      <c r="B21" s="8" t="s">
        <v>272</v>
      </c>
      <c r="C21" t="s">
        <v>20</v>
      </c>
      <c r="D21">
        <v>78</v>
      </c>
      <c r="E21" t="s">
        <v>94</v>
      </c>
      <c r="F21">
        <v>5</v>
      </c>
      <c r="G21" t="s">
        <v>236</v>
      </c>
      <c r="H21" s="1">
        <f t="shared" si="0"/>
        <v>39</v>
      </c>
      <c r="I21" t="s">
        <v>110</v>
      </c>
      <c r="J21">
        <v>110</v>
      </c>
      <c r="K21">
        <v>2</v>
      </c>
      <c r="X21" s="9"/>
      <c r="AB21">
        <f t="shared" si="1"/>
        <v>1</v>
      </c>
      <c r="AC21">
        <f t="shared" si="2"/>
        <v>1</v>
      </c>
    </row>
    <row r="22" spans="1:29" x14ac:dyDescent="0.25">
      <c r="B22" s="8" t="s">
        <v>273</v>
      </c>
      <c r="C22" t="s">
        <v>144</v>
      </c>
      <c r="D22">
        <v>20</v>
      </c>
      <c r="E22" t="s">
        <v>95</v>
      </c>
      <c r="F22" t="s">
        <v>95</v>
      </c>
      <c r="G22" t="s">
        <v>338</v>
      </c>
      <c r="H22" s="1">
        <f t="shared" si="0"/>
        <v>6.0606060606060606</v>
      </c>
      <c r="I22" t="s">
        <v>224</v>
      </c>
      <c r="J22">
        <v>117</v>
      </c>
      <c r="K22">
        <v>3.3</v>
      </c>
      <c r="X22" s="9"/>
      <c r="AB22">
        <f t="shared" si="1"/>
        <v>1</v>
      </c>
      <c r="AC22">
        <f t="shared" si="2"/>
        <v>1</v>
      </c>
    </row>
    <row r="23" spans="1:29" x14ac:dyDescent="0.25">
      <c r="B23" s="8" t="s">
        <v>273</v>
      </c>
      <c r="C23" t="s">
        <v>20</v>
      </c>
      <c r="D23">
        <v>400</v>
      </c>
      <c r="E23" t="s">
        <v>94</v>
      </c>
      <c r="F23">
        <v>5</v>
      </c>
      <c r="G23" t="s">
        <v>339</v>
      </c>
      <c r="H23" s="1">
        <f t="shared" si="0"/>
        <v>200</v>
      </c>
      <c r="I23" t="s">
        <v>110</v>
      </c>
      <c r="J23">
        <v>110</v>
      </c>
      <c r="K23">
        <v>2</v>
      </c>
      <c r="X23" s="9"/>
      <c r="AB23">
        <f t="shared" si="1"/>
        <v>1</v>
      </c>
      <c r="AC23">
        <f t="shared" si="2"/>
        <v>1</v>
      </c>
    </row>
    <row r="24" spans="1:29" x14ac:dyDescent="0.25">
      <c r="B24" s="8" t="s">
        <v>274</v>
      </c>
      <c r="C24" t="s">
        <v>145</v>
      </c>
      <c r="D24">
        <v>33</v>
      </c>
      <c r="E24" t="s">
        <v>93</v>
      </c>
      <c r="F24">
        <v>20</v>
      </c>
      <c r="G24" t="s">
        <v>340</v>
      </c>
      <c r="H24" s="1">
        <f t="shared" si="0"/>
        <v>10</v>
      </c>
      <c r="I24" t="s">
        <v>106</v>
      </c>
      <c r="J24">
        <v>126</v>
      </c>
      <c r="K24">
        <v>3.3</v>
      </c>
      <c r="X24" s="9"/>
      <c r="AB24">
        <f t="shared" si="1"/>
        <v>1</v>
      </c>
      <c r="AC24">
        <f t="shared" si="2"/>
        <v>1</v>
      </c>
    </row>
    <row r="25" spans="1:29" x14ac:dyDescent="0.25">
      <c r="B25" s="8" t="s">
        <v>275</v>
      </c>
      <c r="C25" t="s">
        <v>20</v>
      </c>
      <c r="D25">
        <v>72</v>
      </c>
      <c r="E25" t="s">
        <v>94</v>
      </c>
      <c r="F25">
        <v>20</v>
      </c>
      <c r="G25" t="s">
        <v>341</v>
      </c>
      <c r="H25" s="1">
        <f t="shared" si="0"/>
        <v>36</v>
      </c>
      <c r="I25" t="s">
        <v>110</v>
      </c>
      <c r="J25">
        <v>110</v>
      </c>
      <c r="K25">
        <v>2</v>
      </c>
      <c r="X25" s="9"/>
      <c r="AB25">
        <f t="shared" si="1"/>
        <v>1</v>
      </c>
      <c r="AC25">
        <f t="shared" si="2"/>
        <v>1</v>
      </c>
    </row>
    <row r="26" spans="1:29" x14ac:dyDescent="0.25">
      <c r="B26" s="8" t="s">
        <v>276</v>
      </c>
      <c r="C26" t="s">
        <v>34</v>
      </c>
      <c r="D26">
        <v>149</v>
      </c>
      <c r="E26" t="s">
        <v>94</v>
      </c>
      <c r="F26">
        <v>10</v>
      </c>
      <c r="G26" t="s">
        <v>342</v>
      </c>
      <c r="H26" s="1">
        <f t="shared" si="0"/>
        <v>45.151515151515156</v>
      </c>
      <c r="I26" t="s">
        <v>224</v>
      </c>
      <c r="J26">
        <v>117</v>
      </c>
      <c r="K26">
        <v>3.3</v>
      </c>
      <c r="X26" s="9"/>
      <c r="AB26">
        <f t="shared" si="1"/>
        <v>1</v>
      </c>
      <c r="AC26">
        <f t="shared" si="2"/>
        <v>1</v>
      </c>
    </row>
    <row r="27" spans="1:29" x14ac:dyDescent="0.25">
      <c r="B27" s="8" t="s">
        <v>277</v>
      </c>
      <c r="C27" t="s">
        <v>343</v>
      </c>
      <c r="D27">
        <v>400</v>
      </c>
      <c r="E27" t="s">
        <v>344</v>
      </c>
      <c r="F27">
        <v>0</v>
      </c>
      <c r="G27" t="s">
        <v>345</v>
      </c>
      <c r="H27" s="1">
        <f t="shared" si="0"/>
        <v>115.94202898550724</v>
      </c>
      <c r="I27" t="s">
        <v>112</v>
      </c>
      <c r="J27">
        <v>112</v>
      </c>
      <c r="K27">
        <v>3.45</v>
      </c>
      <c r="X27" s="9"/>
      <c r="AB27">
        <f t="shared" si="1"/>
        <v>1</v>
      </c>
      <c r="AC27">
        <f t="shared" si="2"/>
        <v>1</v>
      </c>
    </row>
    <row r="28" spans="1:29" x14ac:dyDescent="0.25">
      <c r="B28" s="8" t="s">
        <v>278</v>
      </c>
      <c r="C28" t="s">
        <v>161</v>
      </c>
      <c r="D28">
        <v>83</v>
      </c>
      <c r="E28" t="s">
        <v>94</v>
      </c>
      <c r="F28">
        <v>15</v>
      </c>
      <c r="G28" t="s">
        <v>346</v>
      </c>
      <c r="H28" s="1">
        <f t="shared" si="0"/>
        <v>25.151515151515152</v>
      </c>
      <c r="I28" t="s">
        <v>106</v>
      </c>
      <c r="J28">
        <v>126</v>
      </c>
      <c r="K28">
        <v>3.3</v>
      </c>
      <c r="X28" s="9"/>
      <c r="AB28">
        <f t="shared" si="1"/>
        <v>1</v>
      </c>
      <c r="AC28">
        <f t="shared" si="2"/>
        <v>1</v>
      </c>
    </row>
    <row r="29" spans="1:29" x14ac:dyDescent="0.25">
      <c r="B29" s="8" t="s">
        <v>279</v>
      </c>
      <c r="C29" t="s">
        <v>176</v>
      </c>
      <c r="D29">
        <v>83</v>
      </c>
      <c r="E29" t="s">
        <v>93</v>
      </c>
      <c r="F29">
        <v>10</v>
      </c>
      <c r="G29" t="s">
        <v>347</v>
      </c>
      <c r="H29" s="1">
        <f t="shared" si="0"/>
        <v>25.151515151515152</v>
      </c>
      <c r="I29" t="s">
        <v>106</v>
      </c>
      <c r="J29">
        <v>126</v>
      </c>
      <c r="K29">
        <v>3.3</v>
      </c>
      <c r="X29" s="9"/>
      <c r="AB29">
        <f t="shared" si="1"/>
        <v>1</v>
      </c>
      <c r="AC29">
        <f t="shared" si="2"/>
        <v>1</v>
      </c>
    </row>
    <row r="30" spans="1:29" x14ac:dyDescent="0.25">
      <c r="B30" s="8" t="s">
        <v>280</v>
      </c>
      <c r="C30" t="s">
        <v>34</v>
      </c>
      <c r="D30">
        <v>99</v>
      </c>
      <c r="E30" t="s">
        <v>93</v>
      </c>
      <c r="F30">
        <v>15</v>
      </c>
      <c r="G30" t="s">
        <v>348</v>
      </c>
      <c r="H30" s="1">
        <f t="shared" si="0"/>
        <v>30</v>
      </c>
      <c r="I30" t="s">
        <v>111</v>
      </c>
      <c r="J30">
        <v>112</v>
      </c>
      <c r="K30">
        <v>3.3</v>
      </c>
      <c r="X30" s="9"/>
      <c r="AB30">
        <f t="shared" si="1"/>
        <v>1</v>
      </c>
      <c r="AC30">
        <f t="shared" si="2"/>
        <v>1</v>
      </c>
    </row>
    <row r="31" spans="1:29" x14ac:dyDescent="0.25">
      <c r="B31" s="8" t="s">
        <v>281</v>
      </c>
      <c r="C31" t="s">
        <v>146</v>
      </c>
      <c r="D31">
        <v>40</v>
      </c>
      <c r="E31" t="s">
        <v>94</v>
      </c>
      <c r="F31">
        <v>10</v>
      </c>
      <c r="G31" t="s">
        <v>349</v>
      </c>
      <c r="H31" s="1">
        <f t="shared" si="0"/>
        <v>12.121212121212121</v>
      </c>
      <c r="I31" t="s">
        <v>111</v>
      </c>
      <c r="J31">
        <v>112</v>
      </c>
      <c r="K31">
        <v>3.3</v>
      </c>
      <c r="X31" s="9"/>
      <c r="AB31">
        <f t="shared" si="1"/>
        <v>1</v>
      </c>
      <c r="AC31">
        <f t="shared" si="2"/>
        <v>1</v>
      </c>
    </row>
    <row r="32" spans="1:29" x14ac:dyDescent="0.25">
      <c r="B32" s="8" t="s">
        <v>282</v>
      </c>
      <c r="C32" t="s">
        <v>20</v>
      </c>
      <c r="D32">
        <v>150</v>
      </c>
      <c r="E32" t="s">
        <v>94</v>
      </c>
      <c r="F32">
        <v>5</v>
      </c>
      <c r="G32" t="s">
        <v>220</v>
      </c>
      <c r="H32" s="1">
        <f t="shared" si="0"/>
        <v>75</v>
      </c>
      <c r="I32" t="s">
        <v>113</v>
      </c>
      <c r="J32">
        <v>100</v>
      </c>
      <c r="K32">
        <v>2</v>
      </c>
      <c r="X32" s="9"/>
      <c r="AB32">
        <f t="shared" si="1"/>
        <v>1</v>
      </c>
      <c r="AC32">
        <f t="shared" si="2"/>
        <v>1</v>
      </c>
    </row>
    <row r="33" spans="1:29" x14ac:dyDescent="0.25">
      <c r="B33" s="8" t="s">
        <v>283</v>
      </c>
      <c r="C33" t="s">
        <v>165</v>
      </c>
      <c r="D33">
        <v>66</v>
      </c>
      <c r="E33" t="s">
        <v>94</v>
      </c>
      <c r="F33">
        <v>5</v>
      </c>
      <c r="G33" t="s">
        <v>350</v>
      </c>
      <c r="H33" s="1">
        <f t="shared" si="0"/>
        <v>22</v>
      </c>
      <c r="I33" t="s">
        <v>233</v>
      </c>
      <c r="J33">
        <v>90</v>
      </c>
      <c r="K33">
        <v>3</v>
      </c>
      <c r="X33" s="9"/>
      <c r="AB33">
        <f t="shared" si="1"/>
        <v>1</v>
      </c>
      <c r="AC33">
        <f t="shared" si="2"/>
        <v>1</v>
      </c>
    </row>
    <row r="34" spans="1:29" x14ac:dyDescent="0.25">
      <c r="B34" s="8" t="s">
        <v>284</v>
      </c>
      <c r="C34" t="s">
        <v>42</v>
      </c>
      <c r="D34">
        <v>185</v>
      </c>
      <c r="E34" t="s">
        <v>93</v>
      </c>
      <c r="F34">
        <v>5</v>
      </c>
      <c r="G34" t="s">
        <v>351</v>
      </c>
      <c r="H34" s="1">
        <f t="shared" si="0"/>
        <v>56.060606060606062</v>
      </c>
      <c r="I34" t="s">
        <v>224</v>
      </c>
      <c r="J34">
        <v>117</v>
      </c>
      <c r="K34">
        <v>3.3</v>
      </c>
      <c r="X34" s="9"/>
      <c r="AB34">
        <f t="shared" si="1"/>
        <v>1</v>
      </c>
      <c r="AC34">
        <f t="shared" si="2"/>
        <v>1</v>
      </c>
    </row>
    <row r="35" spans="1:29" x14ac:dyDescent="0.25">
      <c r="B35" s="8" t="s">
        <v>285</v>
      </c>
      <c r="C35" t="s">
        <v>163</v>
      </c>
      <c r="D35">
        <v>39</v>
      </c>
      <c r="E35" t="s">
        <v>94</v>
      </c>
      <c r="F35">
        <v>15</v>
      </c>
      <c r="G35" t="s">
        <v>352</v>
      </c>
      <c r="H35" s="1">
        <f t="shared" si="0"/>
        <v>11.818181818181818</v>
      </c>
      <c r="I35" t="s">
        <v>111</v>
      </c>
      <c r="J35">
        <v>112</v>
      </c>
      <c r="K35">
        <v>3.3</v>
      </c>
      <c r="X35" s="9"/>
      <c r="AB35">
        <f t="shared" si="1"/>
        <v>1</v>
      </c>
      <c r="AC35">
        <f t="shared" si="2"/>
        <v>1</v>
      </c>
    </row>
    <row r="36" spans="1:29" x14ac:dyDescent="0.25">
      <c r="B36" s="8" t="s">
        <v>286</v>
      </c>
      <c r="C36" t="s">
        <v>318</v>
      </c>
      <c r="D36">
        <v>33</v>
      </c>
      <c r="E36" t="s">
        <v>93</v>
      </c>
      <c r="F36" t="s">
        <v>95</v>
      </c>
      <c r="G36" t="s">
        <v>353</v>
      </c>
      <c r="H36" s="1">
        <f t="shared" si="0"/>
        <v>10</v>
      </c>
      <c r="I36" t="s">
        <v>106</v>
      </c>
      <c r="J36">
        <v>126</v>
      </c>
      <c r="K36">
        <v>3.3</v>
      </c>
      <c r="X36" s="9"/>
      <c r="AB36">
        <f t="shared" si="1"/>
        <v>1</v>
      </c>
      <c r="AC36">
        <f t="shared" si="2"/>
        <v>1</v>
      </c>
    </row>
    <row r="37" spans="1:29" x14ac:dyDescent="0.25">
      <c r="B37" s="8" t="s">
        <v>286</v>
      </c>
      <c r="C37" t="s">
        <v>20</v>
      </c>
      <c r="D37">
        <v>155</v>
      </c>
      <c r="E37" t="s">
        <v>94</v>
      </c>
      <c r="F37">
        <v>10</v>
      </c>
      <c r="G37" t="s">
        <v>354</v>
      </c>
      <c r="H37" s="1">
        <f t="shared" si="0"/>
        <v>46.969696969696969</v>
      </c>
      <c r="I37" t="s">
        <v>111</v>
      </c>
      <c r="J37">
        <v>112</v>
      </c>
      <c r="K37">
        <v>3.3</v>
      </c>
      <c r="X37" s="9"/>
      <c r="AB37">
        <f t="shared" si="1"/>
        <v>1</v>
      </c>
      <c r="AC37">
        <f t="shared" si="2"/>
        <v>1</v>
      </c>
    </row>
    <row r="38" spans="1:29" x14ac:dyDescent="0.25">
      <c r="B38" s="8" t="s">
        <v>286</v>
      </c>
      <c r="C38" t="s">
        <v>20</v>
      </c>
      <c r="D38">
        <v>274</v>
      </c>
      <c r="E38" t="s">
        <v>94</v>
      </c>
      <c r="F38">
        <v>10</v>
      </c>
      <c r="G38" t="s">
        <v>354</v>
      </c>
      <c r="H38" s="1">
        <f t="shared" si="0"/>
        <v>83.030303030303031</v>
      </c>
      <c r="I38" t="s">
        <v>224</v>
      </c>
      <c r="J38">
        <v>117</v>
      </c>
      <c r="K38">
        <v>3.3</v>
      </c>
      <c r="X38" s="9"/>
      <c r="AB38">
        <f t="shared" si="1"/>
        <v>1</v>
      </c>
      <c r="AC38">
        <f t="shared" si="2"/>
        <v>1</v>
      </c>
    </row>
    <row r="39" spans="1:29" s="11" customFormat="1" x14ac:dyDescent="0.25">
      <c r="A39" s="11">
        <f>SUM(D21:D39)</f>
        <v>2467</v>
      </c>
      <c r="B39" s="10" t="s">
        <v>286</v>
      </c>
      <c r="C39" s="11" t="s">
        <v>20</v>
      </c>
      <c r="D39" s="11">
        <v>108</v>
      </c>
      <c r="E39" s="11" t="s">
        <v>212</v>
      </c>
      <c r="F39" s="11">
        <v>5</v>
      </c>
      <c r="G39" s="11" t="s">
        <v>95</v>
      </c>
      <c r="H39" s="28">
        <f t="shared" si="0"/>
        <v>54</v>
      </c>
      <c r="I39" s="11" t="s">
        <v>110</v>
      </c>
      <c r="J39" s="11">
        <v>110</v>
      </c>
      <c r="K39" s="11">
        <v>2</v>
      </c>
      <c r="X39" s="12"/>
      <c r="AB39">
        <f t="shared" si="1"/>
        <v>1</v>
      </c>
      <c r="AC39">
        <f t="shared" si="2"/>
        <v>1</v>
      </c>
    </row>
    <row r="40" spans="1:29" x14ac:dyDescent="0.25">
      <c r="B40" s="8" t="s">
        <v>287</v>
      </c>
      <c r="C40" t="s">
        <v>176</v>
      </c>
      <c r="D40">
        <v>46</v>
      </c>
      <c r="E40" t="s">
        <v>93</v>
      </c>
      <c r="F40">
        <v>5</v>
      </c>
      <c r="G40" t="s">
        <v>355</v>
      </c>
      <c r="H40" s="1">
        <f t="shared" si="0"/>
        <v>13.939393939393939</v>
      </c>
      <c r="I40" t="s">
        <v>106</v>
      </c>
      <c r="J40">
        <v>126</v>
      </c>
      <c r="K40">
        <v>3.3</v>
      </c>
      <c r="X40" s="9"/>
      <c r="AB40">
        <f t="shared" si="1"/>
        <v>1</v>
      </c>
      <c r="AC40">
        <f t="shared" si="2"/>
        <v>1</v>
      </c>
    </row>
    <row r="41" spans="1:29" x14ac:dyDescent="0.25">
      <c r="B41" s="8" t="s">
        <v>288</v>
      </c>
      <c r="C41" t="s">
        <v>147</v>
      </c>
      <c r="D41">
        <v>26</v>
      </c>
      <c r="E41" t="s">
        <v>93</v>
      </c>
      <c r="F41">
        <v>10</v>
      </c>
      <c r="G41" t="s">
        <v>95</v>
      </c>
      <c r="H41" s="1">
        <f t="shared" si="0"/>
        <v>13</v>
      </c>
      <c r="I41" t="s">
        <v>113</v>
      </c>
      <c r="J41">
        <v>100</v>
      </c>
      <c r="K41">
        <v>2</v>
      </c>
      <c r="X41" s="9"/>
      <c r="AB41">
        <f t="shared" si="1"/>
        <v>1</v>
      </c>
      <c r="AC41">
        <f t="shared" si="2"/>
        <v>1</v>
      </c>
    </row>
    <row r="42" spans="1:29" x14ac:dyDescent="0.25">
      <c r="B42" s="8" t="s">
        <v>289</v>
      </c>
      <c r="C42" t="s">
        <v>137</v>
      </c>
      <c r="D42">
        <v>46</v>
      </c>
      <c r="E42" t="s">
        <v>94</v>
      </c>
      <c r="F42">
        <v>15</v>
      </c>
      <c r="G42" t="s">
        <v>95</v>
      </c>
      <c r="H42" s="1">
        <f t="shared" si="0"/>
        <v>23</v>
      </c>
      <c r="I42" t="s">
        <v>110</v>
      </c>
      <c r="J42">
        <v>110</v>
      </c>
      <c r="K42">
        <v>2</v>
      </c>
      <c r="X42" s="9"/>
      <c r="AB42">
        <f t="shared" si="1"/>
        <v>1</v>
      </c>
      <c r="AC42">
        <f t="shared" si="2"/>
        <v>1</v>
      </c>
    </row>
    <row r="43" spans="1:29" x14ac:dyDescent="0.25">
      <c r="B43" s="8" t="s">
        <v>290</v>
      </c>
      <c r="C43" t="s">
        <v>20</v>
      </c>
      <c r="D43">
        <v>100</v>
      </c>
      <c r="E43" t="s">
        <v>94</v>
      </c>
      <c r="F43">
        <v>5</v>
      </c>
      <c r="G43" t="s">
        <v>95</v>
      </c>
      <c r="H43" s="1">
        <f t="shared" si="0"/>
        <v>50</v>
      </c>
      <c r="I43" t="s">
        <v>110</v>
      </c>
      <c r="J43">
        <v>110</v>
      </c>
      <c r="K43">
        <v>2</v>
      </c>
      <c r="X43" s="9"/>
      <c r="AB43">
        <f t="shared" si="1"/>
        <v>1</v>
      </c>
      <c r="AC43">
        <f t="shared" si="2"/>
        <v>1</v>
      </c>
    </row>
    <row r="44" spans="1:29" x14ac:dyDescent="0.25">
      <c r="B44" s="8" t="s">
        <v>291</v>
      </c>
      <c r="C44" t="s">
        <v>164</v>
      </c>
      <c r="D44">
        <v>50</v>
      </c>
      <c r="E44" t="s">
        <v>93</v>
      </c>
      <c r="F44">
        <v>10</v>
      </c>
      <c r="G44" t="s">
        <v>356</v>
      </c>
      <c r="H44" s="1">
        <f t="shared" si="0"/>
        <v>15.151515151515152</v>
      </c>
      <c r="I44" t="s">
        <v>224</v>
      </c>
      <c r="J44">
        <v>117</v>
      </c>
      <c r="K44">
        <v>3.3</v>
      </c>
      <c r="X44" s="9"/>
      <c r="AB44">
        <f t="shared" si="1"/>
        <v>1</v>
      </c>
      <c r="AC44">
        <f t="shared" si="2"/>
        <v>1</v>
      </c>
    </row>
    <row r="45" spans="1:29" x14ac:dyDescent="0.25">
      <c r="B45" s="8" t="s">
        <v>292</v>
      </c>
      <c r="C45" t="s">
        <v>137</v>
      </c>
      <c r="D45">
        <v>28</v>
      </c>
      <c r="E45" t="s">
        <v>94</v>
      </c>
      <c r="F45">
        <v>5</v>
      </c>
      <c r="G45" t="s">
        <v>357</v>
      </c>
      <c r="H45" s="1">
        <f t="shared" si="0"/>
        <v>14</v>
      </c>
      <c r="I45" t="s">
        <v>110</v>
      </c>
      <c r="J45">
        <v>110</v>
      </c>
      <c r="K45">
        <v>2</v>
      </c>
      <c r="X45" s="9"/>
      <c r="AB45">
        <f t="shared" si="1"/>
        <v>1</v>
      </c>
      <c r="AC45">
        <f t="shared" si="2"/>
        <v>1</v>
      </c>
    </row>
    <row r="46" spans="1:29" x14ac:dyDescent="0.25">
      <c r="B46" s="8" t="s">
        <v>293</v>
      </c>
      <c r="C46" t="s">
        <v>138</v>
      </c>
      <c r="D46">
        <v>26</v>
      </c>
      <c r="E46" t="s">
        <v>93</v>
      </c>
      <c r="F46">
        <v>15</v>
      </c>
      <c r="G46" t="s">
        <v>358</v>
      </c>
      <c r="H46" s="1">
        <f t="shared" si="0"/>
        <v>7.8787878787878789</v>
      </c>
      <c r="I46" t="s">
        <v>106</v>
      </c>
      <c r="J46">
        <v>126</v>
      </c>
      <c r="K46">
        <v>3.3</v>
      </c>
      <c r="X46" s="9"/>
      <c r="AB46">
        <f t="shared" si="1"/>
        <v>1</v>
      </c>
      <c r="AC46">
        <f t="shared" si="2"/>
        <v>1</v>
      </c>
    </row>
    <row r="47" spans="1:29" x14ac:dyDescent="0.25">
      <c r="B47" s="8" t="s">
        <v>294</v>
      </c>
      <c r="C47" t="s">
        <v>318</v>
      </c>
      <c r="D47">
        <v>73</v>
      </c>
      <c r="E47" t="s">
        <v>94</v>
      </c>
      <c r="F47">
        <v>15</v>
      </c>
      <c r="G47" t="s">
        <v>359</v>
      </c>
      <c r="H47" s="1">
        <f t="shared" si="0"/>
        <v>22.121212121212121</v>
      </c>
      <c r="I47" t="s">
        <v>224</v>
      </c>
      <c r="J47">
        <v>117</v>
      </c>
      <c r="K47">
        <v>3.3</v>
      </c>
      <c r="X47" s="9"/>
      <c r="AB47">
        <f t="shared" si="1"/>
        <v>1</v>
      </c>
      <c r="AC47">
        <f t="shared" si="2"/>
        <v>1</v>
      </c>
    </row>
    <row r="48" spans="1:29" x14ac:dyDescent="0.25">
      <c r="B48" s="8" t="s">
        <v>295</v>
      </c>
      <c r="C48" t="s">
        <v>140</v>
      </c>
      <c r="D48">
        <v>33</v>
      </c>
      <c r="E48" t="s">
        <v>94</v>
      </c>
      <c r="F48">
        <v>10</v>
      </c>
      <c r="G48" t="s">
        <v>331</v>
      </c>
      <c r="H48" s="1">
        <f t="shared" si="0"/>
        <v>10</v>
      </c>
      <c r="I48" t="s">
        <v>106</v>
      </c>
      <c r="J48">
        <v>126</v>
      </c>
      <c r="K48">
        <v>3.3</v>
      </c>
      <c r="X48" s="9"/>
      <c r="AB48">
        <f t="shared" si="1"/>
        <v>1</v>
      </c>
      <c r="AC48">
        <f t="shared" si="2"/>
        <v>1</v>
      </c>
    </row>
    <row r="49" spans="1:29" x14ac:dyDescent="0.25">
      <c r="B49" s="8" t="s">
        <v>296</v>
      </c>
      <c r="C49" t="s">
        <v>164</v>
      </c>
      <c r="D49">
        <v>70</v>
      </c>
      <c r="E49" t="s">
        <v>93</v>
      </c>
      <c r="F49">
        <v>10</v>
      </c>
      <c r="G49" t="s">
        <v>360</v>
      </c>
      <c r="H49" s="1">
        <f t="shared" si="0"/>
        <v>35</v>
      </c>
      <c r="I49" t="s">
        <v>110</v>
      </c>
      <c r="J49">
        <v>110</v>
      </c>
      <c r="K49">
        <v>2</v>
      </c>
      <c r="X49" s="9"/>
      <c r="AB49">
        <f t="shared" si="1"/>
        <v>1</v>
      </c>
      <c r="AC49">
        <f t="shared" si="2"/>
        <v>1</v>
      </c>
    </row>
    <row r="50" spans="1:29" x14ac:dyDescent="0.25">
      <c r="B50" s="8" t="s">
        <v>297</v>
      </c>
      <c r="C50" t="s">
        <v>138</v>
      </c>
      <c r="D50">
        <v>40</v>
      </c>
      <c r="E50" t="s">
        <v>94</v>
      </c>
      <c r="F50">
        <v>16</v>
      </c>
      <c r="G50" t="s">
        <v>361</v>
      </c>
      <c r="H50" s="1">
        <f t="shared" si="0"/>
        <v>12.121212121212121</v>
      </c>
      <c r="I50" t="s">
        <v>106</v>
      </c>
      <c r="J50">
        <v>126</v>
      </c>
      <c r="K50">
        <v>3.3</v>
      </c>
      <c r="M50">
        <v>137</v>
      </c>
      <c r="X50" s="9"/>
      <c r="AB50">
        <f t="shared" si="1"/>
        <v>1</v>
      </c>
      <c r="AC50">
        <f t="shared" si="2"/>
        <v>1</v>
      </c>
    </row>
    <row r="51" spans="1:29" x14ac:dyDescent="0.25">
      <c r="B51" s="8" t="s">
        <v>298</v>
      </c>
      <c r="C51" t="s">
        <v>20</v>
      </c>
      <c r="D51">
        <v>200</v>
      </c>
      <c r="E51" t="s">
        <v>93</v>
      </c>
      <c r="F51">
        <v>3</v>
      </c>
      <c r="G51" t="s">
        <v>362</v>
      </c>
      <c r="H51" s="1">
        <f t="shared" si="0"/>
        <v>100</v>
      </c>
      <c r="I51" t="s">
        <v>113</v>
      </c>
      <c r="J51">
        <v>100</v>
      </c>
      <c r="K51">
        <v>2</v>
      </c>
      <c r="X51" s="9"/>
      <c r="AB51">
        <f t="shared" si="1"/>
        <v>1</v>
      </c>
      <c r="AC51">
        <f t="shared" si="2"/>
        <v>1</v>
      </c>
    </row>
    <row r="52" spans="1:29" x14ac:dyDescent="0.25">
      <c r="B52" s="8" t="s">
        <v>299</v>
      </c>
      <c r="C52" t="s">
        <v>175</v>
      </c>
      <c r="D52">
        <v>24</v>
      </c>
      <c r="E52" t="s">
        <v>93</v>
      </c>
      <c r="F52">
        <v>5</v>
      </c>
      <c r="G52" t="s">
        <v>363</v>
      </c>
      <c r="H52" s="1">
        <f t="shared" si="0"/>
        <v>12</v>
      </c>
      <c r="I52" t="s">
        <v>113</v>
      </c>
      <c r="J52">
        <v>100</v>
      </c>
      <c r="K52">
        <v>2</v>
      </c>
      <c r="X52" s="9"/>
      <c r="AB52">
        <f t="shared" si="1"/>
        <v>1</v>
      </c>
      <c r="AC52">
        <f t="shared" si="2"/>
        <v>1</v>
      </c>
    </row>
    <row r="53" spans="1:29" x14ac:dyDescent="0.25">
      <c r="B53" s="8" t="s">
        <v>300</v>
      </c>
      <c r="C53" t="s">
        <v>61</v>
      </c>
      <c r="D53">
        <v>126</v>
      </c>
      <c r="E53" t="s">
        <v>93</v>
      </c>
      <c r="F53">
        <v>5</v>
      </c>
      <c r="G53" t="s">
        <v>364</v>
      </c>
      <c r="H53" s="1">
        <f t="shared" si="0"/>
        <v>70</v>
      </c>
      <c r="I53" t="s">
        <v>222</v>
      </c>
      <c r="J53">
        <v>100</v>
      </c>
      <c r="K53">
        <v>1.8</v>
      </c>
      <c r="X53" s="9"/>
      <c r="AB53">
        <f t="shared" si="1"/>
        <v>1</v>
      </c>
      <c r="AC53">
        <f t="shared" si="2"/>
        <v>1</v>
      </c>
    </row>
    <row r="54" spans="1:29" x14ac:dyDescent="0.25">
      <c r="B54" s="8" t="s">
        <v>301</v>
      </c>
      <c r="C54" t="s">
        <v>318</v>
      </c>
      <c r="D54">
        <v>93</v>
      </c>
      <c r="E54" t="s">
        <v>94</v>
      </c>
      <c r="F54">
        <v>10</v>
      </c>
      <c r="G54" t="s">
        <v>365</v>
      </c>
      <c r="H54" s="1">
        <f t="shared" si="0"/>
        <v>26.956521739130434</v>
      </c>
      <c r="I54" t="s">
        <v>109</v>
      </c>
      <c r="J54">
        <v>126</v>
      </c>
      <c r="K54">
        <v>3.45</v>
      </c>
      <c r="X54" s="9"/>
      <c r="AB54">
        <f t="shared" si="1"/>
        <v>1</v>
      </c>
      <c r="AC54">
        <f t="shared" si="2"/>
        <v>1</v>
      </c>
    </row>
    <row r="55" spans="1:29" s="11" customFormat="1" x14ac:dyDescent="0.25">
      <c r="A55" s="11">
        <f>SUM(D40:D55)</f>
        <v>1131</v>
      </c>
      <c r="B55" s="10" t="s">
        <v>301</v>
      </c>
      <c r="C55" s="11" t="s">
        <v>20</v>
      </c>
      <c r="D55" s="11">
        <v>150</v>
      </c>
      <c r="E55" s="11" t="s">
        <v>212</v>
      </c>
      <c r="F55" s="11">
        <v>5</v>
      </c>
      <c r="G55" s="11" t="s">
        <v>95</v>
      </c>
      <c r="H55" s="28">
        <f t="shared" si="0"/>
        <v>75</v>
      </c>
      <c r="I55" s="11" t="s">
        <v>92</v>
      </c>
      <c r="J55" s="11" t="s">
        <v>95</v>
      </c>
      <c r="K55" s="11">
        <v>2</v>
      </c>
      <c r="X55" s="12"/>
      <c r="AB55">
        <f t="shared" si="1"/>
        <v>1</v>
      </c>
      <c r="AC55">
        <f t="shared" si="2"/>
        <v>1</v>
      </c>
    </row>
    <row r="56" spans="1:29" x14ac:dyDescent="0.25">
      <c r="B56" s="8" t="s">
        <v>302</v>
      </c>
      <c r="C56" t="s">
        <v>20</v>
      </c>
      <c r="D56">
        <v>144</v>
      </c>
      <c r="E56" t="s">
        <v>94</v>
      </c>
      <c r="F56">
        <v>10</v>
      </c>
      <c r="G56" t="s">
        <v>95</v>
      </c>
      <c r="H56" s="1">
        <f t="shared" si="0"/>
        <v>72</v>
      </c>
      <c r="I56" t="s">
        <v>110</v>
      </c>
      <c r="J56">
        <v>110</v>
      </c>
      <c r="K56">
        <v>2</v>
      </c>
      <c r="X56" s="9"/>
      <c r="AB56">
        <f t="shared" si="1"/>
        <v>1</v>
      </c>
      <c r="AC56">
        <f t="shared" si="2"/>
        <v>1</v>
      </c>
    </row>
    <row r="57" spans="1:29" x14ac:dyDescent="0.25">
      <c r="B57" s="8" t="s">
        <v>303</v>
      </c>
      <c r="C57" t="s">
        <v>320</v>
      </c>
      <c r="D57">
        <v>165</v>
      </c>
      <c r="E57" t="s">
        <v>344</v>
      </c>
      <c r="G57" t="s">
        <v>345</v>
      </c>
      <c r="H57" s="1">
        <f t="shared" si="0"/>
        <v>50</v>
      </c>
      <c r="I57" t="s">
        <v>111</v>
      </c>
      <c r="J57">
        <v>112</v>
      </c>
      <c r="K57">
        <v>3.3</v>
      </c>
      <c r="X57" s="9"/>
      <c r="AB57">
        <f t="shared" si="1"/>
        <v>1</v>
      </c>
      <c r="AC57">
        <f t="shared" si="2"/>
        <v>1</v>
      </c>
    </row>
    <row r="58" spans="1:29" x14ac:dyDescent="0.25">
      <c r="B58" s="8" t="s">
        <v>304</v>
      </c>
      <c r="C58" t="s">
        <v>140</v>
      </c>
      <c r="D58">
        <v>26</v>
      </c>
      <c r="E58" t="s">
        <v>94</v>
      </c>
      <c r="F58">
        <v>5</v>
      </c>
      <c r="G58" t="s">
        <v>366</v>
      </c>
      <c r="H58" s="1">
        <f t="shared" si="0"/>
        <v>7.8787878787878789</v>
      </c>
      <c r="I58" t="s">
        <v>111</v>
      </c>
      <c r="J58">
        <v>112</v>
      </c>
      <c r="K58">
        <v>3.3</v>
      </c>
      <c r="X58" s="9"/>
      <c r="AB58">
        <f t="shared" si="1"/>
        <v>1</v>
      </c>
      <c r="AC58">
        <f t="shared" si="2"/>
        <v>1</v>
      </c>
    </row>
    <row r="59" spans="1:29" x14ac:dyDescent="0.25">
      <c r="B59" s="8" t="s">
        <v>305</v>
      </c>
      <c r="C59" t="s">
        <v>142</v>
      </c>
      <c r="D59">
        <v>200</v>
      </c>
      <c r="E59" t="s">
        <v>93</v>
      </c>
      <c r="F59">
        <v>2</v>
      </c>
      <c r="G59" t="s">
        <v>367</v>
      </c>
      <c r="H59" s="1">
        <v>75</v>
      </c>
      <c r="I59" t="s">
        <v>110</v>
      </c>
      <c r="J59">
        <v>110</v>
      </c>
      <c r="K59">
        <v>2</v>
      </c>
      <c r="O59">
        <v>25</v>
      </c>
      <c r="P59" t="s">
        <v>113</v>
      </c>
      <c r="Q59">
        <v>100</v>
      </c>
      <c r="R59">
        <v>2</v>
      </c>
      <c r="X59" s="9"/>
      <c r="AB59">
        <f t="shared" si="1"/>
        <v>1</v>
      </c>
      <c r="AC59">
        <f t="shared" si="2"/>
        <v>1</v>
      </c>
    </row>
    <row r="60" spans="1:29" x14ac:dyDescent="0.25">
      <c r="B60" s="8" t="s">
        <v>306</v>
      </c>
      <c r="C60" t="s">
        <v>147</v>
      </c>
      <c r="D60">
        <v>20</v>
      </c>
      <c r="E60" t="s">
        <v>93</v>
      </c>
      <c r="F60">
        <v>16</v>
      </c>
      <c r="G60" t="s">
        <v>368</v>
      </c>
      <c r="H60" s="1">
        <f t="shared" si="0"/>
        <v>6.0606060606060606</v>
      </c>
      <c r="I60" t="s">
        <v>111</v>
      </c>
      <c r="J60">
        <v>112</v>
      </c>
      <c r="K60">
        <v>3.3</v>
      </c>
      <c r="X60" s="9"/>
      <c r="AB60">
        <f t="shared" si="1"/>
        <v>1</v>
      </c>
      <c r="AC60">
        <f t="shared" si="2"/>
        <v>1</v>
      </c>
    </row>
    <row r="61" spans="1:29" x14ac:dyDescent="0.25">
      <c r="B61" s="8" t="s">
        <v>307</v>
      </c>
      <c r="C61" t="s">
        <v>142</v>
      </c>
      <c r="D61">
        <v>50</v>
      </c>
      <c r="E61" t="s">
        <v>93</v>
      </c>
      <c r="F61">
        <v>2</v>
      </c>
      <c r="G61" t="s">
        <v>369</v>
      </c>
      <c r="H61" s="1">
        <f t="shared" si="0"/>
        <v>25</v>
      </c>
      <c r="I61" t="s">
        <v>110</v>
      </c>
      <c r="J61">
        <v>110</v>
      </c>
      <c r="K61">
        <v>2</v>
      </c>
      <c r="X61" s="9"/>
      <c r="AB61">
        <f t="shared" si="1"/>
        <v>1</v>
      </c>
      <c r="AC61">
        <f t="shared" si="2"/>
        <v>1</v>
      </c>
    </row>
    <row r="62" spans="1:29" x14ac:dyDescent="0.25">
      <c r="B62" s="8" t="s">
        <v>308</v>
      </c>
      <c r="C62" t="s">
        <v>20</v>
      </c>
      <c r="D62">
        <v>200</v>
      </c>
      <c r="E62" t="s">
        <v>94</v>
      </c>
      <c r="F62">
        <v>3</v>
      </c>
      <c r="G62" t="s">
        <v>95</v>
      </c>
      <c r="H62" s="1">
        <f t="shared" si="0"/>
        <v>60.606060606060609</v>
      </c>
      <c r="I62" t="s">
        <v>106</v>
      </c>
      <c r="J62">
        <v>126</v>
      </c>
      <c r="K62">
        <v>3.3</v>
      </c>
      <c r="X62" s="9"/>
      <c r="AB62">
        <f t="shared" si="1"/>
        <v>1</v>
      </c>
      <c r="AC62">
        <f t="shared" si="2"/>
        <v>1</v>
      </c>
    </row>
    <row r="63" spans="1:29" x14ac:dyDescent="0.25">
      <c r="B63" s="8" t="s">
        <v>309</v>
      </c>
      <c r="C63" t="s">
        <v>20</v>
      </c>
      <c r="D63">
        <v>201</v>
      </c>
      <c r="E63" t="s">
        <v>94</v>
      </c>
      <c r="F63">
        <v>3</v>
      </c>
      <c r="G63" t="s">
        <v>220</v>
      </c>
      <c r="H63" s="1">
        <v>51</v>
      </c>
      <c r="I63" t="s">
        <v>113</v>
      </c>
      <c r="J63">
        <v>100</v>
      </c>
      <c r="K63">
        <v>2</v>
      </c>
      <c r="O63">
        <v>30</v>
      </c>
      <c r="P63" t="s">
        <v>224</v>
      </c>
      <c r="Q63">
        <v>117</v>
      </c>
      <c r="R63">
        <v>3.3</v>
      </c>
      <c r="X63" s="9"/>
      <c r="AB63">
        <f t="shared" si="1"/>
        <v>1</v>
      </c>
      <c r="AC63">
        <f t="shared" si="2"/>
        <v>1</v>
      </c>
    </row>
    <row r="64" spans="1:29" x14ac:dyDescent="0.25">
      <c r="B64" s="8" t="s">
        <v>310</v>
      </c>
      <c r="C64" t="s">
        <v>138</v>
      </c>
      <c r="D64">
        <v>36</v>
      </c>
      <c r="E64" t="s">
        <v>94</v>
      </c>
      <c r="F64">
        <v>20</v>
      </c>
      <c r="G64" t="s">
        <v>370</v>
      </c>
      <c r="H64" s="1">
        <f t="shared" si="0"/>
        <v>10.90909090909091</v>
      </c>
      <c r="I64" t="s">
        <v>106</v>
      </c>
      <c r="J64">
        <v>126</v>
      </c>
      <c r="K64">
        <v>3.3</v>
      </c>
      <c r="X64" s="9"/>
      <c r="AB64">
        <f t="shared" si="1"/>
        <v>1</v>
      </c>
      <c r="AC64">
        <f t="shared" si="2"/>
        <v>1</v>
      </c>
    </row>
    <row r="65" spans="1:29" x14ac:dyDescent="0.25">
      <c r="B65" s="8" t="s">
        <v>311</v>
      </c>
      <c r="C65" t="s">
        <v>20</v>
      </c>
      <c r="D65">
        <v>100</v>
      </c>
      <c r="E65" t="s">
        <v>94</v>
      </c>
      <c r="F65">
        <v>3</v>
      </c>
      <c r="G65" t="s">
        <v>95</v>
      </c>
      <c r="H65" s="1"/>
      <c r="I65" t="s">
        <v>95</v>
      </c>
      <c r="X65" s="9"/>
      <c r="AB65">
        <f t="shared" si="1"/>
        <v>0</v>
      </c>
      <c r="AC65">
        <f t="shared" si="2"/>
        <v>1</v>
      </c>
    </row>
    <row r="66" spans="1:29" x14ac:dyDescent="0.25">
      <c r="B66" s="8" t="s">
        <v>312</v>
      </c>
      <c r="C66" t="s">
        <v>165</v>
      </c>
      <c r="D66">
        <v>110</v>
      </c>
      <c r="E66" t="s">
        <v>93</v>
      </c>
      <c r="F66">
        <v>10</v>
      </c>
      <c r="G66" t="s">
        <v>371</v>
      </c>
      <c r="H66" s="1">
        <v>30</v>
      </c>
      <c r="I66" t="s">
        <v>115</v>
      </c>
      <c r="J66">
        <v>117</v>
      </c>
      <c r="K66">
        <v>3.45</v>
      </c>
      <c r="O66">
        <v>2</v>
      </c>
      <c r="P66" t="s">
        <v>112</v>
      </c>
      <c r="Q66">
        <v>112</v>
      </c>
      <c r="R66">
        <v>3.45</v>
      </c>
      <c r="X66" s="9"/>
      <c r="AB66">
        <f t="shared" si="1"/>
        <v>1</v>
      </c>
      <c r="AC66">
        <f t="shared" si="2"/>
        <v>1</v>
      </c>
    </row>
    <row r="67" spans="1:29" x14ac:dyDescent="0.25">
      <c r="B67" s="8" t="s">
        <v>313</v>
      </c>
      <c r="C67" t="s">
        <v>20</v>
      </c>
      <c r="D67">
        <v>198</v>
      </c>
      <c r="E67" t="s">
        <v>93</v>
      </c>
      <c r="F67">
        <v>5</v>
      </c>
      <c r="G67" t="s">
        <v>372</v>
      </c>
      <c r="H67" s="1">
        <f t="shared" ref="H67:H72" si="3">D67/K67</f>
        <v>60</v>
      </c>
      <c r="I67" t="s">
        <v>224</v>
      </c>
      <c r="J67">
        <v>117</v>
      </c>
      <c r="K67">
        <v>3.3</v>
      </c>
      <c r="X67" s="9"/>
      <c r="AB67">
        <f t="shared" ref="AB67:AB72" si="4">COUNTIF($I$87:$I$117,I67)</f>
        <v>1</v>
      </c>
      <c r="AC67">
        <f t="shared" ref="AC67:AC72" si="5">COUNTIF($C$86:$C$117,C67)</f>
        <v>1</v>
      </c>
    </row>
    <row r="68" spans="1:29" x14ac:dyDescent="0.25">
      <c r="B68" s="8" t="s">
        <v>314</v>
      </c>
      <c r="C68" t="s">
        <v>142</v>
      </c>
      <c r="D68">
        <v>50</v>
      </c>
      <c r="E68" t="s">
        <v>93</v>
      </c>
      <c r="F68">
        <v>2</v>
      </c>
      <c r="G68" t="s">
        <v>369</v>
      </c>
      <c r="H68" s="1">
        <f t="shared" si="3"/>
        <v>25</v>
      </c>
      <c r="I68" t="s">
        <v>110</v>
      </c>
      <c r="J68">
        <v>110</v>
      </c>
      <c r="K68">
        <v>2</v>
      </c>
      <c r="X68" s="9"/>
      <c r="AB68">
        <f t="shared" si="4"/>
        <v>1</v>
      </c>
      <c r="AC68">
        <f t="shared" si="5"/>
        <v>1</v>
      </c>
    </row>
    <row r="69" spans="1:29" x14ac:dyDescent="0.25">
      <c r="B69" s="8" t="s">
        <v>314</v>
      </c>
      <c r="C69" t="s">
        <v>148</v>
      </c>
      <c r="D69">
        <v>40</v>
      </c>
      <c r="E69" t="s">
        <v>93</v>
      </c>
      <c r="F69">
        <v>15</v>
      </c>
      <c r="G69" t="s">
        <v>373</v>
      </c>
      <c r="H69" s="1">
        <f t="shared" si="3"/>
        <v>12.121212121212121</v>
      </c>
      <c r="I69" t="s">
        <v>111</v>
      </c>
      <c r="J69">
        <v>112</v>
      </c>
      <c r="K69">
        <v>3.3</v>
      </c>
      <c r="X69" s="9"/>
      <c r="AB69">
        <f t="shared" si="4"/>
        <v>1</v>
      </c>
      <c r="AC69">
        <f t="shared" si="5"/>
        <v>1</v>
      </c>
    </row>
    <row r="70" spans="1:29" x14ac:dyDescent="0.25">
      <c r="B70" s="8" t="s">
        <v>315</v>
      </c>
      <c r="C70" t="s">
        <v>318</v>
      </c>
      <c r="D70">
        <v>117</v>
      </c>
      <c r="E70" t="s">
        <v>94</v>
      </c>
      <c r="F70">
        <v>10</v>
      </c>
      <c r="G70" t="s">
        <v>336</v>
      </c>
      <c r="H70" s="1">
        <f t="shared" si="3"/>
        <v>33.913043478260867</v>
      </c>
      <c r="I70" t="s">
        <v>108</v>
      </c>
      <c r="J70">
        <v>136</v>
      </c>
      <c r="K70">
        <v>3.45</v>
      </c>
      <c r="X70" s="9"/>
      <c r="AB70">
        <f t="shared" si="4"/>
        <v>1</v>
      </c>
      <c r="AC70">
        <f t="shared" si="5"/>
        <v>1</v>
      </c>
    </row>
    <row r="71" spans="1:29" x14ac:dyDescent="0.25">
      <c r="B71" s="8" t="s">
        <v>316</v>
      </c>
      <c r="C71" t="s">
        <v>141</v>
      </c>
      <c r="D71">
        <v>90</v>
      </c>
      <c r="E71" t="s">
        <v>95</v>
      </c>
      <c r="F71" t="s">
        <v>95</v>
      </c>
      <c r="G71" t="s">
        <v>95</v>
      </c>
      <c r="H71" s="1">
        <f t="shared" si="3"/>
        <v>45</v>
      </c>
      <c r="I71" t="s">
        <v>110</v>
      </c>
      <c r="J71">
        <v>110</v>
      </c>
      <c r="K71">
        <v>2</v>
      </c>
      <c r="X71" s="9"/>
      <c r="AB71">
        <f t="shared" si="4"/>
        <v>1</v>
      </c>
      <c r="AC71">
        <f t="shared" si="5"/>
        <v>1</v>
      </c>
    </row>
    <row r="72" spans="1:29" s="11" customFormat="1" x14ac:dyDescent="0.25">
      <c r="A72" s="11">
        <f>SUM(D56:D72)</f>
        <v>1823</v>
      </c>
      <c r="B72" s="10" t="s">
        <v>316</v>
      </c>
      <c r="C72" s="11" t="s">
        <v>147</v>
      </c>
      <c r="D72" s="11">
        <v>76</v>
      </c>
      <c r="E72" s="11" t="s">
        <v>93</v>
      </c>
      <c r="F72" s="11">
        <v>15</v>
      </c>
      <c r="G72" s="11" t="s">
        <v>374</v>
      </c>
      <c r="H72" s="28">
        <f t="shared" si="3"/>
        <v>22.754491017964074</v>
      </c>
      <c r="I72" s="11" t="s">
        <v>112</v>
      </c>
      <c r="J72" s="11">
        <v>112</v>
      </c>
      <c r="K72" s="11">
        <v>3.34</v>
      </c>
      <c r="X72" s="12"/>
      <c r="AB72">
        <f t="shared" si="4"/>
        <v>1</v>
      </c>
      <c r="AC72">
        <f t="shared" si="5"/>
        <v>1</v>
      </c>
    </row>
    <row r="73" spans="1:29" x14ac:dyDescent="0.25">
      <c r="H73" s="1"/>
    </row>
    <row r="74" spans="1:29" x14ac:dyDescent="0.25">
      <c r="B74" s="2"/>
      <c r="H74" s="1"/>
    </row>
    <row r="75" spans="1:29" x14ac:dyDescent="0.25">
      <c r="B75" s="2"/>
      <c r="H75" s="1"/>
    </row>
    <row r="77" spans="1:29" x14ac:dyDescent="0.25">
      <c r="C77" s="5" t="s">
        <v>150</v>
      </c>
      <c r="D77" s="6" t="s">
        <v>91</v>
      </c>
      <c r="E77" s="6" t="s">
        <v>130</v>
      </c>
      <c r="F77" s="6"/>
      <c r="G77" s="7" t="s">
        <v>395</v>
      </c>
      <c r="I77" s="13" t="s">
        <v>124</v>
      </c>
      <c r="J77" s="14"/>
      <c r="K77" s="14"/>
      <c r="L77" s="14" t="s">
        <v>135</v>
      </c>
      <c r="M77" s="14" t="s">
        <v>375</v>
      </c>
      <c r="N77" s="15" t="s">
        <v>130</v>
      </c>
      <c r="P77" s="13" t="s">
        <v>124</v>
      </c>
      <c r="Q77" s="14"/>
      <c r="R77" s="14"/>
      <c r="S77" s="14" t="s">
        <v>135</v>
      </c>
      <c r="T77" s="15" t="s">
        <v>375</v>
      </c>
    </row>
    <row r="78" spans="1:29" x14ac:dyDescent="0.25">
      <c r="C78" s="8" t="s">
        <v>392</v>
      </c>
      <c r="D78" s="1">
        <f>SUM(M78:M81,T78:T81)</f>
        <v>2621.9378516657994</v>
      </c>
      <c r="E78">
        <f>SUM(D2:D75)</f>
        <v>6753</v>
      </c>
      <c r="G78" s="23">
        <f>E78/D78</f>
        <v>2.5755759221026566</v>
      </c>
      <c r="I78" s="8" t="s">
        <v>255</v>
      </c>
      <c r="L78">
        <f>COUNTIF(K1:K74,"&lt;2")</f>
        <v>1</v>
      </c>
      <c r="M78" s="1">
        <f>SUMIF(K1:K74,"&lt;2",H1:H74)</f>
        <v>70</v>
      </c>
      <c r="N78" s="9">
        <f>SUMIF(K1:K74,"&lt;2",D1:D74)</f>
        <v>126</v>
      </c>
      <c r="P78" s="8" t="s">
        <v>255</v>
      </c>
      <c r="S78">
        <f>COUNTIF(R1:R74,"&lt;2")</f>
        <v>0</v>
      </c>
      <c r="T78" s="9">
        <f>SUMIF(R1:R74,"&lt;2",K1:K74)</f>
        <v>0</v>
      </c>
    </row>
    <row r="79" spans="1:29" x14ac:dyDescent="0.25">
      <c r="C79" s="8" t="s">
        <v>125</v>
      </c>
      <c r="D79">
        <f>COUNT(D2:D75)</f>
        <v>71</v>
      </c>
      <c r="G79" s="9"/>
      <c r="I79" s="8" t="s">
        <v>133</v>
      </c>
      <c r="L79">
        <f>COUNTIF(K2:K75,"&lt;3")-L78</f>
        <v>27</v>
      </c>
      <c r="M79" s="1">
        <f>SUMIF(K2:K75,"&lt;3",H2:H75)-M78</f>
        <v>1445</v>
      </c>
      <c r="N79" s="9">
        <f>SUMIF(K2:K75,"&lt;3",D2:D75)</f>
        <v>3165</v>
      </c>
      <c r="P79" s="8" t="s">
        <v>133</v>
      </c>
      <c r="S79">
        <f>COUNTIF(R2:R75,"&lt;3")-S78</f>
        <v>1</v>
      </c>
      <c r="T79" s="9">
        <f>SUMIF(R2:R75,"&lt;3",O2:O75)-T78</f>
        <v>25</v>
      </c>
    </row>
    <row r="80" spans="1:29" x14ac:dyDescent="0.25">
      <c r="C80" s="8" t="s">
        <v>386</v>
      </c>
      <c r="D80">
        <f>COUNTIF(E2:E75,"AOM5000")</f>
        <v>34</v>
      </c>
      <c r="E80">
        <f>SUMIF(E2:E72,"AOM5000",D2:D72)</f>
        <v>3421</v>
      </c>
      <c r="F80" t="s">
        <v>396</v>
      </c>
      <c r="G80" s="21">
        <f>AVERAGEIF(E2:E75,"AOM5000",F2:F75)</f>
        <v>10.029411764705882</v>
      </c>
      <c r="I80" s="8" t="s">
        <v>132</v>
      </c>
      <c r="L80">
        <f>COUNTIF(K2:K75,"&lt;4")-L79-L78</f>
        <v>42</v>
      </c>
      <c r="M80" s="1">
        <f>SUMIF(K2:K75,"&lt;4",H2:H75)-M79-M78</f>
        <v>1049.9378516657994</v>
      </c>
      <c r="N80" s="9">
        <f>SUMIF(K2:K75,"&lt;4",D2:D75)-N79</f>
        <v>3488</v>
      </c>
      <c r="P80" s="8" t="s">
        <v>132</v>
      </c>
      <c r="S80">
        <f>COUNTIF(R2:R75,"&lt;4")-S79-S78</f>
        <v>2</v>
      </c>
      <c r="T80" s="9">
        <f>SUMIF(R2:R75,"&lt;4",O2:O75)-T79</f>
        <v>32</v>
      </c>
    </row>
    <row r="81" spans="2:20" x14ac:dyDescent="0.25">
      <c r="C81" s="8" t="s">
        <v>387</v>
      </c>
      <c r="D81">
        <f>COUNTIF(E2:E75,"AOM4000")</f>
        <v>30</v>
      </c>
      <c r="E81">
        <f>SUMIF(E2:E72,"AOM4000",D2:D72)</f>
        <v>2363</v>
      </c>
      <c r="F81" t="s">
        <v>397</v>
      </c>
      <c r="G81" s="21">
        <f>AVERAGEIF(E2:E75,"AOM4000",F2:F75)</f>
        <v>7.7931034482758621</v>
      </c>
      <c r="I81" s="8" t="s">
        <v>134</v>
      </c>
      <c r="L81">
        <f>COUNTIF(K2:K75,"&lt;5")-L80-L79-L78</f>
        <v>0</v>
      </c>
      <c r="M81" s="1">
        <f>SUMIF(K2:K75,"&lt;6",H2:H75)-M80-M79-M78</f>
        <v>0</v>
      </c>
      <c r="N81" s="9">
        <f>SUMIF(K2:K75,"&lt;5",D2:D75)-N80-N79</f>
        <v>0</v>
      </c>
      <c r="P81" s="8" t="s">
        <v>134</v>
      </c>
      <c r="S81">
        <f>COUNTIF(R2:R75,"&lt;5")-S80-S79-S78</f>
        <v>0</v>
      </c>
      <c r="T81" s="9">
        <f>SUMIF(R2:R75,"&lt;5",O2:O75)-T80-T79</f>
        <v>0</v>
      </c>
    </row>
    <row r="82" spans="2:20" x14ac:dyDescent="0.25">
      <c r="C82" s="8" t="s">
        <v>390</v>
      </c>
      <c r="D82" s="18">
        <f>D80/(D81+D80)*100</f>
        <v>53.125</v>
      </c>
      <c r="E82" s="18">
        <f>E80/(E81+E80)*100</f>
        <v>59.145919778699863</v>
      </c>
      <c r="G82" s="9"/>
      <c r="I82" s="8"/>
      <c r="N82" s="9"/>
      <c r="P82" s="8"/>
      <c r="T82" s="9"/>
    </row>
    <row r="83" spans="2:20" x14ac:dyDescent="0.25">
      <c r="C83" s="16" t="s">
        <v>128</v>
      </c>
      <c r="D83" s="22">
        <f>D80/D79*100</f>
        <v>47.887323943661968</v>
      </c>
      <c r="E83" s="22">
        <f>E80/E78*100</f>
        <v>50.658966385310237</v>
      </c>
      <c r="F83" s="11"/>
      <c r="G83" s="12"/>
      <c r="I83" s="8" t="s">
        <v>136</v>
      </c>
      <c r="L83">
        <f>COUNTA(L2:L75)</f>
        <v>0</v>
      </c>
      <c r="N83" s="9"/>
      <c r="P83" s="10" t="s">
        <v>136</v>
      </c>
      <c r="Q83" s="11"/>
      <c r="R83" s="11"/>
      <c r="S83" s="11">
        <f>COUNTA(S2:S75)</f>
        <v>0</v>
      </c>
      <c r="T83" s="12"/>
    </row>
    <row r="84" spans="2:20" x14ac:dyDescent="0.25">
      <c r="F84" t="s">
        <v>388</v>
      </c>
      <c r="I84" s="10"/>
      <c r="J84" s="11"/>
      <c r="K84" s="11"/>
      <c r="L84" s="11"/>
      <c r="M84" s="11"/>
      <c r="N84" s="12"/>
    </row>
    <row r="85" spans="2:20" x14ac:dyDescent="0.25">
      <c r="B85" t="s">
        <v>544</v>
      </c>
      <c r="C85" s="5" t="s">
        <v>149</v>
      </c>
      <c r="D85" s="6" t="s">
        <v>135</v>
      </c>
      <c r="E85" s="7" t="s">
        <v>130</v>
      </c>
      <c r="F85" s="5" t="s">
        <v>93</v>
      </c>
      <c r="G85" s="7" t="s">
        <v>94</v>
      </c>
    </row>
    <row r="86" spans="2:20" x14ac:dyDescent="0.25">
      <c r="B86" s="18">
        <f>E86/$E$78*100</f>
        <v>42.470013327410037</v>
      </c>
      <c r="C86" s="8" t="s">
        <v>20</v>
      </c>
      <c r="D86">
        <f t="shared" ref="D86:D111" si="6">COUNTIF(C$2:C$75,C86)</f>
        <v>17</v>
      </c>
      <c r="E86" s="9">
        <f t="shared" ref="E86:E111" si="7">SUMIF(C$2:C$75,C86,D$2:D$75)</f>
        <v>2868</v>
      </c>
      <c r="F86" s="8">
        <f>SUMIFS($D$2:$D$73,$C$2:$C$73,C86,$E$2:$E$73,$F$85)</f>
        <v>438</v>
      </c>
      <c r="G86" s="9">
        <f>SUMIFS($D$2:$D$73,$C$2:$C$73,C86,$E$2:$E$73,$G$85)</f>
        <v>2172</v>
      </c>
      <c r="I86" s="5" t="s">
        <v>376</v>
      </c>
      <c r="J86" s="6"/>
      <c r="K86" s="6"/>
      <c r="L86" s="7" t="s">
        <v>377</v>
      </c>
    </row>
    <row r="87" spans="2:20" x14ac:dyDescent="0.25">
      <c r="B87" s="18">
        <f t="shared" ref="B87:B113" si="8">E87/$E$78*100</f>
        <v>7.7002813564341768</v>
      </c>
      <c r="C87" s="8" t="s">
        <v>142</v>
      </c>
      <c r="D87">
        <f t="shared" si="6"/>
        <v>7</v>
      </c>
      <c r="E87" s="9">
        <f t="shared" si="7"/>
        <v>520</v>
      </c>
      <c r="F87" s="8">
        <f t="shared" ref="F87:F108" si="9">SUMIFS($D$2:$D$73,$C$2:$C$73,C87,$E$2:$E$73,$F$85)</f>
        <v>520</v>
      </c>
      <c r="G87" s="9">
        <f t="shared" ref="G87:G108" si="10">SUMIFS($D$2:$D$73,$C$2:$C$73,C87,$E$2:$E$73,$G$85)</f>
        <v>0</v>
      </c>
      <c r="I87" s="8" t="s">
        <v>92</v>
      </c>
      <c r="L87" s="19">
        <f t="shared" ref="L87:L101" si="11">SUMIF(I$2:I$75,I87,H$2:H$75)+SUMIF(P$2:P$75,I87,O$2:O$75)</f>
        <v>75</v>
      </c>
    </row>
    <row r="88" spans="2:20" x14ac:dyDescent="0.25">
      <c r="B88" s="18">
        <f t="shared" si="8"/>
        <v>5.8048274840811498</v>
      </c>
      <c r="C88" s="8" t="s">
        <v>318</v>
      </c>
      <c r="D88">
        <f t="shared" si="6"/>
        <v>6</v>
      </c>
      <c r="E88" s="9">
        <f t="shared" si="7"/>
        <v>392</v>
      </c>
      <c r="F88" s="8">
        <f t="shared" si="9"/>
        <v>33</v>
      </c>
      <c r="G88" s="9">
        <f t="shared" si="10"/>
        <v>359</v>
      </c>
      <c r="I88" s="8" t="s">
        <v>244</v>
      </c>
      <c r="L88" s="19">
        <f t="shared" si="11"/>
        <v>49</v>
      </c>
    </row>
    <row r="89" spans="2:20" x14ac:dyDescent="0.25">
      <c r="B89" s="18">
        <f t="shared" si="8"/>
        <v>3.1689619428402191</v>
      </c>
      <c r="C89" s="8" t="s">
        <v>140</v>
      </c>
      <c r="D89">
        <f t="shared" si="6"/>
        <v>4</v>
      </c>
      <c r="E89" s="9">
        <f t="shared" si="7"/>
        <v>214</v>
      </c>
      <c r="F89" s="8">
        <f t="shared" si="9"/>
        <v>0</v>
      </c>
      <c r="G89" s="9">
        <f t="shared" si="10"/>
        <v>214</v>
      </c>
      <c r="I89" s="8" t="s">
        <v>233</v>
      </c>
      <c r="L89" s="19">
        <f t="shared" si="11"/>
        <v>29</v>
      </c>
    </row>
    <row r="90" spans="2:20" x14ac:dyDescent="0.25">
      <c r="B90" s="18">
        <f t="shared" si="8"/>
        <v>2.2508514734192211</v>
      </c>
      <c r="C90" s="8" t="s">
        <v>138</v>
      </c>
      <c r="D90">
        <f t="shared" si="6"/>
        <v>4</v>
      </c>
      <c r="E90" s="9">
        <f t="shared" si="7"/>
        <v>152</v>
      </c>
      <c r="F90" s="8">
        <f t="shared" si="9"/>
        <v>26</v>
      </c>
      <c r="G90" s="9">
        <f t="shared" si="10"/>
        <v>126</v>
      </c>
      <c r="I90" s="8" t="s">
        <v>222</v>
      </c>
      <c r="L90" s="19">
        <f t="shared" si="11"/>
        <v>70</v>
      </c>
    </row>
    <row r="91" spans="2:20" x14ac:dyDescent="0.25">
      <c r="B91" s="18">
        <f t="shared" si="8"/>
        <v>2.4729749740855915</v>
      </c>
      <c r="C91" s="8" t="s">
        <v>161</v>
      </c>
      <c r="D91">
        <f t="shared" si="6"/>
        <v>3</v>
      </c>
      <c r="E91" s="9">
        <f t="shared" si="7"/>
        <v>167</v>
      </c>
      <c r="F91" s="8">
        <f t="shared" si="9"/>
        <v>36</v>
      </c>
      <c r="G91" s="9">
        <f t="shared" si="10"/>
        <v>131</v>
      </c>
      <c r="I91" s="8" t="s">
        <v>113</v>
      </c>
      <c r="L91" s="19">
        <f t="shared" si="11"/>
        <v>486</v>
      </c>
    </row>
    <row r="92" spans="2:20" x14ac:dyDescent="0.25">
      <c r="B92" s="18">
        <f t="shared" si="8"/>
        <v>5.5678957500370201</v>
      </c>
      <c r="C92" s="8" t="s">
        <v>141</v>
      </c>
      <c r="D92">
        <f t="shared" si="6"/>
        <v>3</v>
      </c>
      <c r="E92" s="9">
        <f t="shared" si="7"/>
        <v>376</v>
      </c>
      <c r="F92" s="8">
        <f t="shared" si="9"/>
        <v>286</v>
      </c>
      <c r="G92" s="9">
        <f t="shared" si="10"/>
        <v>0</v>
      </c>
      <c r="I92" s="8" t="s">
        <v>110</v>
      </c>
      <c r="L92" s="19">
        <f t="shared" si="11"/>
        <v>860</v>
      </c>
    </row>
    <row r="93" spans="2:20" x14ac:dyDescent="0.25">
      <c r="B93" s="18">
        <f t="shared" si="8"/>
        <v>3.0504960758181552</v>
      </c>
      <c r="C93" s="8" t="s">
        <v>165</v>
      </c>
      <c r="D93">
        <f t="shared" si="6"/>
        <v>3</v>
      </c>
      <c r="E93" s="9">
        <f t="shared" si="7"/>
        <v>206</v>
      </c>
      <c r="F93" s="8">
        <f t="shared" si="9"/>
        <v>110</v>
      </c>
      <c r="G93" s="9">
        <f t="shared" si="10"/>
        <v>96</v>
      </c>
      <c r="I93" s="8" t="s">
        <v>333</v>
      </c>
      <c r="L93" s="19">
        <f t="shared" si="11"/>
        <v>13.008130081300813</v>
      </c>
    </row>
    <row r="94" spans="2:20" x14ac:dyDescent="0.25">
      <c r="B94" s="18">
        <f t="shared" si="8"/>
        <v>0</v>
      </c>
      <c r="C94" s="8"/>
      <c r="D94">
        <f t="shared" si="6"/>
        <v>0</v>
      </c>
      <c r="E94" s="9">
        <f t="shared" si="7"/>
        <v>0</v>
      </c>
      <c r="F94" s="8">
        <f t="shared" si="9"/>
        <v>0</v>
      </c>
      <c r="G94" s="9">
        <f t="shared" si="10"/>
        <v>0</v>
      </c>
      <c r="I94" s="8" t="s">
        <v>321</v>
      </c>
      <c r="L94" s="19">
        <f t="shared" si="11"/>
        <v>12</v>
      </c>
    </row>
    <row r="95" spans="2:20" x14ac:dyDescent="0.25">
      <c r="B95" s="18">
        <f t="shared" si="8"/>
        <v>1.8066044720864802</v>
      </c>
      <c r="C95" s="8" t="s">
        <v>147</v>
      </c>
      <c r="D95">
        <f t="shared" si="6"/>
        <v>3</v>
      </c>
      <c r="E95" s="9">
        <f t="shared" si="7"/>
        <v>122</v>
      </c>
      <c r="F95" s="8">
        <f t="shared" si="9"/>
        <v>122</v>
      </c>
      <c r="G95" s="9">
        <f t="shared" si="10"/>
        <v>0</v>
      </c>
      <c r="I95" s="8" t="s">
        <v>111</v>
      </c>
      <c r="L95" s="19">
        <f t="shared" si="11"/>
        <v>212.12121212121212</v>
      </c>
    </row>
    <row r="96" spans="2:20" x14ac:dyDescent="0.25">
      <c r="B96" s="18">
        <f t="shared" si="8"/>
        <v>1.1106175033318524</v>
      </c>
      <c r="C96" s="8" t="s">
        <v>163</v>
      </c>
      <c r="D96">
        <f t="shared" si="6"/>
        <v>2</v>
      </c>
      <c r="E96" s="9">
        <f t="shared" si="7"/>
        <v>75</v>
      </c>
      <c r="F96" s="8">
        <f t="shared" si="9"/>
        <v>36</v>
      </c>
      <c r="G96" s="9">
        <f t="shared" si="10"/>
        <v>39</v>
      </c>
      <c r="I96" s="8" t="s">
        <v>112</v>
      </c>
      <c r="L96" s="19">
        <f t="shared" si="11"/>
        <v>140.69652000347131</v>
      </c>
    </row>
    <row r="97" spans="2:12" x14ac:dyDescent="0.25">
      <c r="B97" s="18">
        <f t="shared" si="8"/>
        <v>3.6724418776839922</v>
      </c>
      <c r="C97" s="8" t="s">
        <v>34</v>
      </c>
      <c r="D97">
        <f t="shared" si="6"/>
        <v>2</v>
      </c>
      <c r="E97" s="9">
        <f t="shared" si="7"/>
        <v>248</v>
      </c>
      <c r="F97" s="8">
        <f t="shared" si="9"/>
        <v>99</v>
      </c>
      <c r="G97" s="9">
        <f t="shared" si="10"/>
        <v>149</v>
      </c>
      <c r="I97" s="8" t="s">
        <v>224</v>
      </c>
      <c r="L97" s="19">
        <f t="shared" si="11"/>
        <v>365.45454545454544</v>
      </c>
    </row>
    <row r="98" spans="2:12" x14ac:dyDescent="0.25">
      <c r="B98" s="18">
        <f t="shared" si="8"/>
        <v>1.9102621057307863</v>
      </c>
      <c r="C98" s="8" t="s">
        <v>176</v>
      </c>
      <c r="D98">
        <f t="shared" si="6"/>
        <v>2</v>
      </c>
      <c r="E98" s="9">
        <f t="shared" si="7"/>
        <v>129</v>
      </c>
      <c r="F98" s="8">
        <f t="shared" si="9"/>
        <v>129</v>
      </c>
      <c r="G98" s="9">
        <f t="shared" si="10"/>
        <v>0</v>
      </c>
      <c r="I98" s="8" t="s">
        <v>115</v>
      </c>
      <c r="L98" s="19">
        <f t="shared" si="11"/>
        <v>30</v>
      </c>
    </row>
    <row r="99" spans="2:12" x14ac:dyDescent="0.25">
      <c r="B99" s="18">
        <f t="shared" si="8"/>
        <v>1.0958092699540944</v>
      </c>
      <c r="C99" s="8" t="s">
        <v>137</v>
      </c>
      <c r="D99">
        <f t="shared" si="6"/>
        <v>2</v>
      </c>
      <c r="E99" s="9">
        <f t="shared" si="7"/>
        <v>74</v>
      </c>
      <c r="F99" s="8">
        <f t="shared" si="9"/>
        <v>0</v>
      </c>
      <c r="G99" s="9">
        <f t="shared" si="10"/>
        <v>74</v>
      </c>
      <c r="I99" s="8" t="s">
        <v>106</v>
      </c>
      <c r="L99" s="19">
        <f t="shared" si="11"/>
        <v>218.78787878787878</v>
      </c>
    </row>
    <row r="100" spans="2:12" x14ac:dyDescent="0.25">
      <c r="B100" s="18">
        <f t="shared" si="8"/>
        <v>1.7769880053309639</v>
      </c>
      <c r="C100" s="8" t="s">
        <v>164</v>
      </c>
      <c r="D100">
        <f t="shared" si="6"/>
        <v>2</v>
      </c>
      <c r="E100" s="9">
        <f t="shared" si="7"/>
        <v>120</v>
      </c>
      <c r="F100" s="8">
        <f t="shared" si="9"/>
        <v>120</v>
      </c>
      <c r="G100" s="9">
        <f t="shared" si="10"/>
        <v>0</v>
      </c>
      <c r="I100" s="8" t="s">
        <v>109</v>
      </c>
      <c r="L100" s="19">
        <f t="shared" si="11"/>
        <v>26.956521739130434</v>
      </c>
    </row>
    <row r="101" spans="2:12" x14ac:dyDescent="0.25">
      <c r="B101" s="18">
        <f t="shared" si="8"/>
        <v>0.53309640159928928</v>
      </c>
      <c r="C101" s="8" t="s">
        <v>317</v>
      </c>
      <c r="D101">
        <f t="shared" si="6"/>
        <v>1</v>
      </c>
      <c r="E101" s="9">
        <f t="shared" si="7"/>
        <v>36</v>
      </c>
      <c r="F101" s="8">
        <f t="shared" si="9"/>
        <v>0</v>
      </c>
      <c r="G101" s="9">
        <f t="shared" si="10"/>
        <v>0</v>
      </c>
      <c r="I101" s="10" t="s">
        <v>108</v>
      </c>
      <c r="J101" s="11"/>
      <c r="K101" s="11"/>
      <c r="L101" s="20">
        <f t="shared" si="11"/>
        <v>33.913043478260867</v>
      </c>
    </row>
    <row r="102" spans="2:12" x14ac:dyDescent="0.25">
      <c r="B102" s="18">
        <f t="shared" si="8"/>
        <v>0.31097290093291868</v>
      </c>
      <c r="C102" s="8" t="s">
        <v>319</v>
      </c>
      <c r="D102">
        <f t="shared" si="6"/>
        <v>1</v>
      </c>
      <c r="E102" s="9">
        <f t="shared" si="7"/>
        <v>21</v>
      </c>
      <c r="F102" s="8">
        <f t="shared" si="9"/>
        <v>0</v>
      </c>
      <c r="G102" s="9">
        <f t="shared" si="10"/>
        <v>21</v>
      </c>
    </row>
    <row r="103" spans="2:12" x14ac:dyDescent="0.25">
      <c r="B103" s="18">
        <f t="shared" si="8"/>
        <v>0.29616466755516063</v>
      </c>
      <c r="C103" s="8" t="s">
        <v>144</v>
      </c>
      <c r="D103">
        <f t="shared" si="6"/>
        <v>1</v>
      </c>
      <c r="E103" s="9">
        <f t="shared" si="7"/>
        <v>20</v>
      </c>
      <c r="F103" s="8">
        <f>SUMIFS($D$2:$D$73,$C$2:$C$73,C103,$E$2:$E$73,$F$85)</f>
        <v>0</v>
      </c>
      <c r="G103" s="9">
        <f t="shared" si="10"/>
        <v>0</v>
      </c>
    </row>
    <row r="104" spans="2:12" x14ac:dyDescent="0.25">
      <c r="B104" s="18">
        <f t="shared" si="8"/>
        <v>0.48867170146601513</v>
      </c>
      <c r="C104" s="8" t="s">
        <v>145</v>
      </c>
      <c r="D104">
        <f t="shared" si="6"/>
        <v>1</v>
      </c>
      <c r="E104" s="9">
        <f t="shared" si="7"/>
        <v>33</v>
      </c>
      <c r="F104" s="8">
        <f t="shared" si="9"/>
        <v>33</v>
      </c>
      <c r="G104" s="9">
        <f t="shared" si="10"/>
        <v>0</v>
      </c>
    </row>
    <row r="105" spans="2:12" x14ac:dyDescent="0.25">
      <c r="B105" s="18">
        <f t="shared" si="8"/>
        <v>5.9232933511032133</v>
      </c>
      <c r="C105" s="8" t="s">
        <v>343</v>
      </c>
      <c r="D105">
        <f t="shared" si="6"/>
        <v>1</v>
      </c>
      <c r="E105" s="9">
        <f t="shared" si="7"/>
        <v>400</v>
      </c>
      <c r="F105" s="8">
        <f t="shared" si="9"/>
        <v>0</v>
      </c>
      <c r="G105" s="9">
        <f t="shared" si="10"/>
        <v>0</v>
      </c>
      <c r="I105" t="s">
        <v>5</v>
      </c>
    </row>
    <row r="106" spans="2:12" x14ac:dyDescent="0.25">
      <c r="B106" s="18">
        <f t="shared" si="8"/>
        <v>0.59232933511032126</v>
      </c>
      <c r="C106" s="8" t="s">
        <v>146</v>
      </c>
      <c r="D106">
        <f t="shared" si="6"/>
        <v>1</v>
      </c>
      <c r="E106" s="9">
        <f t="shared" si="7"/>
        <v>40</v>
      </c>
      <c r="F106" s="8">
        <f t="shared" si="9"/>
        <v>0</v>
      </c>
      <c r="G106" s="9">
        <f t="shared" si="10"/>
        <v>40</v>
      </c>
      <c r="I106" t="s">
        <v>1164</v>
      </c>
      <c r="L106">
        <f>A20</f>
        <v>1332</v>
      </c>
    </row>
    <row r="107" spans="2:12" x14ac:dyDescent="0.25">
      <c r="B107" s="18">
        <f t="shared" si="8"/>
        <v>2.7395231748852362</v>
      </c>
      <c r="C107" s="8" t="s">
        <v>42</v>
      </c>
      <c r="D107">
        <f t="shared" si="6"/>
        <v>1</v>
      </c>
      <c r="E107" s="9">
        <f t="shared" si="7"/>
        <v>185</v>
      </c>
      <c r="F107" s="8">
        <f t="shared" si="9"/>
        <v>185</v>
      </c>
      <c r="G107" s="9">
        <f t="shared" si="10"/>
        <v>0</v>
      </c>
      <c r="I107" t="s">
        <v>1165</v>
      </c>
      <c r="L107">
        <f>A39</f>
        <v>2467</v>
      </c>
    </row>
    <row r="108" spans="2:12" x14ac:dyDescent="0.25">
      <c r="B108" s="18">
        <f t="shared" si="8"/>
        <v>0.35539760106619278</v>
      </c>
      <c r="C108" s="8" t="s">
        <v>175</v>
      </c>
      <c r="D108">
        <f t="shared" si="6"/>
        <v>1</v>
      </c>
      <c r="E108" s="9">
        <f t="shared" si="7"/>
        <v>24</v>
      </c>
      <c r="F108" s="8">
        <f t="shared" si="9"/>
        <v>24</v>
      </c>
      <c r="G108" s="9">
        <f t="shared" si="10"/>
        <v>0</v>
      </c>
      <c r="I108" t="s">
        <v>1166</v>
      </c>
      <c r="L108">
        <f>A55</f>
        <v>1131</v>
      </c>
    </row>
    <row r="109" spans="2:12" x14ac:dyDescent="0.25">
      <c r="B109" s="18">
        <f t="shared" si="8"/>
        <v>1.8658374055975122</v>
      </c>
      <c r="C109" s="8" t="s">
        <v>61</v>
      </c>
      <c r="D109">
        <f t="shared" si="6"/>
        <v>1</v>
      </c>
      <c r="E109" s="9">
        <f t="shared" si="7"/>
        <v>126</v>
      </c>
      <c r="F109" s="8">
        <f>SUMIFS($D$2:$D$73,$C$2:$C$73,C109,$E$2:$E$73,$F$85)</f>
        <v>126</v>
      </c>
      <c r="G109" s="9">
        <f>SUMIFS($D$2:$D$73,$C$2:$C$73,C109,$E$2:$E$73,$G$85)</f>
        <v>0</v>
      </c>
      <c r="I109" t="s">
        <v>1167</v>
      </c>
      <c r="L109">
        <f>A72</f>
        <v>1823</v>
      </c>
    </row>
    <row r="110" spans="2:12" x14ac:dyDescent="0.25">
      <c r="B110" s="18">
        <f t="shared" si="8"/>
        <v>2.4433585073300756</v>
      </c>
      <c r="C110" s="8" t="s">
        <v>320</v>
      </c>
      <c r="D110">
        <f t="shared" si="6"/>
        <v>1</v>
      </c>
      <c r="E110" s="9">
        <f t="shared" si="7"/>
        <v>165</v>
      </c>
      <c r="F110" s="8">
        <f>SUMIFS($D$2:$D$73,$C$2:$C$73,C110,$E$2:$E$73,$F$85)</f>
        <v>0</v>
      </c>
      <c r="G110" s="9">
        <f>SUMIFS($D$2:$D$73,$C$2:$C$73,C110,$E$2:$E$73,$G$85)</f>
        <v>0</v>
      </c>
    </row>
    <row r="111" spans="2:12" x14ac:dyDescent="0.25">
      <c r="B111" s="18">
        <f t="shared" si="8"/>
        <v>0.59232933511032126</v>
      </c>
      <c r="C111" s="10" t="s">
        <v>148</v>
      </c>
      <c r="D111" s="11">
        <f t="shared" si="6"/>
        <v>1</v>
      </c>
      <c r="E111" s="12">
        <f t="shared" si="7"/>
        <v>40</v>
      </c>
      <c r="F111" s="10">
        <f>SUMIFS($D$2:$D$73,$C$2:$C$73,C111,$E$2:$E$73,$F$85)</f>
        <v>40</v>
      </c>
      <c r="G111" s="12">
        <f>SUMIFS($D$2:$D$73,$C$2:$C$73,C111,$E$2:$E$73,$G$85)</f>
        <v>0</v>
      </c>
    </row>
    <row r="112" spans="2:12" x14ac:dyDescent="0.25">
      <c r="B112" s="18">
        <f t="shared" si="8"/>
        <v>100</v>
      </c>
      <c r="E112" s="9">
        <f>SUM(E86:E111)</f>
        <v>6753</v>
      </c>
      <c r="F112" s="8">
        <f>SUM(F86:F109)</f>
        <v>2323</v>
      </c>
      <c r="G112" s="9">
        <f>SUM(G86:G109)</f>
        <v>3421</v>
      </c>
    </row>
    <row r="113" spans="2:7" x14ac:dyDescent="0.25">
      <c r="B113" s="18">
        <f t="shared" si="8"/>
        <v>0</v>
      </c>
      <c r="E113" s="9">
        <f>E78-E112</f>
        <v>0</v>
      </c>
      <c r="F113" s="10" t="s">
        <v>389</v>
      </c>
      <c r="G113" s="12">
        <f>E78-F112-G112</f>
        <v>1009</v>
      </c>
    </row>
    <row r="115" spans="2:7" x14ac:dyDescent="0.25">
      <c r="C115" s="13"/>
      <c r="D115" s="14" t="s">
        <v>93</v>
      </c>
      <c r="E115" s="15" t="s">
        <v>94</v>
      </c>
    </row>
    <row r="116" spans="2:7" x14ac:dyDescent="0.25">
      <c r="C116" s="8" t="s">
        <v>402</v>
      </c>
      <c r="D116">
        <f>SUMIFS($D$2:$D$74,$E$2:$E$74,D$115,$F$2:$F$74,"&lt;5.1")</f>
        <v>33</v>
      </c>
      <c r="E116" s="9">
        <f>SUMIFS($D$2:$D$74,$E$2:$E$74,E$115,$F$2:$F$74,"&lt;5.1")</f>
        <v>0</v>
      </c>
    </row>
    <row r="117" spans="2:7" x14ac:dyDescent="0.25">
      <c r="C117" s="29" t="s">
        <v>403</v>
      </c>
      <c r="D117">
        <f>SUMIFS($D$2:$D$74,$E$2:$E$74,D$115,$F$2:$F$74,"&lt;10.1")-D116</f>
        <v>0</v>
      </c>
      <c r="E117" s="9">
        <f>SUMIFS($D$2:$D$74,$E$2:$E$74,E$115,$F$2:$F$74,"&lt;10.1")-E116</f>
        <v>0</v>
      </c>
    </row>
    <row r="118" spans="2:7" x14ac:dyDescent="0.25">
      <c r="C118" s="29" t="s">
        <v>404</v>
      </c>
      <c r="D118">
        <f>SUMIFS($D$2:$D$74,$E$2:$E$74,D$115,$F$2:$F$74,"&lt;15.1")-D117-D116</f>
        <v>0</v>
      </c>
      <c r="E118" s="9">
        <f>SUMIFS($D$2:$D$74,$E$2:$E$74,E$115,$F$2:$F$74,"&lt;15.1")-E117-E116</f>
        <v>0</v>
      </c>
    </row>
    <row r="119" spans="2:7" x14ac:dyDescent="0.25">
      <c r="C119" s="29" t="s">
        <v>102</v>
      </c>
      <c r="D119">
        <f>SUMIFS($D$2:$D$74,$E$2:$E$74,D$115,$F$2:$F$74,"&lt;20.1")-D118-D117-D116</f>
        <v>0</v>
      </c>
      <c r="E119" s="9">
        <f>SUMIFS($D$2:$D$74,$E$2:$E$74,E$115,$F$2:$F$74,"&lt;20.1")-E118-E117-E116</f>
        <v>0</v>
      </c>
    </row>
    <row r="120" spans="2:7" x14ac:dyDescent="0.25">
      <c r="C120" s="8" t="s">
        <v>405</v>
      </c>
      <c r="D120">
        <f>SUMIFS($D$2:$D$74,$E$2:$E$74,D$115,$F$2:$F$74,"&lt;40.1")-D119-D118-D117-D116</f>
        <v>0</v>
      </c>
      <c r="E120" s="9">
        <f>SUMIFS($D$2:$D$74,$E$2:$E$74,E$115,$F$2:$F$74,"&lt;40.1")-E119-E118-E117-E116</f>
        <v>0</v>
      </c>
    </row>
    <row r="121" spans="2:7" x14ac:dyDescent="0.25">
      <c r="C121" s="10" t="s">
        <v>406</v>
      </c>
      <c r="D121" s="11">
        <f>E81-SUM(D116:D120)</f>
        <v>2330</v>
      </c>
      <c r="E121" s="12">
        <f>E80-SUM(E116:E120)</f>
        <v>3421</v>
      </c>
    </row>
  </sheetData>
  <sortState xmlns:xlrd2="http://schemas.microsoft.com/office/spreadsheetml/2017/richdata2" ref="I87:L102">
    <sortCondition ref="I87:I102"/>
  </sortState>
  <pageMargins left="0.7" right="0.7" top="0.75" bottom="0.75" header="0.3" footer="0.3"/>
  <pageSetup paperSize="9" orientation="portrait" r:id="rId1"/>
  <headerFooter>
    <oddFooter>&amp;L&amp;1#&amp;"Arial"&amp;8&amp;KD5DAD9</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21"/>
  <sheetViews>
    <sheetView topLeftCell="A7" zoomScale="70" zoomScaleNormal="70" workbookViewId="0">
      <selection activeCell="B2" sqref="B2:R47"/>
    </sheetView>
  </sheetViews>
  <sheetFormatPr defaultRowHeight="15" x14ac:dyDescent="0.25"/>
  <cols>
    <col min="2" max="9" width="13.7109375" customWidth="1"/>
    <col min="10" max="10" width="1.7109375" customWidth="1"/>
    <col min="11" max="11" width="2.140625" customWidth="1"/>
    <col min="12" max="13" width="12" bestFit="1" customWidth="1"/>
    <col min="14" max="14" width="12" customWidth="1"/>
    <col min="15" max="15" width="4.140625" customWidth="1"/>
    <col min="16" max="16" width="15.140625" customWidth="1"/>
    <col min="17" max="17" width="2.28515625" customWidth="1"/>
    <col min="18" max="18" width="2.5703125" customWidth="1"/>
    <col min="19" max="20" width="12" bestFit="1" customWidth="1"/>
    <col min="21" max="21" width="4.42578125" customWidth="1"/>
    <col min="22" max="22" width="13.28515625" bestFit="1" customWidth="1"/>
    <col min="23" max="24" width="12" bestFit="1" customWidth="1"/>
  </cols>
  <sheetData>
    <row r="1" spans="1:29" x14ac:dyDescent="0.25">
      <c r="B1" s="5" t="s">
        <v>86</v>
      </c>
      <c r="C1" s="6" t="s">
        <v>87</v>
      </c>
      <c r="D1" s="6" t="s">
        <v>88</v>
      </c>
      <c r="E1" s="6" t="s">
        <v>98</v>
      </c>
      <c r="F1" s="6" t="s">
        <v>100</v>
      </c>
      <c r="G1" s="6" t="s">
        <v>89</v>
      </c>
      <c r="H1" s="6" t="s">
        <v>91</v>
      </c>
      <c r="I1" s="6" t="s">
        <v>90</v>
      </c>
      <c r="J1" s="6" t="s">
        <v>131</v>
      </c>
      <c r="K1" s="6" t="s">
        <v>130</v>
      </c>
      <c r="L1" s="6" t="s">
        <v>103</v>
      </c>
      <c r="M1" s="6" t="s">
        <v>101</v>
      </c>
      <c r="N1" s="6" t="s">
        <v>107</v>
      </c>
      <c r="O1" s="6" t="s">
        <v>91</v>
      </c>
      <c r="P1" s="6" t="s">
        <v>105</v>
      </c>
      <c r="Q1" s="6" t="s">
        <v>131</v>
      </c>
      <c r="R1" s="6" t="s">
        <v>130</v>
      </c>
      <c r="S1" s="6" t="s">
        <v>103</v>
      </c>
      <c r="T1" s="6" t="s">
        <v>101</v>
      </c>
      <c r="U1" s="6" t="s">
        <v>91</v>
      </c>
      <c r="V1" s="6" t="s">
        <v>105</v>
      </c>
      <c r="W1" s="6" t="s">
        <v>103</v>
      </c>
      <c r="X1" s="7" t="s">
        <v>101</v>
      </c>
      <c r="AB1" s="3" t="s">
        <v>682</v>
      </c>
      <c r="AC1" t="s">
        <v>683</v>
      </c>
    </row>
    <row r="2" spans="1:29" x14ac:dyDescent="0.25">
      <c r="B2" s="8" t="s">
        <v>407</v>
      </c>
      <c r="C2" t="s">
        <v>319</v>
      </c>
      <c r="D2">
        <v>21</v>
      </c>
      <c r="E2" t="s">
        <v>94</v>
      </c>
      <c r="F2">
        <v>10</v>
      </c>
      <c r="G2" t="s">
        <v>95</v>
      </c>
      <c r="H2" s="1">
        <f>D2/K2</f>
        <v>7</v>
      </c>
      <c r="I2" t="s">
        <v>233</v>
      </c>
      <c r="J2">
        <v>90</v>
      </c>
      <c r="K2">
        <v>3</v>
      </c>
      <c r="X2" s="9"/>
      <c r="AB2">
        <f>COUNTIF($I$87:$I$117,I2)</f>
        <v>1</v>
      </c>
      <c r="AC2">
        <f>COUNTIF($C$86:$C$117,C2)</f>
        <v>1</v>
      </c>
    </row>
    <row r="3" spans="1:29" x14ac:dyDescent="0.25">
      <c r="B3" s="8" t="s">
        <v>408</v>
      </c>
      <c r="C3" t="s">
        <v>138</v>
      </c>
      <c r="D3">
        <v>73</v>
      </c>
      <c r="E3" t="s">
        <v>94</v>
      </c>
      <c r="F3">
        <v>15</v>
      </c>
      <c r="G3" t="s">
        <v>451</v>
      </c>
      <c r="H3" s="1">
        <f t="shared" ref="H3:H46" si="0">D3/K3</f>
        <v>22.121212121212121</v>
      </c>
      <c r="I3" t="s">
        <v>111</v>
      </c>
      <c r="J3">
        <v>112</v>
      </c>
      <c r="K3">
        <v>3.3</v>
      </c>
      <c r="X3" s="9"/>
      <c r="AB3">
        <f t="shared" ref="AB3:AB66" si="1">COUNTIF($I$87:$I$117,I3)</f>
        <v>1</v>
      </c>
      <c r="AC3">
        <f t="shared" ref="AC3:AC66" si="2">COUNTIF($C$86:$C$117,C3)</f>
        <v>1</v>
      </c>
    </row>
    <row r="4" spans="1:29" x14ac:dyDescent="0.25">
      <c r="B4" s="8" t="s">
        <v>409</v>
      </c>
      <c r="C4" t="s">
        <v>318</v>
      </c>
      <c r="D4">
        <v>99</v>
      </c>
      <c r="E4" t="s">
        <v>94</v>
      </c>
      <c r="F4">
        <v>5</v>
      </c>
      <c r="G4" t="s">
        <v>365</v>
      </c>
      <c r="H4" s="1">
        <f t="shared" si="0"/>
        <v>30</v>
      </c>
      <c r="I4" t="s">
        <v>106</v>
      </c>
      <c r="J4">
        <v>126</v>
      </c>
      <c r="K4">
        <v>3.3</v>
      </c>
      <c r="S4" s="26"/>
      <c r="X4" s="9"/>
      <c r="AB4">
        <f t="shared" si="1"/>
        <v>1</v>
      </c>
      <c r="AC4">
        <f t="shared" si="2"/>
        <v>1</v>
      </c>
    </row>
    <row r="5" spans="1:29" x14ac:dyDescent="0.25">
      <c r="B5" s="8" t="s">
        <v>410</v>
      </c>
      <c r="C5" t="s">
        <v>176</v>
      </c>
      <c r="D5">
        <v>30</v>
      </c>
      <c r="E5" t="s">
        <v>93</v>
      </c>
      <c r="F5">
        <v>5</v>
      </c>
      <c r="G5" t="s">
        <v>452</v>
      </c>
      <c r="H5" s="1">
        <f t="shared" si="0"/>
        <v>9.0909090909090917</v>
      </c>
      <c r="I5" t="s">
        <v>111</v>
      </c>
      <c r="J5">
        <v>112</v>
      </c>
      <c r="K5">
        <v>3.3</v>
      </c>
      <c r="X5" s="9"/>
      <c r="AB5">
        <f t="shared" si="1"/>
        <v>1</v>
      </c>
      <c r="AC5">
        <f t="shared" si="2"/>
        <v>1</v>
      </c>
    </row>
    <row r="6" spans="1:29" x14ac:dyDescent="0.25">
      <c r="B6" s="8" t="s">
        <v>411</v>
      </c>
      <c r="C6" t="s">
        <v>138</v>
      </c>
      <c r="D6">
        <v>21</v>
      </c>
      <c r="E6" t="s">
        <v>93</v>
      </c>
      <c r="F6">
        <v>15</v>
      </c>
      <c r="G6" t="s">
        <v>453</v>
      </c>
      <c r="H6" s="1">
        <f t="shared" si="0"/>
        <v>7</v>
      </c>
      <c r="I6" t="s">
        <v>321</v>
      </c>
      <c r="J6">
        <v>112</v>
      </c>
      <c r="K6">
        <v>3</v>
      </c>
      <c r="X6" s="9"/>
      <c r="AB6">
        <f t="shared" si="1"/>
        <v>1</v>
      </c>
      <c r="AC6">
        <f t="shared" si="2"/>
        <v>1</v>
      </c>
    </row>
    <row r="7" spans="1:29" x14ac:dyDescent="0.25">
      <c r="B7" s="8" t="s">
        <v>412</v>
      </c>
      <c r="C7" t="s">
        <v>20</v>
      </c>
      <c r="D7">
        <v>98</v>
      </c>
      <c r="E7" t="s">
        <v>94</v>
      </c>
      <c r="F7">
        <v>15</v>
      </c>
      <c r="G7" t="s">
        <v>95</v>
      </c>
      <c r="H7" s="1"/>
      <c r="I7" t="s">
        <v>95</v>
      </c>
      <c r="X7" s="9"/>
      <c r="AB7">
        <f t="shared" si="1"/>
        <v>0</v>
      </c>
      <c r="AC7">
        <f t="shared" si="2"/>
        <v>1</v>
      </c>
    </row>
    <row r="8" spans="1:29" s="11" customFormat="1" x14ac:dyDescent="0.25">
      <c r="A8" s="11">
        <f>SUM(D2:D8)</f>
        <v>390</v>
      </c>
      <c r="B8" s="10" t="s">
        <v>413</v>
      </c>
      <c r="C8" s="11" t="s">
        <v>146</v>
      </c>
      <c r="D8" s="11">
        <v>48</v>
      </c>
      <c r="E8" s="11" t="s">
        <v>94</v>
      </c>
      <c r="F8" s="11">
        <v>10</v>
      </c>
      <c r="G8" s="11" t="s">
        <v>455</v>
      </c>
      <c r="H8" s="28">
        <v>6</v>
      </c>
      <c r="I8" s="11" t="s">
        <v>454</v>
      </c>
      <c r="J8" s="11">
        <v>117</v>
      </c>
      <c r="K8" s="11">
        <v>3</v>
      </c>
      <c r="O8" s="11">
        <v>9</v>
      </c>
      <c r="P8" s="11" t="s">
        <v>224</v>
      </c>
      <c r="Q8" s="11">
        <v>117</v>
      </c>
      <c r="R8" s="11">
        <v>3.3</v>
      </c>
      <c r="X8" s="12"/>
      <c r="AB8">
        <f t="shared" si="1"/>
        <v>1</v>
      </c>
      <c r="AC8">
        <f t="shared" si="2"/>
        <v>1</v>
      </c>
    </row>
    <row r="9" spans="1:29" x14ac:dyDescent="0.25">
      <c r="B9" s="8" t="s">
        <v>414</v>
      </c>
      <c r="C9" t="s">
        <v>20</v>
      </c>
      <c r="D9">
        <v>194</v>
      </c>
      <c r="E9" t="s">
        <v>94</v>
      </c>
      <c r="F9">
        <v>10</v>
      </c>
      <c r="G9" t="s">
        <v>220</v>
      </c>
      <c r="H9" s="1">
        <f t="shared" si="0"/>
        <v>97</v>
      </c>
      <c r="I9" t="s">
        <v>113</v>
      </c>
      <c r="J9">
        <v>100</v>
      </c>
      <c r="K9">
        <v>2</v>
      </c>
      <c r="X9" s="9"/>
      <c r="AB9">
        <f t="shared" si="1"/>
        <v>1</v>
      </c>
      <c r="AC9">
        <f t="shared" si="2"/>
        <v>1</v>
      </c>
    </row>
    <row r="10" spans="1:29" x14ac:dyDescent="0.25">
      <c r="B10" s="8" t="s">
        <v>415</v>
      </c>
      <c r="C10" t="s">
        <v>163</v>
      </c>
      <c r="D10">
        <v>33</v>
      </c>
      <c r="E10" t="s">
        <v>93</v>
      </c>
      <c r="F10">
        <v>15</v>
      </c>
      <c r="G10" t="s">
        <v>456</v>
      </c>
      <c r="H10" s="1">
        <f t="shared" si="0"/>
        <v>10</v>
      </c>
      <c r="I10" t="s">
        <v>224</v>
      </c>
      <c r="J10">
        <v>117</v>
      </c>
      <c r="K10">
        <v>3.3</v>
      </c>
      <c r="X10" s="9"/>
      <c r="AB10">
        <f t="shared" si="1"/>
        <v>1</v>
      </c>
      <c r="AC10">
        <f t="shared" si="2"/>
        <v>1</v>
      </c>
    </row>
    <row r="11" spans="1:29" x14ac:dyDescent="0.25">
      <c r="B11" s="8" t="s">
        <v>416</v>
      </c>
      <c r="C11" t="s">
        <v>446</v>
      </c>
      <c r="D11">
        <v>63</v>
      </c>
      <c r="E11" t="s">
        <v>94</v>
      </c>
      <c r="F11">
        <v>10</v>
      </c>
      <c r="G11" t="s">
        <v>457</v>
      </c>
      <c r="H11" s="1">
        <f t="shared" si="0"/>
        <v>21</v>
      </c>
      <c r="I11" t="s">
        <v>233</v>
      </c>
      <c r="J11">
        <v>90</v>
      </c>
      <c r="K11">
        <v>3</v>
      </c>
      <c r="X11" s="9"/>
      <c r="AB11">
        <f t="shared" si="1"/>
        <v>1</v>
      </c>
      <c r="AC11">
        <f t="shared" si="2"/>
        <v>1</v>
      </c>
    </row>
    <row r="12" spans="1:29" x14ac:dyDescent="0.25">
      <c r="B12" s="8" t="s">
        <v>416</v>
      </c>
      <c r="C12" t="s">
        <v>147</v>
      </c>
      <c r="D12">
        <v>59</v>
      </c>
      <c r="E12" t="s">
        <v>93</v>
      </c>
      <c r="F12">
        <v>10</v>
      </c>
      <c r="G12" t="s">
        <v>458</v>
      </c>
      <c r="H12" s="1">
        <f t="shared" si="0"/>
        <v>17.878787878787879</v>
      </c>
      <c r="I12" t="s">
        <v>111</v>
      </c>
      <c r="J12">
        <v>112</v>
      </c>
      <c r="K12">
        <v>3.3</v>
      </c>
      <c r="X12" s="9"/>
      <c r="AB12">
        <f t="shared" si="1"/>
        <v>1</v>
      </c>
      <c r="AC12">
        <f t="shared" si="2"/>
        <v>1</v>
      </c>
    </row>
    <row r="13" spans="1:29" x14ac:dyDescent="0.25">
      <c r="B13" s="8" t="s">
        <v>417</v>
      </c>
      <c r="C13" t="s">
        <v>138</v>
      </c>
      <c r="D13">
        <v>63</v>
      </c>
      <c r="E13" t="s">
        <v>93</v>
      </c>
      <c r="F13">
        <v>15</v>
      </c>
      <c r="G13" t="s">
        <v>459</v>
      </c>
      <c r="H13" s="1">
        <f t="shared" si="0"/>
        <v>19.090909090909093</v>
      </c>
      <c r="I13" t="s">
        <v>111</v>
      </c>
      <c r="J13">
        <v>112</v>
      </c>
      <c r="K13">
        <v>3.3</v>
      </c>
      <c r="X13" s="9"/>
      <c r="AB13">
        <f t="shared" si="1"/>
        <v>1</v>
      </c>
      <c r="AC13">
        <f t="shared" si="2"/>
        <v>1</v>
      </c>
    </row>
    <row r="14" spans="1:29" x14ac:dyDescent="0.25">
      <c r="B14" s="8" t="s">
        <v>418</v>
      </c>
      <c r="C14" t="s">
        <v>20</v>
      </c>
      <c r="D14">
        <v>148</v>
      </c>
      <c r="E14" t="s">
        <v>94</v>
      </c>
      <c r="F14">
        <v>10</v>
      </c>
      <c r="G14" t="s">
        <v>460</v>
      </c>
      <c r="H14" s="1">
        <v>48</v>
      </c>
      <c r="I14" t="s">
        <v>321</v>
      </c>
      <c r="J14">
        <v>112</v>
      </c>
      <c r="K14">
        <v>3</v>
      </c>
      <c r="X14" s="9"/>
      <c r="AB14">
        <f t="shared" si="1"/>
        <v>1</v>
      </c>
      <c r="AC14">
        <f t="shared" si="2"/>
        <v>1</v>
      </c>
    </row>
    <row r="15" spans="1:29" x14ac:dyDescent="0.25">
      <c r="B15" s="8" t="s">
        <v>419</v>
      </c>
      <c r="C15" t="s">
        <v>20</v>
      </c>
      <c r="D15">
        <v>78</v>
      </c>
      <c r="E15" t="s">
        <v>94</v>
      </c>
      <c r="F15">
        <v>5</v>
      </c>
      <c r="G15" t="s">
        <v>95</v>
      </c>
      <c r="H15" s="1">
        <f t="shared" si="0"/>
        <v>39</v>
      </c>
      <c r="I15" t="s">
        <v>110</v>
      </c>
      <c r="J15">
        <v>110</v>
      </c>
      <c r="K15">
        <v>2</v>
      </c>
      <c r="X15" s="9"/>
      <c r="AB15">
        <f t="shared" si="1"/>
        <v>1</v>
      </c>
      <c r="AC15">
        <f t="shared" si="2"/>
        <v>1</v>
      </c>
    </row>
    <row r="16" spans="1:29" x14ac:dyDescent="0.25">
      <c r="B16" s="8" t="s">
        <v>420</v>
      </c>
      <c r="C16" t="s">
        <v>447</v>
      </c>
      <c r="D16">
        <v>53</v>
      </c>
      <c r="E16" t="s">
        <v>94</v>
      </c>
      <c r="F16">
        <v>10</v>
      </c>
      <c r="G16" t="s">
        <v>461</v>
      </c>
      <c r="H16" s="1">
        <f t="shared" si="0"/>
        <v>16.060606060606062</v>
      </c>
      <c r="I16" t="s">
        <v>111</v>
      </c>
      <c r="J16">
        <v>112</v>
      </c>
      <c r="K16">
        <v>3.3</v>
      </c>
      <c r="X16" s="9"/>
      <c r="AB16">
        <f t="shared" si="1"/>
        <v>1</v>
      </c>
      <c r="AC16">
        <f t="shared" si="2"/>
        <v>1</v>
      </c>
    </row>
    <row r="17" spans="1:29" x14ac:dyDescent="0.25">
      <c r="B17" s="8" t="s">
        <v>421</v>
      </c>
      <c r="C17" t="s">
        <v>176</v>
      </c>
      <c r="D17">
        <v>158</v>
      </c>
      <c r="E17" t="s">
        <v>93</v>
      </c>
      <c r="F17">
        <v>5</v>
      </c>
      <c r="G17" t="s">
        <v>452</v>
      </c>
      <c r="H17" s="1">
        <f t="shared" si="0"/>
        <v>47.878787878787882</v>
      </c>
      <c r="I17" t="s">
        <v>111</v>
      </c>
      <c r="J17">
        <v>112</v>
      </c>
      <c r="K17">
        <v>3.3</v>
      </c>
      <c r="X17" s="9"/>
      <c r="AB17">
        <f t="shared" si="1"/>
        <v>1</v>
      </c>
      <c r="AC17">
        <f t="shared" si="2"/>
        <v>1</v>
      </c>
    </row>
    <row r="18" spans="1:29" x14ac:dyDescent="0.25">
      <c r="B18" s="8" t="s">
        <v>422</v>
      </c>
      <c r="C18" t="s">
        <v>176</v>
      </c>
      <c r="D18">
        <v>33</v>
      </c>
      <c r="E18" t="s">
        <v>93</v>
      </c>
      <c r="F18">
        <v>5</v>
      </c>
      <c r="G18" t="s">
        <v>452</v>
      </c>
      <c r="H18" s="1">
        <f t="shared" si="0"/>
        <v>10</v>
      </c>
      <c r="I18" t="s">
        <v>111</v>
      </c>
      <c r="J18">
        <v>112</v>
      </c>
      <c r="K18">
        <v>3.3</v>
      </c>
      <c r="X18" s="9"/>
      <c r="AB18">
        <f t="shared" si="1"/>
        <v>1</v>
      </c>
      <c r="AC18">
        <f t="shared" si="2"/>
        <v>1</v>
      </c>
    </row>
    <row r="19" spans="1:29" x14ac:dyDescent="0.25">
      <c r="B19" s="8" t="s">
        <v>423</v>
      </c>
      <c r="C19" t="s">
        <v>206</v>
      </c>
      <c r="D19">
        <v>88</v>
      </c>
      <c r="E19" t="s">
        <v>95</v>
      </c>
      <c r="F19" t="s">
        <v>95</v>
      </c>
      <c r="G19" t="s">
        <v>220</v>
      </c>
      <c r="H19" s="1">
        <v>24</v>
      </c>
      <c r="I19" t="s">
        <v>233</v>
      </c>
      <c r="J19">
        <v>90</v>
      </c>
      <c r="K19">
        <v>3</v>
      </c>
      <c r="O19">
        <v>8</v>
      </c>
      <c r="P19" t="s">
        <v>462</v>
      </c>
      <c r="Q19">
        <v>80</v>
      </c>
      <c r="R19">
        <v>2</v>
      </c>
      <c r="X19" s="9"/>
      <c r="AB19">
        <f t="shared" si="1"/>
        <v>1</v>
      </c>
      <c r="AC19">
        <f t="shared" si="2"/>
        <v>1</v>
      </c>
    </row>
    <row r="20" spans="1:29" x14ac:dyDescent="0.25">
      <c r="B20" s="8" t="s">
        <v>423</v>
      </c>
      <c r="C20" t="s">
        <v>20</v>
      </c>
      <c r="D20">
        <v>124</v>
      </c>
      <c r="E20" t="s">
        <v>94</v>
      </c>
      <c r="F20">
        <v>3</v>
      </c>
      <c r="G20" t="s">
        <v>372</v>
      </c>
      <c r="H20" s="1">
        <f t="shared" si="0"/>
        <v>62</v>
      </c>
      <c r="I20" t="s">
        <v>113</v>
      </c>
      <c r="J20">
        <v>100</v>
      </c>
      <c r="K20">
        <v>2</v>
      </c>
      <c r="X20" s="9"/>
      <c r="AB20">
        <f t="shared" si="1"/>
        <v>1</v>
      </c>
      <c r="AC20">
        <f t="shared" si="2"/>
        <v>1</v>
      </c>
    </row>
    <row r="21" spans="1:29" s="11" customFormat="1" x14ac:dyDescent="0.25">
      <c r="A21" s="11">
        <f>SUM(D9:D21)</f>
        <v>1544</v>
      </c>
      <c r="B21" s="10" t="s">
        <v>424</v>
      </c>
      <c r="C21" s="11" t="s">
        <v>20</v>
      </c>
      <c r="D21" s="11">
        <v>450</v>
      </c>
      <c r="E21" s="11" t="s">
        <v>94</v>
      </c>
      <c r="F21" s="11">
        <v>3</v>
      </c>
      <c r="G21" s="11" t="s">
        <v>220</v>
      </c>
      <c r="H21" s="28">
        <v>150</v>
      </c>
      <c r="I21" s="11" t="s">
        <v>113</v>
      </c>
      <c r="J21" s="11">
        <v>100</v>
      </c>
      <c r="K21" s="11">
        <v>2</v>
      </c>
      <c r="O21" s="11">
        <v>75</v>
      </c>
      <c r="P21" s="11" t="s">
        <v>110</v>
      </c>
      <c r="Q21" s="11">
        <v>110</v>
      </c>
      <c r="R21" s="11">
        <v>2</v>
      </c>
      <c r="X21" s="12"/>
      <c r="AB21">
        <f t="shared" si="1"/>
        <v>1</v>
      </c>
      <c r="AC21">
        <f t="shared" si="2"/>
        <v>1</v>
      </c>
    </row>
    <row r="22" spans="1:29" x14ac:dyDescent="0.25">
      <c r="B22" s="8" t="s">
        <v>425</v>
      </c>
      <c r="C22" t="s">
        <v>20</v>
      </c>
      <c r="D22">
        <v>166</v>
      </c>
      <c r="E22" t="s">
        <v>94</v>
      </c>
      <c r="F22">
        <v>3</v>
      </c>
      <c r="G22" t="s">
        <v>372</v>
      </c>
      <c r="H22" s="1">
        <f t="shared" si="0"/>
        <v>83</v>
      </c>
      <c r="I22" t="s">
        <v>113</v>
      </c>
      <c r="J22">
        <v>100</v>
      </c>
      <c r="K22">
        <v>2</v>
      </c>
      <c r="X22" s="9"/>
      <c r="AB22">
        <f t="shared" si="1"/>
        <v>1</v>
      </c>
      <c r="AC22">
        <f t="shared" si="2"/>
        <v>1</v>
      </c>
    </row>
    <row r="23" spans="1:29" x14ac:dyDescent="0.25">
      <c r="B23" s="8" t="s">
        <v>426</v>
      </c>
      <c r="C23" t="s">
        <v>140</v>
      </c>
      <c r="D23">
        <v>53</v>
      </c>
      <c r="E23" t="s">
        <v>94</v>
      </c>
      <c r="F23">
        <v>15</v>
      </c>
      <c r="G23" t="s">
        <v>463</v>
      </c>
      <c r="H23" s="1">
        <f t="shared" si="0"/>
        <v>16.060606060606062</v>
      </c>
      <c r="I23" t="s">
        <v>106</v>
      </c>
      <c r="J23">
        <v>126</v>
      </c>
      <c r="K23">
        <v>3.3</v>
      </c>
      <c r="X23" s="9"/>
      <c r="AB23">
        <f t="shared" si="1"/>
        <v>1</v>
      </c>
      <c r="AC23">
        <f t="shared" si="2"/>
        <v>1</v>
      </c>
    </row>
    <row r="24" spans="1:29" x14ac:dyDescent="0.25">
      <c r="B24" s="8" t="s">
        <v>427</v>
      </c>
      <c r="C24" t="s">
        <v>318</v>
      </c>
      <c r="D24">
        <v>30</v>
      </c>
      <c r="E24" t="s">
        <v>94</v>
      </c>
      <c r="F24">
        <v>12</v>
      </c>
      <c r="G24" t="s">
        <v>464</v>
      </c>
      <c r="H24" s="1">
        <f t="shared" si="0"/>
        <v>9.0909090909090917</v>
      </c>
      <c r="I24" t="s">
        <v>106</v>
      </c>
      <c r="J24">
        <v>126</v>
      </c>
      <c r="K24">
        <v>3.3</v>
      </c>
      <c r="X24" s="9"/>
      <c r="AB24">
        <f t="shared" si="1"/>
        <v>1</v>
      </c>
      <c r="AC24">
        <f t="shared" si="2"/>
        <v>1</v>
      </c>
    </row>
    <row r="25" spans="1:29" x14ac:dyDescent="0.25">
      <c r="B25" s="8" t="s">
        <v>428</v>
      </c>
      <c r="C25" t="s">
        <v>161</v>
      </c>
      <c r="D25">
        <v>58</v>
      </c>
      <c r="E25" t="s">
        <v>93</v>
      </c>
      <c r="F25">
        <v>2</v>
      </c>
      <c r="G25" t="s">
        <v>220</v>
      </c>
      <c r="H25" s="1">
        <f t="shared" si="0"/>
        <v>29</v>
      </c>
      <c r="I25" t="s">
        <v>113</v>
      </c>
      <c r="J25">
        <v>100</v>
      </c>
      <c r="K25">
        <v>2</v>
      </c>
      <c r="X25" s="9"/>
      <c r="AB25">
        <f t="shared" si="1"/>
        <v>1</v>
      </c>
      <c r="AC25">
        <f t="shared" si="2"/>
        <v>1</v>
      </c>
    </row>
    <row r="26" spans="1:29" x14ac:dyDescent="0.25">
      <c r="B26" s="8" t="s">
        <v>429</v>
      </c>
      <c r="C26" t="s">
        <v>161</v>
      </c>
      <c r="D26">
        <v>42</v>
      </c>
      <c r="E26" t="s">
        <v>99</v>
      </c>
      <c r="F26" t="s">
        <v>95</v>
      </c>
      <c r="G26" t="s">
        <v>465</v>
      </c>
      <c r="H26" s="1">
        <f t="shared" si="0"/>
        <v>21</v>
      </c>
      <c r="I26" t="s">
        <v>244</v>
      </c>
      <c r="J26">
        <v>90</v>
      </c>
      <c r="K26">
        <v>2</v>
      </c>
      <c r="X26" s="9"/>
      <c r="AB26">
        <f t="shared" si="1"/>
        <v>1</v>
      </c>
      <c r="AC26">
        <f t="shared" si="2"/>
        <v>1</v>
      </c>
    </row>
    <row r="27" spans="1:29" x14ac:dyDescent="0.25">
      <c r="B27" s="8" t="s">
        <v>430</v>
      </c>
      <c r="C27" t="s">
        <v>20</v>
      </c>
      <c r="D27">
        <v>110</v>
      </c>
      <c r="E27" t="s">
        <v>94</v>
      </c>
      <c r="F27">
        <v>3</v>
      </c>
      <c r="G27" t="s">
        <v>466</v>
      </c>
      <c r="H27" s="1">
        <f t="shared" si="0"/>
        <v>55</v>
      </c>
      <c r="I27" t="s">
        <v>110</v>
      </c>
      <c r="J27">
        <v>110</v>
      </c>
      <c r="K27">
        <v>2</v>
      </c>
      <c r="X27" s="9"/>
      <c r="AB27">
        <f t="shared" si="1"/>
        <v>1</v>
      </c>
      <c r="AC27">
        <f t="shared" si="2"/>
        <v>1</v>
      </c>
    </row>
    <row r="28" spans="1:29" x14ac:dyDescent="0.25">
      <c r="B28" s="8" t="s">
        <v>431</v>
      </c>
      <c r="C28" t="s">
        <v>318</v>
      </c>
      <c r="D28">
        <v>17</v>
      </c>
      <c r="E28" t="s">
        <v>94</v>
      </c>
      <c r="F28">
        <v>6</v>
      </c>
      <c r="G28" t="s">
        <v>467</v>
      </c>
      <c r="H28" s="1">
        <f t="shared" si="0"/>
        <v>5.1515151515151514</v>
      </c>
      <c r="I28" t="s">
        <v>111</v>
      </c>
      <c r="J28">
        <v>112</v>
      </c>
      <c r="K28">
        <v>3.3</v>
      </c>
      <c r="X28" s="9"/>
      <c r="AB28">
        <f t="shared" si="1"/>
        <v>1</v>
      </c>
      <c r="AC28">
        <f t="shared" si="2"/>
        <v>1</v>
      </c>
    </row>
    <row r="29" spans="1:29" x14ac:dyDescent="0.25">
      <c r="B29" s="8" t="s">
        <v>432</v>
      </c>
      <c r="C29" t="s">
        <v>140</v>
      </c>
      <c r="D29">
        <v>79</v>
      </c>
      <c r="E29" t="s">
        <v>93</v>
      </c>
      <c r="F29">
        <v>3</v>
      </c>
      <c r="G29" t="s">
        <v>468</v>
      </c>
      <c r="H29" s="1">
        <f t="shared" si="0"/>
        <v>23.939393939393941</v>
      </c>
      <c r="I29" t="s">
        <v>111</v>
      </c>
      <c r="J29">
        <v>112</v>
      </c>
      <c r="K29">
        <v>3.3</v>
      </c>
      <c r="X29" s="9"/>
      <c r="AB29">
        <f t="shared" si="1"/>
        <v>1</v>
      </c>
      <c r="AC29">
        <f t="shared" si="2"/>
        <v>1</v>
      </c>
    </row>
    <row r="30" spans="1:29" s="11" customFormat="1" x14ac:dyDescent="0.25">
      <c r="A30" s="11">
        <f>SUM(D22:D30)</f>
        <v>604</v>
      </c>
      <c r="B30" s="10" t="s">
        <v>432</v>
      </c>
      <c r="C30" s="11" t="s">
        <v>164</v>
      </c>
      <c r="D30" s="11">
        <v>49</v>
      </c>
      <c r="E30" s="11" t="s">
        <v>93</v>
      </c>
      <c r="F30" s="11">
        <v>5</v>
      </c>
      <c r="G30" s="11" t="s">
        <v>469</v>
      </c>
      <c r="H30" s="28">
        <f t="shared" si="0"/>
        <v>16.333333333333332</v>
      </c>
      <c r="I30" s="11" t="s">
        <v>321</v>
      </c>
      <c r="J30" s="11">
        <v>112</v>
      </c>
      <c r="K30" s="11">
        <v>3</v>
      </c>
      <c r="X30" s="12"/>
      <c r="AB30">
        <f t="shared" si="1"/>
        <v>1</v>
      </c>
      <c r="AC30">
        <f t="shared" si="2"/>
        <v>1</v>
      </c>
    </row>
    <row r="31" spans="1:29" x14ac:dyDescent="0.25">
      <c r="B31" s="8" t="s">
        <v>433</v>
      </c>
      <c r="C31" t="s">
        <v>142</v>
      </c>
      <c r="D31">
        <v>50</v>
      </c>
      <c r="E31" t="s">
        <v>93</v>
      </c>
      <c r="F31">
        <v>2</v>
      </c>
      <c r="G31" t="s">
        <v>470</v>
      </c>
      <c r="H31" s="1">
        <f t="shared" si="0"/>
        <v>25</v>
      </c>
      <c r="I31" t="s">
        <v>113</v>
      </c>
      <c r="J31">
        <v>100</v>
      </c>
      <c r="K31">
        <v>2</v>
      </c>
      <c r="X31" s="9"/>
      <c r="AB31">
        <f t="shared" si="1"/>
        <v>1</v>
      </c>
      <c r="AC31">
        <f t="shared" si="2"/>
        <v>1</v>
      </c>
    </row>
    <row r="32" spans="1:29" x14ac:dyDescent="0.25">
      <c r="B32" s="8" t="s">
        <v>434</v>
      </c>
      <c r="C32" t="s">
        <v>176</v>
      </c>
      <c r="D32">
        <v>66</v>
      </c>
      <c r="E32" t="s">
        <v>93</v>
      </c>
      <c r="F32">
        <v>10</v>
      </c>
      <c r="G32" t="s">
        <v>471</v>
      </c>
      <c r="H32" s="1">
        <f t="shared" si="0"/>
        <v>20</v>
      </c>
      <c r="I32" t="s">
        <v>106</v>
      </c>
      <c r="J32">
        <v>126</v>
      </c>
      <c r="K32">
        <v>3.3</v>
      </c>
      <c r="X32" s="9"/>
      <c r="AB32">
        <f t="shared" si="1"/>
        <v>1</v>
      </c>
      <c r="AC32">
        <f t="shared" si="2"/>
        <v>1</v>
      </c>
    </row>
    <row r="33" spans="1:29" x14ac:dyDescent="0.25">
      <c r="B33" s="8" t="s">
        <v>435</v>
      </c>
      <c r="C33" t="s">
        <v>161</v>
      </c>
      <c r="D33">
        <v>76</v>
      </c>
      <c r="E33" t="s">
        <v>93</v>
      </c>
      <c r="F33">
        <v>2</v>
      </c>
      <c r="G33" t="s">
        <v>472</v>
      </c>
      <c r="H33" s="1">
        <f t="shared" si="0"/>
        <v>38</v>
      </c>
      <c r="I33" t="s">
        <v>113</v>
      </c>
      <c r="J33">
        <v>100</v>
      </c>
      <c r="K33">
        <v>2</v>
      </c>
      <c r="X33" s="9"/>
      <c r="AB33">
        <f t="shared" si="1"/>
        <v>1</v>
      </c>
      <c r="AC33">
        <f t="shared" si="2"/>
        <v>1</v>
      </c>
    </row>
    <row r="34" spans="1:29" x14ac:dyDescent="0.25">
      <c r="B34" s="8" t="s">
        <v>435</v>
      </c>
      <c r="C34" t="s">
        <v>20</v>
      </c>
      <c r="D34">
        <v>200</v>
      </c>
      <c r="E34" t="s">
        <v>94</v>
      </c>
      <c r="F34">
        <v>10</v>
      </c>
      <c r="G34" t="s">
        <v>460</v>
      </c>
      <c r="H34" s="1">
        <f t="shared" si="0"/>
        <v>100</v>
      </c>
      <c r="I34" t="s">
        <v>113</v>
      </c>
      <c r="J34">
        <v>100</v>
      </c>
      <c r="K34">
        <v>2</v>
      </c>
      <c r="X34" s="9"/>
      <c r="AB34">
        <f t="shared" si="1"/>
        <v>1</v>
      </c>
      <c r="AC34">
        <f t="shared" si="2"/>
        <v>1</v>
      </c>
    </row>
    <row r="35" spans="1:29" x14ac:dyDescent="0.25">
      <c r="B35" s="8" t="s">
        <v>436</v>
      </c>
      <c r="C35" t="s">
        <v>142</v>
      </c>
      <c r="D35">
        <v>52</v>
      </c>
      <c r="E35" t="s">
        <v>95</v>
      </c>
      <c r="F35">
        <v>2</v>
      </c>
      <c r="G35" t="s">
        <v>473</v>
      </c>
      <c r="H35" s="1">
        <f t="shared" si="0"/>
        <v>26</v>
      </c>
      <c r="I35" t="s">
        <v>462</v>
      </c>
      <c r="J35">
        <v>80</v>
      </c>
      <c r="K35">
        <v>2</v>
      </c>
      <c r="X35" s="9"/>
      <c r="AB35">
        <f t="shared" si="1"/>
        <v>1</v>
      </c>
      <c r="AC35">
        <f t="shared" si="2"/>
        <v>1</v>
      </c>
    </row>
    <row r="36" spans="1:29" x14ac:dyDescent="0.25">
      <c r="B36" s="8" t="s">
        <v>437</v>
      </c>
      <c r="C36" t="s">
        <v>20</v>
      </c>
      <c r="D36">
        <v>200</v>
      </c>
      <c r="E36" t="s">
        <v>94</v>
      </c>
      <c r="F36">
        <v>10</v>
      </c>
      <c r="G36" t="s">
        <v>474</v>
      </c>
      <c r="H36" s="1">
        <f t="shared" si="0"/>
        <v>100</v>
      </c>
      <c r="I36" t="s">
        <v>110</v>
      </c>
      <c r="J36">
        <v>110</v>
      </c>
      <c r="K36">
        <v>2</v>
      </c>
      <c r="X36" s="9"/>
      <c r="AB36">
        <f t="shared" si="1"/>
        <v>1</v>
      </c>
      <c r="AC36">
        <f t="shared" si="2"/>
        <v>1</v>
      </c>
    </row>
    <row r="37" spans="1:29" x14ac:dyDescent="0.25">
      <c r="B37" s="8" t="s">
        <v>438</v>
      </c>
      <c r="C37" t="s">
        <v>448</v>
      </c>
      <c r="D37">
        <v>42</v>
      </c>
      <c r="E37" t="s">
        <v>93</v>
      </c>
      <c r="F37">
        <v>10</v>
      </c>
      <c r="G37" t="s">
        <v>475</v>
      </c>
      <c r="H37" s="1">
        <f t="shared" si="0"/>
        <v>14</v>
      </c>
      <c r="I37" t="s">
        <v>321</v>
      </c>
      <c r="J37">
        <v>112</v>
      </c>
      <c r="K37">
        <v>3</v>
      </c>
      <c r="X37" s="9"/>
      <c r="AB37">
        <f t="shared" si="1"/>
        <v>1</v>
      </c>
      <c r="AC37">
        <f t="shared" si="2"/>
        <v>1</v>
      </c>
    </row>
    <row r="38" spans="1:29" x14ac:dyDescent="0.25">
      <c r="B38" s="8" t="s">
        <v>439</v>
      </c>
      <c r="C38" t="s">
        <v>140</v>
      </c>
      <c r="D38">
        <v>46</v>
      </c>
      <c r="E38" t="s">
        <v>94</v>
      </c>
      <c r="F38">
        <v>10</v>
      </c>
      <c r="G38" t="s">
        <v>476</v>
      </c>
      <c r="H38" s="1">
        <f t="shared" si="0"/>
        <v>13.939393939393939</v>
      </c>
      <c r="I38" t="s">
        <v>106</v>
      </c>
      <c r="J38">
        <v>126</v>
      </c>
      <c r="K38">
        <v>3.3</v>
      </c>
      <c r="X38" s="9"/>
      <c r="AB38">
        <f t="shared" si="1"/>
        <v>1</v>
      </c>
      <c r="AC38">
        <f t="shared" si="2"/>
        <v>1</v>
      </c>
    </row>
    <row r="39" spans="1:29" x14ac:dyDescent="0.25">
      <c r="B39" s="8" t="s">
        <v>440</v>
      </c>
      <c r="C39" t="s">
        <v>449</v>
      </c>
      <c r="D39">
        <v>49</v>
      </c>
      <c r="E39" t="s">
        <v>95</v>
      </c>
      <c r="F39" t="s">
        <v>95</v>
      </c>
      <c r="G39" t="s">
        <v>477</v>
      </c>
      <c r="H39" s="1">
        <f t="shared" si="0"/>
        <v>14.84848484848485</v>
      </c>
      <c r="I39" t="s">
        <v>111</v>
      </c>
      <c r="J39">
        <v>112</v>
      </c>
      <c r="K39">
        <v>3.3</v>
      </c>
      <c r="X39" s="9"/>
      <c r="AB39">
        <f t="shared" si="1"/>
        <v>1</v>
      </c>
      <c r="AC39">
        <f t="shared" si="2"/>
        <v>1</v>
      </c>
    </row>
    <row r="40" spans="1:29" x14ac:dyDescent="0.25">
      <c r="B40" s="8" t="s">
        <v>441</v>
      </c>
      <c r="C40" t="s">
        <v>450</v>
      </c>
      <c r="D40">
        <v>310</v>
      </c>
      <c r="E40" t="s">
        <v>93</v>
      </c>
      <c r="F40">
        <v>15</v>
      </c>
      <c r="G40" t="s">
        <v>479</v>
      </c>
      <c r="H40" s="1">
        <f t="shared" si="0"/>
        <v>364.70588235294116</v>
      </c>
      <c r="I40" t="s">
        <v>478</v>
      </c>
      <c r="J40">
        <v>52</v>
      </c>
      <c r="K40">
        <v>0.85</v>
      </c>
      <c r="X40" s="9"/>
      <c r="AB40">
        <f t="shared" si="1"/>
        <v>1</v>
      </c>
      <c r="AC40">
        <f t="shared" si="2"/>
        <v>1</v>
      </c>
    </row>
    <row r="41" spans="1:29" x14ac:dyDescent="0.25">
      <c r="B41" s="8" t="s">
        <v>442</v>
      </c>
      <c r="C41" t="s">
        <v>176</v>
      </c>
      <c r="D41">
        <v>34</v>
      </c>
      <c r="E41" t="s">
        <v>93</v>
      </c>
      <c r="F41">
        <v>8</v>
      </c>
      <c r="G41" t="s">
        <v>480</v>
      </c>
      <c r="H41" s="1">
        <f t="shared" si="0"/>
        <v>17</v>
      </c>
      <c r="I41" t="s">
        <v>110</v>
      </c>
      <c r="J41">
        <v>110</v>
      </c>
      <c r="K41">
        <v>2</v>
      </c>
      <c r="X41" s="9"/>
      <c r="AB41">
        <f t="shared" si="1"/>
        <v>1</v>
      </c>
      <c r="AC41">
        <f t="shared" si="2"/>
        <v>1</v>
      </c>
    </row>
    <row r="42" spans="1:29" x14ac:dyDescent="0.25">
      <c r="B42" s="8" t="s">
        <v>442</v>
      </c>
      <c r="C42" t="s">
        <v>161</v>
      </c>
      <c r="D42">
        <v>36</v>
      </c>
      <c r="E42" t="s">
        <v>94</v>
      </c>
      <c r="F42">
        <v>15</v>
      </c>
      <c r="G42" t="s">
        <v>481</v>
      </c>
      <c r="H42" s="1">
        <f t="shared" si="0"/>
        <v>12</v>
      </c>
      <c r="I42" t="s">
        <v>321</v>
      </c>
      <c r="J42">
        <v>112</v>
      </c>
      <c r="K42">
        <v>3</v>
      </c>
      <c r="X42" s="9"/>
      <c r="AB42">
        <f t="shared" si="1"/>
        <v>1</v>
      </c>
      <c r="AC42">
        <f t="shared" si="2"/>
        <v>1</v>
      </c>
    </row>
    <row r="43" spans="1:29" x14ac:dyDescent="0.25">
      <c r="B43" s="8" t="s">
        <v>443</v>
      </c>
      <c r="C43" t="s">
        <v>146</v>
      </c>
      <c r="D43">
        <v>42</v>
      </c>
      <c r="E43" t="s">
        <v>94</v>
      </c>
      <c r="F43">
        <v>10</v>
      </c>
      <c r="G43" t="s">
        <v>482</v>
      </c>
      <c r="H43" s="1">
        <v>6</v>
      </c>
      <c r="I43" t="s">
        <v>110</v>
      </c>
      <c r="J43">
        <v>110</v>
      </c>
      <c r="K43">
        <v>2</v>
      </c>
      <c r="O43">
        <v>9</v>
      </c>
      <c r="P43" t="s">
        <v>106</v>
      </c>
      <c r="Q43">
        <v>126</v>
      </c>
      <c r="R43">
        <v>3.3</v>
      </c>
      <c r="X43" s="9"/>
      <c r="AB43">
        <f t="shared" si="1"/>
        <v>1</v>
      </c>
      <c r="AC43">
        <f t="shared" si="2"/>
        <v>1</v>
      </c>
    </row>
    <row r="44" spans="1:29" x14ac:dyDescent="0.25">
      <c r="B44" s="8" t="s">
        <v>444</v>
      </c>
      <c r="C44" t="s">
        <v>20</v>
      </c>
      <c r="D44">
        <v>60</v>
      </c>
      <c r="E44" t="s">
        <v>94</v>
      </c>
      <c r="F44">
        <v>10</v>
      </c>
      <c r="G44" t="s">
        <v>354</v>
      </c>
      <c r="H44" s="1">
        <f t="shared" si="0"/>
        <v>30</v>
      </c>
      <c r="I44" t="s">
        <v>92</v>
      </c>
      <c r="K44">
        <v>2</v>
      </c>
      <c r="X44" s="9"/>
      <c r="AB44">
        <f t="shared" si="1"/>
        <v>1</v>
      </c>
      <c r="AC44">
        <f t="shared" si="2"/>
        <v>1</v>
      </c>
    </row>
    <row r="45" spans="1:29" x14ac:dyDescent="0.25">
      <c r="B45" s="8" t="s">
        <v>444</v>
      </c>
      <c r="C45" t="s">
        <v>20</v>
      </c>
      <c r="D45">
        <v>150</v>
      </c>
      <c r="E45" t="s">
        <v>94</v>
      </c>
      <c r="F45">
        <v>3</v>
      </c>
      <c r="G45" t="s">
        <v>220</v>
      </c>
      <c r="H45" s="1">
        <f t="shared" si="0"/>
        <v>75</v>
      </c>
      <c r="I45" t="s">
        <v>113</v>
      </c>
      <c r="J45">
        <v>100</v>
      </c>
      <c r="K45">
        <v>2</v>
      </c>
      <c r="X45" s="9"/>
      <c r="AB45">
        <f t="shared" si="1"/>
        <v>1</v>
      </c>
      <c r="AC45">
        <f t="shared" si="2"/>
        <v>1</v>
      </c>
    </row>
    <row r="46" spans="1:29" x14ac:dyDescent="0.25">
      <c r="B46" s="8" t="s">
        <v>445</v>
      </c>
      <c r="C46" t="s">
        <v>42</v>
      </c>
      <c r="D46">
        <v>88</v>
      </c>
      <c r="E46" t="s">
        <v>95</v>
      </c>
      <c r="F46" t="s">
        <v>95</v>
      </c>
      <c r="G46" t="s">
        <v>95</v>
      </c>
      <c r="H46" s="1">
        <f t="shared" si="0"/>
        <v>44</v>
      </c>
      <c r="I46" t="s">
        <v>110</v>
      </c>
      <c r="J46">
        <v>110</v>
      </c>
      <c r="K46">
        <v>2</v>
      </c>
      <c r="X46" s="9"/>
      <c r="AB46">
        <f t="shared" si="1"/>
        <v>1</v>
      </c>
      <c r="AC46">
        <f t="shared" si="2"/>
        <v>1</v>
      </c>
    </row>
    <row r="47" spans="1:29" s="11" customFormat="1" x14ac:dyDescent="0.25">
      <c r="A47" s="11">
        <f>SUM(D31:D47)</f>
        <v>1574</v>
      </c>
      <c r="B47" s="10" t="s">
        <v>445</v>
      </c>
      <c r="C47" s="11" t="s">
        <v>148</v>
      </c>
      <c r="D47" s="11">
        <v>73</v>
      </c>
      <c r="E47" s="11" t="s">
        <v>93</v>
      </c>
      <c r="F47" s="11">
        <v>5</v>
      </c>
      <c r="G47" s="11" t="s">
        <v>483</v>
      </c>
      <c r="H47" s="28">
        <v>14</v>
      </c>
      <c r="I47" s="11" t="s">
        <v>111</v>
      </c>
      <c r="J47" s="11">
        <v>112</v>
      </c>
      <c r="K47" s="11">
        <v>3.3</v>
      </c>
      <c r="O47" s="11">
        <v>9</v>
      </c>
      <c r="P47" s="11" t="s">
        <v>233</v>
      </c>
      <c r="Q47" s="11">
        <v>90</v>
      </c>
      <c r="R47" s="11">
        <v>3</v>
      </c>
      <c r="X47" s="12"/>
      <c r="AB47">
        <f t="shared" si="1"/>
        <v>1</v>
      </c>
      <c r="AC47">
        <f t="shared" si="2"/>
        <v>1</v>
      </c>
    </row>
    <row r="48" spans="1:29" hidden="1" x14ac:dyDescent="0.25">
      <c r="B48" s="8"/>
      <c r="H48" s="1"/>
      <c r="X48" s="9"/>
      <c r="AB48">
        <f t="shared" si="1"/>
        <v>0</v>
      </c>
      <c r="AC48">
        <f t="shared" si="2"/>
        <v>0</v>
      </c>
    </row>
    <row r="49" spans="2:29" hidden="1" x14ac:dyDescent="0.25">
      <c r="B49" s="8"/>
      <c r="H49" s="1"/>
      <c r="X49" s="9"/>
      <c r="AB49">
        <f t="shared" si="1"/>
        <v>0</v>
      </c>
      <c r="AC49">
        <f t="shared" si="2"/>
        <v>0</v>
      </c>
    </row>
    <row r="50" spans="2:29" hidden="1" x14ac:dyDescent="0.25">
      <c r="B50" s="8"/>
      <c r="H50" s="1"/>
      <c r="X50" s="9"/>
      <c r="AB50">
        <f t="shared" si="1"/>
        <v>0</v>
      </c>
      <c r="AC50">
        <f t="shared" si="2"/>
        <v>0</v>
      </c>
    </row>
    <row r="51" spans="2:29" hidden="1" x14ac:dyDescent="0.25">
      <c r="B51" s="8"/>
      <c r="H51" s="1"/>
      <c r="X51" s="9"/>
      <c r="AB51">
        <f t="shared" si="1"/>
        <v>0</v>
      </c>
      <c r="AC51">
        <f t="shared" si="2"/>
        <v>0</v>
      </c>
    </row>
    <row r="52" spans="2:29" hidden="1" x14ac:dyDescent="0.25">
      <c r="B52" s="8"/>
      <c r="H52" s="1"/>
      <c r="X52" s="9"/>
      <c r="AB52">
        <f t="shared" si="1"/>
        <v>0</v>
      </c>
      <c r="AC52">
        <f t="shared" si="2"/>
        <v>0</v>
      </c>
    </row>
    <row r="53" spans="2:29" hidden="1" x14ac:dyDescent="0.25">
      <c r="B53" s="8"/>
      <c r="H53" s="1"/>
      <c r="X53" s="9"/>
      <c r="AB53">
        <f t="shared" si="1"/>
        <v>0</v>
      </c>
      <c r="AC53">
        <f t="shared" si="2"/>
        <v>0</v>
      </c>
    </row>
    <row r="54" spans="2:29" hidden="1" x14ac:dyDescent="0.25">
      <c r="B54" s="8"/>
      <c r="H54" s="1"/>
      <c r="X54" s="9"/>
      <c r="AB54">
        <f t="shared" si="1"/>
        <v>0</v>
      </c>
      <c r="AC54">
        <f t="shared" si="2"/>
        <v>0</v>
      </c>
    </row>
    <row r="55" spans="2:29" hidden="1" x14ac:dyDescent="0.25">
      <c r="B55" s="8"/>
      <c r="H55" s="1"/>
      <c r="X55" s="9"/>
      <c r="AB55">
        <f t="shared" si="1"/>
        <v>0</v>
      </c>
      <c r="AC55">
        <f t="shared" si="2"/>
        <v>0</v>
      </c>
    </row>
    <row r="56" spans="2:29" hidden="1" x14ac:dyDescent="0.25">
      <c r="B56" s="8"/>
      <c r="H56" s="1"/>
      <c r="X56" s="9"/>
      <c r="AB56">
        <f t="shared" si="1"/>
        <v>0</v>
      </c>
      <c r="AC56">
        <f t="shared" si="2"/>
        <v>0</v>
      </c>
    </row>
    <row r="57" spans="2:29" hidden="1" x14ac:dyDescent="0.25">
      <c r="B57" s="8"/>
      <c r="H57" s="1"/>
      <c r="X57" s="9"/>
      <c r="AB57">
        <f t="shared" si="1"/>
        <v>0</v>
      </c>
      <c r="AC57">
        <f t="shared" si="2"/>
        <v>0</v>
      </c>
    </row>
    <row r="58" spans="2:29" hidden="1" x14ac:dyDescent="0.25">
      <c r="B58" s="8"/>
      <c r="H58" s="1"/>
      <c r="X58" s="9"/>
      <c r="AB58">
        <f t="shared" si="1"/>
        <v>0</v>
      </c>
      <c r="AC58">
        <f t="shared" si="2"/>
        <v>0</v>
      </c>
    </row>
    <row r="59" spans="2:29" hidden="1" x14ac:dyDescent="0.25">
      <c r="B59" s="8"/>
      <c r="H59" s="1"/>
      <c r="X59" s="9"/>
      <c r="AB59">
        <f t="shared" si="1"/>
        <v>0</v>
      </c>
      <c r="AC59">
        <f t="shared" si="2"/>
        <v>0</v>
      </c>
    </row>
    <row r="60" spans="2:29" hidden="1" x14ac:dyDescent="0.25">
      <c r="B60" s="8"/>
      <c r="H60" s="1"/>
      <c r="X60" s="9"/>
      <c r="AB60">
        <f t="shared" si="1"/>
        <v>0</v>
      </c>
      <c r="AC60">
        <f t="shared" si="2"/>
        <v>0</v>
      </c>
    </row>
    <row r="61" spans="2:29" hidden="1" x14ac:dyDescent="0.25">
      <c r="B61" s="8"/>
      <c r="H61" s="1"/>
      <c r="X61" s="9"/>
      <c r="AB61">
        <f t="shared" si="1"/>
        <v>0</v>
      </c>
      <c r="AC61">
        <f t="shared" si="2"/>
        <v>0</v>
      </c>
    </row>
    <row r="62" spans="2:29" hidden="1" x14ac:dyDescent="0.25">
      <c r="B62" s="8"/>
      <c r="H62" s="1"/>
      <c r="X62" s="9"/>
      <c r="AB62">
        <f t="shared" si="1"/>
        <v>0</v>
      </c>
      <c r="AC62">
        <f t="shared" si="2"/>
        <v>0</v>
      </c>
    </row>
    <row r="63" spans="2:29" hidden="1" x14ac:dyDescent="0.25">
      <c r="B63" s="8"/>
      <c r="H63" s="1"/>
      <c r="X63" s="9"/>
      <c r="AB63">
        <f t="shared" si="1"/>
        <v>0</v>
      </c>
      <c r="AC63">
        <f t="shared" si="2"/>
        <v>0</v>
      </c>
    </row>
    <row r="64" spans="2:29" hidden="1" x14ac:dyDescent="0.25">
      <c r="B64" s="8"/>
      <c r="H64" s="1"/>
      <c r="K64" s="27"/>
      <c r="X64" s="9"/>
      <c r="AB64">
        <f t="shared" si="1"/>
        <v>0</v>
      </c>
      <c r="AC64">
        <f t="shared" si="2"/>
        <v>0</v>
      </c>
    </row>
    <row r="65" spans="2:29" hidden="1" x14ac:dyDescent="0.25">
      <c r="B65" s="8"/>
      <c r="H65" s="1"/>
      <c r="X65" s="9"/>
      <c r="AB65">
        <f t="shared" si="1"/>
        <v>0</v>
      </c>
      <c r="AC65">
        <f t="shared" si="2"/>
        <v>0</v>
      </c>
    </row>
    <row r="66" spans="2:29" hidden="1" x14ac:dyDescent="0.25">
      <c r="B66" s="8"/>
      <c r="H66" s="1"/>
      <c r="X66" s="9"/>
      <c r="AB66">
        <f t="shared" si="1"/>
        <v>0</v>
      </c>
      <c r="AC66">
        <f t="shared" si="2"/>
        <v>0</v>
      </c>
    </row>
    <row r="67" spans="2:29" hidden="1" x14ac:dyDescent="0.25">
      <c r="B67" s="8"/>
      <c r="H67" s="1"/>
      <c r="X67" s="9"/>
      <c r="AB67">
        <f t="shared" ref="AB67:AB72" si="3">COUNTIF($I$87:$I$117,I67)</f>
        <v>0</v>
      </c>
      <c r="AC67">
        <f t="shared" ref="AC67:AC72" si="4">COUNTIF($C$86:$C$117,C67)</f>
        <v>0</v>
      </c>
    </row>
    <row r="68" spans="2:29" hidden="1" x14ac:dyDescent="0.25">
      <c r="B68" s="8"/>
      <c r="H68" s="1"/>
      <c r="X68" s="9"/>
      <c r="AB68">
        <f t="shared" si="3"/>
        <v>0</v>
      </c>
      <c r="AC68">
        <f t="shared" si="4"/>
        <v>0</v>
      </c>
    </row>
    <row r="69" spans="2:29" hidden="1" x14ac:dyDescent="0.25">
      <c r="B69" s="8"/>
      <c r="H69" s="1"/>
      <c r="X69" s="9"/>
      <c r="AB69">
        <f t="shared" si="3"/>
        <v>0</v>
      </c>
      <c r="AC69">
        <f t="shared" si="4"/>
        <v>0</v>
      </c>
    </row>
    <row r="70" spans="2:29" hidden="1" x14ac:dyDescent="0.25">
      <c r="B70" s="8"/>
      <c r="H70" s="1"/>
      <c r="X70" s="9"/>
      <c r="AB70">
        <f t="shared" si="3"/>
        <v>0</v>
      </c>
      <c r="AC70">
        <f t="shared" si="4"/>
        <v>0</v>
      </c>
    </row>
    <row r="71" spans="2:29" hidden="1" x14ac:dyDescent="0.25">
      <c r="B71" s="8"/>
      <c r="H71" s="1"/>
      <c r="X71" s="9"/>
      <c r="AB71">
        <f t="shared" si="3"/>
        <v>0</v>
      </c>
      <c r="AC71">
        <f t="shared" si="4"/>
        <v>0</v>
      </c>
    </row>
    <row r="72" spans="2:29" hidden="1" x14ac:dyDescent="0.25">
      <c r="B72" s="10"/>
      <c r="C72" s="11"/>
      <c r="D72" s="11"/>
      <c r="E72" s="11"/>
      <c r="F72" s="11"/>
      <c r="G72" s="11"/>
      <c r="H72" s="28"/>
      <c r="I72" s="11"/>
      <c r="J72" s="11"/>
      <c r="K72" s="11"/>
      <c r="L72" s="11"/>
      <c r="M72" s="11"/>
      <c r="N72" s="11"/>
      <c r="O72" s="11"/>
      <c r="P72" s="11"/>
      <c r="Q72" s="11"/>
      <c r="R72" s="11"/>
      <c r="S72" s="11"/>
      <c r="T72" s="11"/>
      <c r="U72" s="11"/>
      <c r="V72" s="11"/>
      <c r="W72" s="11"/>
      <c r="X72" s="12"/>
      <c r="AB72">
        <f t="shared" si="3"/>
        <v>0</v>
      </c>
      <c r="AC72">
        <f t="shared" si="4"/>
        <v>0</v>
      </c>
    </row>
    <row r="73" spans="2:29" x14ac:dyDescent="0.25">
      <c r="H73" s="1"/>
    </row>
    <row r="74" spans="2:29" x14ac:dyDescent="0.25">
      <c r="B74" s="2"/>
      <c r="H74" s="1"/>
    </row>
    <row r="75" spans="2:29" x14ac:dyDescent="0.25">
      <c r="B75" s="2"/>
      <c r="H75" s="1"/>
    </row>
    <row r="77" spans="2:29" x14ac:dyDescent="0.25">
      <c r="C77" s="5" t="s">
        <v>150</v>
      </c>
      <c r="D77" s="6" t="s">
        <v>91</v>
      </c>
      <c r="E77" s="6" t="s">
        <v>130</v>
      </c>
      <c r="F77" s="6"/>
      <c r="G77" s="7" t="s">
        <v>395</v>
      </c>
      <c r="I77" s="13" t="s">
        <v>124</v>
      </c>
      <c r="J77" s="14"/>
      <c r="K77" s="14"/>
      <c r="L77" s="14" t="s">
        <v>135</v>
      </c>
      <c r="M77" s="14" t="s">
        <v>375</v>
      </c>
      <c r="N77" s="15" t="s">
        <v>130</v>
      </c>
      <c r="P77" s="13" t="s">
        <v>124</v>
      </c>
      <c r="Q77" s="14"/>
      <c r="R77" s="14"/>
      <c r="S77" s="14" t="s">
        <v>135</v>
      </c>
      <c r="T77" s="15" t="s">
        <v>375</v>
      </c>
    </row>
    <row r="78" spans="2:29" x14ac:dyDescent="0.25">
      <c r="C78" s="8" t="s">
        <v>392</v>
      </c>
      <c r="D78" s="1">
        <f>SUM(M78:M81,T78:T81)</f>
        <v>1926.1907308377899</v>
      </c>
      <c r="E78">
        <f>SUM(D2:D75)</f>
        <v>4112</v>
      </c>
      <c r="G78" s="23">
        <f>E78/D78</f>
        <v>2.1347834013361178</v>
      </c>
      <c r="I78" s="8" t="s">
        <v>255</v>
      </c>
      <c r="L78">
        <f>COUNTIF(K1:K74,"&lt;2")</f>
        <v>1</v>
      </c>
      <c r="M78" s="1">
        <f>SUMIF(K1:K74,"&lt;2",H1:H74)</f>
        <v>364.70588235294116</v>
      </c>
      <c r="N78" s="9">
        <f>SUMIF(K1:K74,"&lt;2",D1:D74)</f>
        <v>310</v>
      </c>
      <c r="P78" s="8" t="s">
        <v>255</v>
      </c>
      <c r="S78">
        <f>COUNTIF(R1:R74,"&lt;2")</f>
        <v>0</v>
      </c>
      <c r="T78" s="9">
        <f>SUMIF(R1:R74,"&lt;2",K1:K74)</f>
        <v>0</v>
      </c>
    </row>
    <row r="79" spans="2:29" x14ac:dyDescent="0.25">
      <c r="C79" s="8" t="s">
        <v>125</v>
      </c>
      <c r="D79">
        <f>COUNT(D2:D75)</f>
        <v>46</v>
      </c>
      <c r="G79" s="9"/>
      <c r="I79" s="8" t="s">
        <v>133</v>
      </c>
      <c r="L79">
        <f>COUNTIF(K2:K75,"&lt;3")-L78</f>
        <v>18</v>
      </c>
      <c r="M79" s="1">
        <f>SUMIF(K2:K75,"&lt;3",H2:H75)-M78</f>
        <v>997</v>
      </c>
      <c r="N79" s="9">
        <f>SUMIF(K2:K75,"&lt;3",D2:D75)</f>
        <v>2484</v>
      </c>
      <c r="P79" s="8" t="s">
        <v>133</v>
      </c>
      <c r="S79">
        <f>COUNTIF(R2:R75,"&lt;3")-S78</f>
        <v>2</v>
      </c>
      <c r="T79" s="9">
        <f>SUMIF(R2:R75,"&lt;3",O2:O75)-T78</f>
        <v>83</v>
      </c>
    </row>
    <row r="80" spans="2:29" x14ac:dyDescent="0.25">
      <c r="C80" s="8" t="s">
        <v>386</v>
      </c>
      <c r="D80">
        <f>COUNTIF(E2:E75,"AOM5000")</f>
        <v>24</v>
      </c>
      <c r="E80">
        <f>SUMIF(E2:E72,"AOM5000",D2:D72)</f>
        <v>2559</v>
      </c>
      <c r="F80" t="s">
        <v>396</v>
      </c>
      <c r="G80" s="21">
        <f>AVERAGEIF(E2:E75,"AOM5000",F2:F75)</f>
        <v>8.875</v>
      </c>
      <c r="I80" s="8" t="s">
        <v>132</v>
      </c>
      <c r="L80">
        <f>COUNTIF(K2:K75,"&lt;4")-L79-L78</f>
        <v>26</v>
      </c>
      <c r="M80" s="1">
        <f>SUMIF(K2:K75,"&lt;4",H2:H75)-M79-M78</f>
        <v>454.48484848484878</v>
      </c>
      <c r="N80" s="9">
        <f>SUMIF(K2:K75,"&lt;4",D2:D75)-N79</f>
        <v>1530</v>
      </c>
      <c r="P80" s="8" t="s">
        <v>132</v>
      </c>
      <c r="S80">
        <f>COUNTIF(R2:R75,"&lt;4")-S79-S78</f>
        <v>3</v>
      </c>
      <c r="T80" s="9">
        <f>SUMIF(R2:R75,"&lt;4",O2:O75)-T79</f>
        <v>27</v>
      </c>
    </row>
    <row r="81" spans="2:25" x14ac:dyDescent="0.25">
      <c r="C81" s="8" t="s">
        <v>387</v>
      </c>
      <c r="D81">
        <f>COUNTIF(E2:E75,"AOM4000")</f>
        <v>17</v>
      </c>
      <c r="E81">
        <f>SUMIF(E2:E72,"AOM4000",D2:D72)</f>
        <v>1234</v>
      </c>
      <c r="F81" t="s">
        <v>397</v>
      </c>
      <c r="G81" s="21">
        <f>AVERAGEIF(E2:E75,"AOM4000",F2:F75)</f>
        <v>7.7647058823529411</v>
      </c>
      <c r="I81" s="8" t="s">
        <v>134</v>
      </c>
      <c r="L81">
        <f>COUNTIF(K2:K75,"&lt;5")-L80-L79-L78</f>
        <v>0</v>
      </c>
      <c r="M81" s="1">
        <f>SUMIF(K2:K75,"&lt;6",H2:H75)-M80-M79-M78</f>
        <v>0</v>
      </c>
      <c r="N81" s="9">
        <f>SUMIF(K2:K75,"&lt;5",D2:D75)-N80-N79</f>
        <v>0</v>
      </c>
      <c r="P81" s="8" t="s">
        <v>134</v>
      </c>
      <c r="S81">
        <f>COUNTIF(R2:R75,"&lt;5")-S80-S79-S78</f>
        <v>0</v>
      </c>
      <c r="T81" s="9">
        <f>SUMIF(R2:R75,"&lt;5",O2:O75)-T80-T79</f>
        <v>0</v>
      </c>
    </row>
    <row r="82" spans="2:25" x14ac:dyDescent="0.25">
      <c r="C82" s="8" t="s">
        <v>390</v>
      </c>
      <c r="D82" s="18">
        <f>D80/(D81+D80)*100</f>
        <v>58.536585365853654</v>
      </c>
      <c r="E82" s="18">
        <f>E80/(E81+E80)*100</f>
        <v>67.466385446875819</v>
      </c>
      <c r="G82" s="9"/>
      <c r="I82" s="8"/>
      <c r="N82" s="9"/>
      <c r="P82" s="8"/>
      <c r="T82" s="9"/>
    </row>
    <row r="83" spans="2:25" x14ac:dyDescent="0.25">
      <c r="C83" s="16" t="s">
        <v>128</v>
      </c>
      <c r="D83" s="22">
        <f>D80/D79*100</f>
        <v>52.173913043478258</v>
      </c>
      <c r="E83" s="22">
        <f>E80/E78*100</f>
        <v>62.232490272373539</v>
      </c>
      <c r="F83" s="11"/>
      <c r="G83" s="12"/>
      <c r="I83" s="8" t="s">
        <v>136</v>
      </c>
      <c r="L83">
        <f>COUNTA(L2:L75)</f>
        <v>0</v>
      </c>
      <c r="N83" s="9"/>
      <c r="P83" s="10" t="s">
        <v>136</v>
      </c>
      <c r="Q83" s="11"/>
      <c r="R83" s="11"/>
      <c r="S83" s="11">
        <f>COUNTA(S2:S75)</f>
        <v>0</v>
      </c>
      <c r="T83" s="12"/>
      <c r="V83" t="s">
        <v>233</v>
      </c>
      <c r="W83" t="s">
        <v>319</v>
      </c>
      <c r="Y83" t="s">
        <v>92</v>
      </c>
    </row>
    <row r="84" spans="2:25" x14ac:dyDescent="0.25">
      <c r="F84" t="s">
        <v>388</v>
      </c>
      <c r="I84" s="10"/>
      <c r="J84" s="11"/>
      <c r="K84" s="11"/>
      <c r="L84" s="11"/>
      <c r="M84" s="11"/>
      <c r="N84" s="12"/>
      <c r="V84" t="s">
        <v>111</v>
      </c>
      <c r="W84" t="s">
        <v>138</v>
      </c>
      <c r="Y84" t="s">
        <v>232</v>
      </c>
    </row>
    <row r="85" spans="2:25" x14ac:dyDescent="0.25">
      <c r="B85" t="s">
        <v>627</v>
      </c>
      <c r="C85" s="5" t="s">
        <v>149</v>
      </c>
      <c r="D85" s="6" t="s">
        <v>135</v>
      </c>
      <c r="E85" s="6" t="s">
        <v>130</v>
      </c>
      <c r="F85" s="5" t="s">
        <v>93</v>
      </c>
      <c r="G85" s="7" t="s">
        <v>94</v>
      </c>
      <c r="V85" t="s">
        <v>106</v>
      </c>
      <c r="W85" t="s">
        <v>318</v>
      </c>
      <c r="Y85" t="s">
        <v>379</v>
      </c>
    </row>
    <row r="86" spans="2:25" x14ac:dyDescent="0.25">
      <c r="B86" s="18">
        <f>E86/$E$78*100</f>
        <v>48.103112840466927</v>
      </c>
      <c r="C86" s="8" t="s">
        <v>20</v>
      </c>
      <c r="D86">
        <f t="shared" ref="D86:D105" si="5">COUNTIF(C$2:C$75,C86)</f>
        <v>12</v>
      </c>
      <c r="E86">
        <f t="shared" ref="E86:E105" si="6">SUMIF(C$2:C$75,C86,D$2:D$75)</f>
        <v>1978</v>
      </c>
      <c r="F86" s="8">
        <f t="shared" ref="F86:F105" si="7">SUMIFS($D$2:$D$73,$C$2:$C$73,C86,$E$2:$E$73,$F$85)</f>
        <v>0</v>
      </c>
      <c r="G86" s="9">
        <f t="shared" ref="G86:G105" si="8">SUMIFS($D$2:$D$73,$C$2:$C$73,C86,$E$2:$E$73,$G$85)</f>
        <v>1978</v>
      </c>
      <c r="I86" s="5" t="s">
        <v>376</v>
      </c>
      <c r="J86" s="6"/>
      <c r="K86" s="6"/>
      <c r="L86" s="7" t="s">
        <v>377</v>
      </c>
      <c r="V86" t="s">
        <v>321</v>
      </c>
      <c r="W86" t="s">
        <v>176</v>
      </c>
      <c r="Y86" t="s">
        <v>478</v>
      </c>
    </row>
    <row r="87" spans="2:25" x14ac:dyDescent="0.25">
      <c r="B87" s="18">
        <f t="shared" ref="B87:B106" si="9">E87/$E$78*100</f>
        <v>7.8064202334630348</v>
      </c>
      <c r="C87" s="8" t="s">
        <v>176</v>
      </c>
      <c r="D87">
        <f t="shared" si="5"/>
        <v>5</v>
      </c>
      <c r="E87">
        <f t="shared" si="6"/>
        <v>321</v>
      </c>
      <c r="F87" s="8">
        <f t="shared" si="7"/>
        <v>321</v>
      </c>
      <c r="G87" s="9">
        <f t="shared" si="8"/>
        <v>0</v>
      </c>
      <c r="I87" s="8" t="s">
        <v>478</v>
      </c>
      <c r="L87" s="19">
        <f t="shared" ref="L87:L98" si="10">SUMIF(I$2:I$75,I87,H$2:H$75)+SUMIF(P$2:P$75,I87,O$2:O$75)</f>
        <v>364.70588235294116</v>
      </c>
      <c r="V87" t="s">
        <v>95</v>
      </c>
      <c r="W87" t="s">
        <v>20</v>
      </c>
      <c r="Y87" t="s">
        <v>462</v>
      </c>
    </row>
    <row r="88" spans="2:25" x14ac:dyDescent="0.25">
      <c r="B88" s="18">
        <f t="shared" si="9"/>
        <v>7.5389105058365757</v>
      </c>
      <c r="C88" s="8" t="s">
        <v>450</v>
      </c>
      <c r="D88">
        <f t="shared" si="5"/>
        <v>1</v>
      </c>
      <c r="E88">
        <f t="shared" si="6"/>
        <v>310</v>
      </c>
      <c r="F88" s="8">
        <f t="shared" si="7"/>
        <v>310</v>
      </c>
      <c r="G88" s="9">
        <f t="shared" si="8"/>
        <v>0</v>
      </c>
      <c r="I88" s="8" t="s">
        <v>92</v>
      </c>
      <c r="L88" s="19">
        <f t="shared" si="10"/>
        <v>30</v>
      </c>
      <c r="V88" t="s">
        <v>454</v>
      </c>
      <c r="W88" t="s">
        <v>146</v>
      </c>
      <c r="Y88" t="s">
        <v>244</v>
      </c>
    </row>
    <row r="89" spans="2:25" x14ac:dyDescent="0.25">
      <c r="B89" s="18">
        <f t="shared" si="9"/>
        <v>5.1556420233463029</v>
      </c>
      <c r="C89" s="8" t="s">
        <v>161</v>
      </c>
      <c r="D89">
        <f t="shared" si="5"/>
        <v>4</v>
      </c>
      <c r="E89">
        <f t="shared" si="6"/>
        <v>212</v>
      </c>
      <c r="F89" s="8">
        <f t="shared" si="7"/>
        <v>134</v>
      </c>
      <c r="G89" s="9">
        <f t="shared" si="8"/>
        <v>36</v>
      </c>
      <c r="I89" s="8" t="s">
        <v>113</v>
      </c>
      <c r="L89" s="19">
        <f t="shared" si="10"/>
        <v>659</v>
      </c>
      <c r="V89" t="s">
        <v>113</v>
      </c>
      <c r="W89" t="s">
        <v>163</v>
      </c>
      <c r="Y89" t="s">
        <v>233</v>
      </c>
    </row>
    <row r="90" spans="2:25" x14ac:dyDescent="0.25">
      <c r="B90" s="18">
        <f t="shared" si="9"/>
        <v>4.3287937743190659</v>
      </c>
      <c r="C90" s="8" t="s">
        <v>140</v>
      </c>
      <c r="D90">
        <f t="shared" si="5"/>
        <v>3</v>
      </c>
      <c r="E90">
        <f t="shared" si="6"/>
        <v>178</v>
      </c>
      <c r="F90" s="8">
        <f t="shared" si="7"/>
        <v>79</v>
      </c>
      <c r="G90" s="9">
        <f t="shared" si="8"/>
        <v>99</v>
      </c>
      <c r="I90" s="8" t="s">
        <v>110</v>
      </c>
      <c r="L90" s="19">
        <f t="shared" si="10"/>
        <v>336</v>
      </c>
      <c r="V90" t="s">
        <v>224</v>
      </c>
      <c r="W90" t="s">
        <v>446</v>
      </c>
      <c r="Y90" t="s">
        <v>233</v>
      </c>
    </row>
    <row r="91" spans="2:25" x14ac:dyDescent="0.25">
      <c r="B91" s="18">
        <f t="shared" si="9"/>
        <v>3.818093385214008</v>
      </c>
      <c r="C91" s="8" t="s">
        <v>138</v>
      </c>
      <c r="D91">
        <f t="shared" si="5"/>
        <v>3</v>
      </c>
      <c r="E91">
        <f t="shared" si="6"/>
        <v>157</v>
      </c>
      <c r="F91" s="8">
        <f t="shared" si="7"/>
        <v>84</v>
      </c>
      <c r="G91" s="9">
        <f t="shared" si="8"/>
        <v>73</v>
      </c>
      <c r="I91" s="8" t="s">
        <v>321</v>
      </c>
      <c r="L91" s="19">
        <f t="shared" si="10"/>
        <v>97.333333333333329</v>
      </c>
      <c r="V91" t="s">
        <v>233</v>
      </c>
      <c r="W91" t="s">
        <v>147</v>
      </c>
      <c r="Y91" t="s">
        <v>222</v>
      </c>
    </row>
    <row r="92" spans="2:25" x14ac:dyDescent="0.25">
      <c r="B92" s="18">
        <f t="shared" si="9"/>
        <v>3.5505836575875485</v>
      </c>
      <c r="C92" s="8" t="s">
        <v>318</v>
      </c>
      <c r="D92">
        <f t="shared" si="5"/>
        <v>3</v>
      </c>
      <c r="E92">
        <f t="shared" si="6"/>
        <v>146</v>
      </c>
      <c r="F92" s="8">
        <f t="shared" si="7"/>
        <v>0</v>
      </c>
      <c r="G92" s="9">
        <f t="shared" si="8"/>
        <v>146</v>
      </c>
      <c r="I92" s="8" t="s">
        <v>111</v>
      </c>
      <c r="L92" s="19">
        <f t="shared" si="10"/>
        <v>200.06060606060606</v>
      </c>
      <c r="V92" t="s">
        <v>110</v>
      </c>
      <c r="W92" t="s">
        <v>447</v>
      </c>
      <c r="Y92" t="s">
        <v>113</v>
      </c>
    </row>
    <row r="93" spans="2:25" x14ac:dyDescent="0.25">
      <c r="B93" s="18">
        <f t="shared" si="9"/>
        <v>2.4805447470817121</v>
      </c>
      <c r="C93" s="8" t="s">
        <v>142</v>
      </c>
      <c r="D93">
        <f t="shared" si="5"/>
        <v>2</v>
      </c>
      <c r="E93">
        <f t="shared" si="6"/>
        <v>102</v>
      </c>
      <c r="F93" s="8">
        <f t="shared" si="7"/>
        <v>50</v>
      </c>
      <c r="G93" s="9">
        <f t="shared" si="8"/>
        <v>0</v>
      </c>
      <c r="I93" s="8" t="s">
        <v>454</v>
      </c>
      <c r="L93" s="19">
        <f t="shared" si="10"/>
        <v>6</v>
      </c>
      <c r="V93" t="s">
        <v>244</v>
      </c>
      <c r="W93" t="s">
        <v>206</v>
      </c>
      <c r="Y93" t="s">
        <v>114</v>
      </c>
    </row>
    <row r="94" spans="2:25" x14ac:dyDescent="0.25">
      <c r="B94" s="18">
        <f t="shared" si="9"/>
        <v>2.1887159533073928</v>
      </c>
      <c r="C94" s="8" t="s">
        <v>146</v>
      </c>
      <c r="D94">
        <f t="shared" si="5"/>
        <v>2</v>
      </c>
      <c r="E94">
        <f t="shared" si="6"/>
        <v>90</v>
      </c>
      <c r="F94" s="8">
        <f t="shared" si="7"/>
        <v>0</v>
      </c>
      <c r="G94" s="9">
        <f t="shared" si="8"/>
        <v>90</v>
      </c>
      <c r="I94" s="8" t="s">
        <v>224</v>
      </c>
      <c r="L94" s="19">
        <f t="shared" si="10"/>
        <v>19</v>
      </c>
      <c r="V94" t="s">
        <v>462</v>
      </c>
      <c r="W94" t="s">
        <v>140</v>
      </c>
      <c r="Y94" t="s">
        <v>110</v>
      </c>
    </row>
    <row r="95" spans="2:25" x14ac:dyDescent="0.25">
      <c r="B95" s="18">
        <f t="shared" si="9"/>
        <v>2.1400778210116731</v>
      </c>
      <c r="C95" s="8" t="s">
        <v>42</v>
      </c>
      <c r="D95">
        <f t="shared" si="5"/>
        <v>1</v>
      </c>
      <c r="E95">
        <f t="shared" si="6"/>
        <v>88</v>
      </c>
      <c r="F95" s="8">
        <f t="shared" si="7"/>
        <v>0</v>
      </c>
      <c r="G95" s="9">
        <f t="shared" si="8"/>
        <v>0</v>
      </c>
      <c r="I95" s="8" t="s">
        <v>106</v>
      </c>
      <c r="L95" s="19">
        <f t="shared" si="10"/>
        <v>98.090909090909093</v>
      </c>
      <c r="V95" t="s">
        <v>478</v>
      </c>
      <c r="W95" t="s">
        <v>161</v>
      </c>
      <c r="Y95" t="s">
        <v>119</v>
      </c>
    </row>
    <row r="96" spans="2:25" x14ac:dyDescent="0.25">
      <c r="B96" s="18">
        <f t="shared" si="9"/>
        <v>2.1400778210116731</v>
      </c>
      <c r="C96" s="8" t="s">
        <v>206</v>
      </c>
      <c r="D96">
        <f t="shared" si="5"/>
        <v>1</v>
      </c>
      <c r="E96">
        <f t="shared" si="6"/>
        <v>88</v>
      </c>
      <c r="F96" s="8">
        <f t="shared" si="7"/>
        <v>0</v>
      </c>
      <c r="G96" s="9">
        <f t="shared" si="8"/>
        <v>0</v>
      </c>
      <c r="I96" s="8" t="s">
        <v>462</v>
      </c>
      <c r="L96" s="19">
        <f t="shared" si="10"/>
        <v>34</v>
      </c>
      <c r="V96" t="s">
        <v>92</v>
      </c>
      <c r="W96" t="s">
        <v>164</v>
      </c>
      <c r="Y96" t="s">
        <v>333</v>
      </c>
    </row>
    <row r="97" spans="2:25" x14ac:dyDescent="0.25">
      <c r="B97" s="18">
        <f t="shared" si="9"/>
        <v>1.7752918287937742</v>
      </c>
      <c r="C97" s="8" t="s">
        <v>148</v>
      </c>
      <c r="D97">
        <f t="shared" si="5"/>
        <v>1</v>
      </c>
      <c r="E97">
        <f t="shared" si="6"/>
        <v>73</v>
      </c>
      <c r="F97" s="8">
        <f t="shared" si="7"/>
        <v>73</v>
      </c>
      <c r="G97" s="9">
        <f t="shared" si="8"/>
        <v>0</v>
      </c>
      <c r="I97" s="8" t="s">
        <v>244</v>
      </c>
      <c r="L97" s="19">
        <f t="shared" si="10"/>
        <v>21</v>
      </c>
      <c r="V97" t="s">
        <v>92</v>
      </c>
      <c r="W97" t="s">
        <v>142</v>
      </c>
      <c r="Y97" t="s">
        <v>321</v>
      </c>
    </row>
    <row r="98" spans="2:25" x14ac:dyDescent="0.25">
      <c r="B98" s="18">
        <f t="shared" si="9"/>
        <v>1.532101167315175</v>
      </c>
      <c r="C98" s="8" t="s">
        <v>446</v>
      </c>
      <c r="D98">
        <f t="shared" si="5"/>
        <v>1</v>
      </c>
      <c r="E98">
        <f t="shared" si="6"/>
        <v>63</v>
      </c>
      <c r="F98" s="8">
        <f t="shared" si="7"/>
        <v>0</v>
      </c>
      <c r="G98" s="9">
        <f t="shared" si="8"/>
        <v>63</v>
      </c>
      <c r="I98" s="8" t="s">
        <v>233</v>
      </c>
      <c r="L98" s="19">
        <f t="shared" si="10"/>
        <v>61</v>
      </c>
      <c r="V98" t="s">
        <v>232</v>
      </c>
      <c r="W98" t="s">
        <v>448</v>
      </c>
      <c r="Y98" t="s">
        <v>111</v>
      </c>
    </row>
    <row r="99" spans="2:25" x14ac:dyDescent="0.25">
      <c r="B99" s="18">
        <f t="shared" si="9"/>
        <v>1.4348249027237354</v>
      </c>
      <c r="C99" s="8" t="s">
        <v>147</v>
      </c>
      <c r="D99">
        <f t="shared" si="5"/>
        <v>1</v>
      </c>
      <c r="E99">
        <f t="shared" si="6"/>
        <v>59</v>
      </c>
      <c r="F99" s="8">
        <f t="shared" si="7"/>
        <v>59</v>
      </c>
      <c r="G99" s="9">
        <f t="shared" si="8"/>
        <v>0</v>
      </c>
      <c r="I99" s="10"/>
      <c r="J99" s="11"/>
      <c r="K99" s="11"/>
      <c r="L99" s="20"/>
      <c r="V99" t="s">
        <v>379</v>
      </c>
      <c r="W99" t="s">
        <v>449</v>
      </c>
      <c r="Y99" t="s">
        <v>112</v>
      </c>
    </row>
    <row r="100" spans="2:25" x14ac:dyDescent="0.25">
      <c r="B100" s="18">
        <f t="shared" si="9"/>
        <v>1.2889105058365757</v>
      </c>
      <c r="C100" s="8" t="s">
        <v>447</v>
      </c>
      <c r="D100">
        <f t="shared" si="5"/>
        <v>1</v>
      </c>
      <c r="E100">
        <f t="shared" si="6"/>
        <v>53</v>
      </c>
      <c r="F100" s="8">
        <f t="shared" si="7"/>
        <v>0</v>
      </c>
      <c r="G100" s="9">
        <f t="shared" si="8"/>
        <v>53</v>
      </c>
      <c r="V100" t="s">
        <v>244</v>
      </c>
      <c r="W100" t="s">
        <v>450</v>
      </c>
      <c r="Y100" t="s">
        <v>122</v>
      </c>
    </row>
    <row r="101" spans="2:25" x14ac:dyDescent="0.25">
      <c r="B101" s="18">
        <f t="shared" si="9"/>
        <v>1.1916342412451362</v>
      </c>
      <c r="C101" s="8" t="s">
        <v>449</v>
      </c>
      <c r="D101">
        <f t="shared" si="5"/>
        <v>1</v>
      </c>
      <c r="E101">
        <f t="shared" si="6"/>
        <v>49</v>
      </c>
      <c r="F101" s="8">
        <f t="shared" si="7"/>
        <v>0</v>
      </c>
      <c r="G101" s="9">
        <f t="shared" si="8"/>
        <v>0</v>
      </c>
      <c r="L101" s="1"/>
      <c r="V101" t="s">
        <v>233</v>
      </c>
      <c r="W101" t="s">
        <v>42</v>
      </c>
      <c r="Y101" t="s">
        <v>454</v>
      </c>
    </row>
    <row r="102" spans="2:25" x14ac:dyDescent="0.25">
      <c r="B102" s="18">
        <f t="shared" si="9"/>
        <v>1.1916342412451362</v>
      </c>
      <c r="C102" s="8" t="s">
        <v>164</v>
      </c>
      <c r="D102">
        <f t="shared" si="5"/>
        <v>1</v>
      </c>
      <c r="E102">
        <f t="shared" si="6"/>
        <v>49</v>
      </c>
      <c r="F102" s="8">
        <f t="shared" si="7"/>
        <v>49</v>
      </c>
      <c r="G102" s="9">
        <f t="shared" si="8"/>
        <v>0</v>
      </c>
      <c r="I102" t="s">
        <v>5</v>
      </c>
      <c r="V102" t="s">
        <v>222</v>
      </c>
      <c r="W102" t="s">
        <v>148</v>
      </c>
      <c r="Y102" t="s">
        <v>224</v>
      </c>
    </row>
    <row r="103" spans="2:25" x14ac:dyDescent="0.25">
      <c r="B103" s="18">
        <f t="shared" si="9"/>
        <v>1.0214007782101167</v>
      </c>
      <c r="C103" s="8" t="s">
        <v>448</v>
      </c>
      <c r="D103">
        <f t="shared" si="5"/>
        <v>1</v>
      </c>
      <c r="E103">
        <f t="shared" si="6"/>
        <v>42</v>
      </c>
      <c r="F103" s="8">
        <f t="shared" si="7"/>
        <v>42</v>
      </c>
      <c r="G103" s="9">
        <f t="shared" si="8"/>
        <v>0</v>
      </c>
      <c r="I103" t="s">
        <v>1164</v>
      </c>
      <c r="L103">
        <f>A8</f>
        <v>390</v>
      </c>
      <c r="V103" t="s">
        <v>113</v>
      </c>
      <c r="Y103" t="s">
        <v>115</v>
      </c>
    </row>
    <row r="104" spans="2:25" x14ac:dyDescent="0.25">
      <c r="B104" s="18">
        <f t="shared" si="9"/>
        <v>0.80252918287937736</v>
      </c>
      <c r="C104" s="8" t="s">
        <v>163</v>
      </c>
      <c r="D104">
        <f t="shared" si="5"/>
        <v>1</v>
      </c>
      <c r="E104">
        <f t="shared" si="6"/>
        <v>33</v>
      </c>
      <c r="F104" s="8">
        <f t="shared" si="7"/>
        <v>33</v>
      </c>
      <c r="G104" s="9">
        <f t="shared" si="8"/>
        <v>0</v>
      </c>
      <c r="I104" t="s">
        <v>1165</v>
      </c>
      <c r="L104">
        <f>A21</f>
        <v>1544</v>
      </c>
      <c r="V104" t="s">
        <v>114</v>
      </c>
      <c r="Y104" t="s">
        <v>106</v>
      </c>
    </row>
    <row r="105" spans="2:25" x14ac:dyDescent="0.25">
      <c r="B105" s="18">
        <f t="shared" si="9"/>
        <v>0.51070038910505833</v>
      </c>
      <c r="C105" s="10" t="s">
        <v>319</v>
      </c>
      <c r="D105" s="11">
        <f t="shared" si="5"/>
        <v>1</v>
      </c>
      <c r="E105" s="11">
        <f t="shared" si="6"/>
        <v>21</v>
      </c>
      <c r="F105" s="10">
        <f t="shared" si="7"/>
        <v>0</v>
      </c>
      <c r="G105" s="12">
        <f t="shared" si="8"/>
        <v>21</v>
      </c>
      <c r="I105" t="s">
        <v>1166</v>
      </c>
      <c r="L105">
        <f>A30</f>
        <v>604</v>
      </c>
      <c r="V105" t="s">
        <v>110</v>
      </c>
      <c r="Y105" t="s">
        <v>109</v>
      </c>
    </row>
    <row r="106" spans="2:25" x14ac:dyDescent="0.25">
      <c r="B106" s="18">
        <f t="shared" si="9"/>
        <v>100</v>
      </c>
      <c r="E106">
        <f>SUM(E86:E105)</f>
        <v>4112</v>
      </c>
      <c r="F106" s="13">
        <f>SUM(F86:F105)</f>
        <v>1234</v>
      </c>
      <c r="G106" s="15">
        <f>SUM(G86:G105)</f>
        <v>2559</v>
      </c>
      <c r="I106" t="s">
        <v>1167</v>
      </c>
      <c r="L106">
        <f>A47</f>
        <v>1574</v>
      </c>
      <c r="V106" t="s">
        <v>119</v>
      </c>
      <c r="Y106" t="s">
        <v>120</v>
      </c>
    </row>
    <row r="107" spans="2:25" x14ac:dyDescent="0.25">
      <c r="F107" s="10" t="s">
        <v>389</v>
      </c>
      <c r="G107" s="12">
        <f>E78-F106-G106</f>
        <v>319</v>
      </c>
      <c r="V107" t="s">
        <v>333</v>
      </c>
      <c r="Y107" t="s">
        <v>117</v>
      </c>
    </row>
    <row r="108" spans="2:25" x14ac:dyDescent="0.25">
      <c r="V108" t="s">
        <v>321</v>
      </c>
      <c r="Y108" t="s">
        <v>108</v>
      </c>
    </row>
    <row r="109" spans="2:25" x14ac:dyDescent="0.25">
      <c r="V109" t="s">
        <v>111</v>
      </c>
      <c r="Y109" t="s">
        <v>118</v>
      </c>
    </row>
    <row r="110" spans="2:25" x14ac:dyDescent="0.25">
      <c r="V110" t="s">
        <v>112</v>
      </c>
      <c r="Y110" t="s">
        <v>121</v>
      </c>
    </row>
    <row r="111" spans="2:25" x14ac:dyDescent="0.25">
      <c r="V111" t="s">
        <v>122</v>
      </c>
    </row>
    <row r="112" spans="2:25" x14ac:dyDescent="0.25">
      <c r="V112" t="s">
        <v>224</v>
      </c>
    </row>
    <row r="113" spans="3:22" x14ac:dyDescent="0.25">
      <c r="V113" t="s">
        <v>115</v>
      </c>
    </row>
    <row r="114" spans="3:22" x14ac:dyDescent="0.25">
      <c r="V114" t="s">
        <v>106</v>
      </c>
    </row>
    <row r="115" spans="3:22" x14ac:dyDescent="0.25">
      <c r="C115" s="13"/>
      <c r="D115" s="14" t="s">
        <v>93</v>
      </c>
      <c r="E115" s="15" t="s">
        <v>94</v>
      </c>
      <c r="V115" t="s">
        <v>109</v>
      </c>
    </row>
    <row r="116" spans="3:22" x14ac:dyDescent="0.25">
      <c r="C116" s="8" t="s">
        <v>402</v>
      </c>
      <c r="D116">
        <f>SUMIFS($D$2:$D$74,$E$2:$E$74,D$115,$F$2:$F$74,"&lt;5.1")</f>
        <v>606</v>
      </c>
      <c r="E116" s="9">
        <f>SUMIFS($D$2:$D$74,$E$2:$E$74,E$115,$F$2:$F$74,"&lt;5.1")</f>
        <v>1177</v>
      </c>
      <c r="V116" t="s">
        <v>120</v>
      </c>
    </row>
    <row r="117" spans="3:22" x14ac:dyDescent="0.25">
      <c r="C117" s="29" t="s">
        <v>403</v>
      </c>
      <c r="D117">
        <f>SUMIFS($D$2:$D$74,$E$2:$E$74,D$115,$F$2:$F$74,"&lt;10.1")-D116</f>
        <v>201</v>
      </c>
      <c r="E117" s="9">
        <f>SUMIFS($D$2:$D$74,$E$2:$E$74,E$115,$F$2:$F$74,"&lt;10.1")-E116</f>
        <v>1092</v>
      </c>
      <c r="V117" t="s">
        <v>117</v>
      </c>
    </row>
    <row r="118" spans="3:22" x14ac:dyDescent="0.25">
      <c r="C118" s="29" t="s">
        <v>404</v>
      </c>
      <c r="D118">
        <f>SUMIFS($D$2:$D$74,$E$2:$E$74,D$115,$F$2:$F$74,"&lt;15.1")-D117-D116</f>
        <v>427</v>
      </c>
      <c r="E118" s="9">
        <f>SUMIFS($D$2:$D$74,$E$2:$E$74,E$115,$F$2:$F$74,"&lt;15.1")-E117-E116</f>
        <v>290</v>
      </c>
      <c r="V118" t="s">
        <v>108</v>
      </c>
    </row>
    <row r="119" spans="3:22" x14ac:dyDescent="0.25">
      <c r="C119" s="29" t="s">
        <v>102</v>
      </c>
      <c r="D119">
        <f>SUMIFS($D$2:$D$74,$E$2:$E$74,D$115,$F$2:$F$74,"&lt;20.1")-D118-D117-D116</f>
        <v>0</v>
      </c>
      <c r="E119" s="9">
        <f>SUMIFS($D$2:$D$74,$E$2:$E$74,E$115,$F$2:$F$74,"&lt;20.1")-E118-E117-E116</f>
        <v>0</v>
      </c>
      <c r="V119" t="s">
        <v>118</v>
      </c>
    </row>
    <row r="120" spans="3:22" x14ac:dyDescent="0.25">
      <c r="C120" s="8" t="s">
        <v>405</v>
      </c>
      <c r="D120">
        <f>SUMIFS($D$2:$D$74,$E$2:$E$74,D$115,$F$2:$F$74,"&lt;40.1")-D119-D118-D117-D116</f>
        <v>0</v>
      </c>
      <c r="E120" s="9">
        <f>SUMIFS($D$2:$D$74,$E$2:$E$74,E$115,$F$2:$F$74,"&lt;40.1")-E119-E118-E117-E116</f>
        <v>0</v>
      </c>
      <c r="V120" t="s">
        <v>121</v>
      </c>
    </row>
    <row r="121" spans="3:22" x14ac:dyDescent="0.25">
      <c r="C121" s="10" t="s">
        <v>406</v>
      </c>
      <c r="D121" s="11">
        <f>E81-SUM(D116:D120)</f>
        <v>0</v>
      </c>
      <c r="E121" s="12">
        <f>E80-SUM(E116:E120)</f>
        <v>0</v>
      </c>
    </row>
  </sheetData>
  <sortState xmlns:xlrd2="http://schemas.microsoft.com/office/spreadsheetml/2017/richdata2" ref="Y83:Y110">
    <sortCondition ref="Y83:Y110"/>
  </sortState>
  <pageMargins left="0.7" right="0.7" top="0.75" bottom="0.75" header="0.3" footer="0.3"/>
  <pageSetup paperSize="9" orientation="portrait" r:id="rId1"/>
  <headerFooter>
    <oddFooter>&amp;L&amp;1#&amp;"Arial"&amp;8&amp;KD5DAD9</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21"/>
  <sheetViews>
    <sheetView zoomScale="70" zoomScaleNormal="70" workbookViewId="0">
      <selection activeCell="B2" sqref="B2:V49"/>
    </sheetView>
  </sheetViews>
  <sheetFormatPr defaultRowHeight="15" x14ac:dyDescent="0.25"/>
  <cols>
    <col min="2" max="9" width="13.7109375" customWidth="1"/>
    <col min="10" max="10" width="1.7109375" customWidth="1"/>
    <col min="11" max="11" width="2.140625" customWidth="1"/>
    <col min="12" max="13" width="12" bestFit="1" customWidth="1"/>
    <col min="14" max="14" width="12" customWidth="1"/>
    <col min="15" max="15" width="4.140625" customWidth="1"/>
    <col min="16" max="16" width="15.140625" customWidth="1"/>
    <col min="17" max="17" width="2.28515625" customWidth="1"/>
    <col min="18" max="18" width="2.5703125" customWidth="1"/>
    <col min="19" max="20" width="12" bestFit="1" customWidth="1"/>
    <col min="21" max="21" width="4.42578125" customWidth="1"/>
    <col min="22" max="22" width="13.28515625" bestFit="1" customWidth="1"/>
    <col min="23" max="24" width="12" bestFit="1" customWidth="1"/>
  </cols>
  <sheetData>
    <row r="1" spans="1:29" x14ac:dyDescent="0.25">
      <c r="B1" s="5" t="s">
        <v>86</v>
      </c>
      <c r="C1" s="6" t="s">
        <v>87</v>
      </c>
      <c r="D1" s="6" t="s">
        <v>88</v>
      </c>
      <c r="E1" s="6" t="s">
        <v>98</v>
      </c>
      <c r="F1" s="6" t="s">
        <v>100</v>
      </c>
      <c r="G1" s="6" t="s">
        <v>89</v>
      </c>
      <c r="H1" s="6" t="s">
        <v>91</v>
      </c>
      <c r="I1" s="6" t="s">
        <v>90</v>
      </c>
      <c r="J1" s="6" t="s">
        <v>131</v>
      </c>
      <c r="K1" s="6" t="s">
        <v>130</v>
      </c>
      <c r="L1" s="6" t="s">
        <v>103</v>
      </c>
      <c r="M1" s="6" t="s">
        <v>101</v>
      </c>
      <c r="N1" s="6" t="s">
        <v>107</v>
      </c>
      <c r="O1" s="6" t="s">
        <v>91</v>
      </c>
      <c r="P1" s="6" t="s">
        <v>105</v>
      </c>
      <c r="Q1" s="6" t="s">
        <v>131</v>
      </c>
      <c r="R1" s="6" t="s">
        <v>130</v>
      </c>
      <c r="S1" s="6" t="s">
        <v>103</v>
      </c>
      <c r="T1" s="6" t="s">
        <v>101</v>
      </c>
      <c r="U1" s="6" t="s">
        <v>91</v>
      </c>
      <c r="V1" s="6" t="s">
        <v>105</v>
      </c>
      <c r="W1" s="6" t="s">
        <v>103</v>
      </c>
      <c r="X1" s="7" t="s">
        <v>101</v>
      </c>
      <c r="AB1" s="3" t="s">
        <v>682</v>
      </c>
      <c r="AC1" t="s">
        <v>683</v>
      </c>
    </row>
    <row r="2" spans="1:29" x14ac:dyDescent="0.25">
      <c r="B2" s="8" t="s">
        <v>484</v>
      </c>
      <c r="C2" t="s">
        <v>42</v>
      </c>
      <c r="D2">
        <v>90</v>
      </c>
      <c r="E2" t="s">
        <v>93</v>
      </c>
      <c r="F2">
        <v>3</v>
      </c>
      <c r="G2" t="s">
        <v>542</v>
      </c>
      <c r="H2" s="1">
        <v>30</v>
      </c>
      <c r="I2" t="s">
        <v>244</v>
      </c>
      <c r="J2">
        <v>90</v>
      </c>
      <c r="K2">
        <v>2</v>
      </c>
      <c r="O2">
        <v>15</v>
      </c>
      <c r="P2" t="s">
        <v>113</v>
      </c>
      <c r="R2">
        <v>2</v>
      </c>
      <c r="X2" s="9"/>
      <c r="AB2">
        <f>COUNTIF($I$87:$I$117,I2)</f>
        <v>1</v>
      </c>
      <c r="AC2">
        <f>COUNTIF($C$86:$C$117,C2)</f>
        <v>1</v>
      </c>
    </row>
    <row r="3" spans="1:29" x14ac:dyDescent="0.25">
      <c r="B3" s="8" t="s">
        <v>485</v>
      </c>
      <c r="C3" t="s">
        <v>164</v>
      </c>
      <c r="D3">
        <v>42</v>
      </c>
      <c r="H3" s="1">
        <f>D3/K3</f>
        <v>14</v>
      </c>
      <c r="I3" t="s">
        <v>321</v>
      </c>
      <c r="J3">
        <v>112</v>
      </c>
      <c r="K3">
        <v>3</v>
      </c>
      <c r="X3" s="9"/>
      <c r="AB3">
        <f t="shared" ref="AB3:AB49" si="0">COUNTIF($I$87:$I$117,I3)</f>
        <v>1</v>
      </c>
      <c r="AC3">
        <f t="shared" ref="AC3:AC49" si="1">COUNTIF($C$86:$C$117,C3)</f>
        <v>1</v>
      </c>
    </row>
    <row r="4" spans="1:29" x14ac:dyDescent="0.25">
      <c r="B4" s="8" t="s">
        <v>486</v>
      </c>
      <c r="C4" t="s">
        <v>146</v>
      </c>
      <c r="D4">
        <v>34</v>
      </c>
      <c r="H4" s="1">
        <v>17</v>
      </c>
      <c r="I4" t="s">
        <v>113</v>
      </c>
      <c r="J4">
        <v>100</v>
      </c>
      <c r="K4">
        <v>2</v>
      </c>
      <c r="S4" s="26"/>
      <c r="X4" s="9"/>
      <c r="AB4">
        <f t="shared" si="0"/>
        <v>1</v>
      </c>
      <c r="AC4">
        <f t="shared" si="1"/>
        <v>1</v>
      </c>
    </row>
    <row r="5" spans="1:29" s="11" customFormat="1" x14ac:dyDescent="0.25">
      <c r="A5" s="11">
        <f>SUM(D2:D5)</f>
        <v>271</v>
      </c>
      <c r="B5" s="10" t="s">
        <v>487</v>
      </c>
      <c r="C5" s="11" t="s">
        <v>69</v>
      </c>
      <c r="D5" s="11">
        <v>105</v>
      </c>
      <c r="E5" s="11" t="s">
        <v>93</v>
      </c>
      <c r="F5" s="11" t="s">
        <v>95</v>
      </c>
      <c r="G5" s="11" t="s">
        <v>541</v>
      </c>
      <c r="H5" s="28">
        <f t="shared" ref="H5:H44" si="2">D5/K5</f>
        <v>35</v>
      </c>
      <c r="I5" s="11" t="s">
        <v>321</v>
      </c>
      <c r="J5" s="11">
        <v>112</v>
      </c>
      <c r="K5" s="11">
        <v>3</v>
      </c>
      <c r="X5" s="12"/>
      <c r="AB5">
        <f t="shared" si="0"/>
        <v>1</v>
      </c>
      <c r="AC5">
        <f t="shared" si="1"/>
        <v>1</v>
      </c>
    </row>
    <row r="6" spans="1:29" x14ac:dyDescent="0.25">
      <c r="B6" s="8" t="s">
        <v>488</v>
      </c>
      <c r="C6" t="s">
        <v>45</v>
      </c>
      <c r="D6">
        <v>299</v>
      </c>
      <c r="E6" t="s">
        <v>94</v>
      </c>
      <c r="F6">
        <v>20</v>
      </c>
      <c r="G6" t="s">
        <v>220</v>
      </c>
      <c r="H6" s="1">
        <f t="shared" si="2"/>
        <v>166.11111111111111</v>
      </c>
      <c r="I6" t="s">
        <v>222</v>
      </c>
      <c r="J6">
        <v>100</v>
      </c>
      <c r="K6">
        <v>1.8</v>
      </c>
      <c r="X6" s="9"/>
      <c r="AB6">
        <f t="shared" si="0"/>
        <v>1</v>
      </c>
      <c r="AC6">
        <f t="shared" si="1"/>
        <v>1</v>
      </c>
    </row>
    <row r="7" spans="1:29" x14ac:dyDescent="0.25">
      <c r="B7" s="8" t="s">
        <v>489</v>
      </c>
      <c r="C7" t="s">
        <v>526</v>
      </c>
      <c r="D7">
        <v>72</v>
      </c>
      <c r="H7" s="1">
        <v>36</v>
      </c>
      <c r="I7" t="s">
        <v>244</v>
      </c>
      <c r="J7">
        <v>90</v>
      </c>
      <c r="K7">
        <v>2</v>
      </c>
      <c r="X7" s="9"/>
      <c r="AB7">
        <f t="shared" si="0"/>
        <v>1</v>
      </c>
      <c r="AC7">
        <f t="shared" si="1"/>
        <v>1</v>
      </c>
    </row>
    <row r="8" spans="1:29" x14ac:dyDescent="0.25">
      <c r="B8" s="8" t="s">
        <v>490</v>
      </c>
      <c r="C8" t="s">
        <v>146</v>
      </c>
      <c r="D8">
        <v>62</v>
      </c>
      <c r="H8" s="1">
        <v>24</v>
      </c>
      <c r="I8" t="s">
        <v>778</v>
      </c>
      <c r="J8">
        <v>100</v>
      </c>
      <c r="K8">
        <v>2.6</v>
      </c>
      <c r="X8" s="9"/>
      <c r="AB8">
        <f t="shared" si="0"/>
        <v>1</v>
      </c>
      <c r="AC8">
        <f t="shared" si="1"/>
        <v>1</v>
      </c>
    </row>
    <row r="9" spans="1:29" x14ac:dyDescent="0.25">
      <c r="B9" s="8" t="s">
        <v>491</v>
      </c>
      <c r="C9" t="s">
        <v>42</v>
      </c>
      <c r="D9">
        <v>110</v>
      </c>
      <c r="E9" t="s">
        <v>93</v>
      </c>
      <c r="F9">
        <v>10</v>
      </c>
      <c r="G9" t="s">
        <v>540</v>
      </c>
      <c r="H9">
        <v>35</v>
      </c>
      <c r="I9" t="s">
        <v>113</v>
      </c>
      <c r="J9">
        <v>100</v>
      </c>
      <c r="K9">
        <v>1.8</v>
      </c>
      <c r="O9" s="1">
        <v>22</v>
      </c>
      <c r="P9" t="s">
        <v>222</v>
      </c>
      <c r="R9">
        <v>1.8</v>
      </c>
      <c r="X9" s="9"/>
      <c r="AB9">
        <f t="shared" si="0"/>
        <v>1</v>
      </c>
      <c r="AC9">
        <f t="shared" si="1"/>
        <v>1</v>
      </c>
    </row>
    <row r="10" spans="1:29" x14ac:dyDescent="0.25">
      <c r="B10" s="8" t="s">
        <v>492</v>
      </c>
      <c r="C10" t="s">
        <v>320</v>
      </c>
      <c r="D10">
        <v>27</v>
      </c>
      <c r="H10" s="1">
        <v>3</v>
      </c>
      <c r="I10" t="s">
        <v>321</v>
      </c>
      <c r="J10">
        <v>112</v>
      </c>
      <c r="K10">
        <v>3</v>
      </c>
      <c r="O10">
        <v>9</v>
      </c>
      <c r="P10" t="s">
        <v>244</v>
      </c>
      <c r="R10">
        <v>2</v>
      </c>
      <c r="X10" s="9"/>
      <c r="AB10">
        <f t="shared" si="0"/>
        <v>1</v>
      </c>
      <c r="AC10">
        <f t="shared" si="1"/>
        <v>1</v>
      </c>
    </row>
    <row r="11" spans="1:29" x14ac:dyDescent="0.25">
      <c r="B11" s="8" t="s">
        <v>493</v>
      </c>
      <c r="C11" t="s">
        <v>34</v>
      </c>
      <c r="D11">
        <v>155</v>
      </c>
      <c r="E11" t="s">
        <v>94</v>
      </c>
      <c r="F11">
        <v>5</v>
      </c>
      <c r="G11" t="s">
        <v>539</v>
      </c>
      <c r="H11" s="1">
        <f t="shared" si="2"/>
        <v>46.969696969696969</v>
      </c>
      <c r="I11" t="s">
        <v>111</v>
      </c>
      <c r="J11">
        <v>112</v>
      </c>
      <c r="K11">
        <v>3.3</v>
      </c>
      <c r="X11" s="9"/>
      <c r="AB11">
        <f t="shared" si="0"/>
        <v>1</v>
      </c>
      <c r="AC11">
        <f t="shared" si="1"/>
        <v>1</v>
      </c>
    </row>
    <row r="12" spans="1:29" x14ac:dyDescent="0.25">
      <c r="B12" s="8" t="s">
        <v>494</v>
      </c>
      <c r="C12" t="s">
        <v>164</v>
      </c>
      <c r="D12">
        <v>90</v>
      </c>
      <c r="E12" t="s">
        <v>94</v>
      </c>
      <c r="F12">
        <v>15</v>
      </c>
      <c r="G12" t="s">
        <v>538</v>
      </c>
      <c r="H12" s="1">
        <f t="shared" si="2"/>
        <v>30</v>
      </c>
      <c r="I12" t="s">
        <v>321</v>
      </c>
      <c r="J12">
        <v>112</v>
      </c>
      <c r="K12">
        <v>3</v>
      </c>
      <c r="X12" s="9"/>
      <c r="AB12">
        <f t="shared" si="0"/>
        <v>1</v>
      </c>
      <c r="AC12">
        <f t="shared" si="1"/>
        <v>1</v>
      </c>
    </row>
    <row r="13" spans="1:29" x14ac:dyDescent="0.25">
      <c r="B13" s="8" t="s">
        <v>495</v>
      </c>
      <c r="C13" t="s">
        <v>528</v>
      </c>
      <c r="D13">
        <v>94</v>
      </c>
      <c r="E13" t="s">
        <v>94</v>
      </c>
      <c r="F13">
        <v>15</v>
      </c>
      <c r="G13" t="s">
        <v>537</v>
      </c>
      <c r="H13" s="1">
        <f t="shared" si="2"/>
        <v>47</v>
      </c>
      <c r="I13" t="s">
        <v>244</v>
      </c>
      <c r="J13">
        <v>90</v>
      </c>
      <c r="K13">
        <v>2</v>
      </c>
      <c r="X13" s="9"/>
      <c r="AB13">
        <f t="shared" si="0"/>
        <v>1</v>
      </c>
      <c r="AC13">
        <f t="shared" si="1"/>
        <v>1</v>
      </c>
    </row>
    <row r="14" spans="1:29" x14ac:dyDescent="0.25">
      <c r="B14" s="8" t="s">
        <v>496</v>
      </c>
      <c r="C14" t="s">
        <v>448</v>
      </c>
      <c r="D14">
        <v>42</v>
      </c>
      <c r="F14">
        <v>7</v>
      </c>
      <c r="G14" t="s">
        <v>872</v>
      </c>
      <c r="H14" s="1">
        <v>14</v>
      </c>
      <c r="I14" t="s">
        <v>233</v>
      </c>
      <c r="J14">
        <v>90</v>
      </c>
      <c r="K14">
        <v>3</v>
      </c>
      <c r="X14" s="9"/>
      <c r="AB14">
        <f t="shared" si="0"/>
        <v>1</v>
      </c>
      <c r="AC14">
        <f t="shared" si="1"/>
        <v>1</v>
      </c>
    </row>
    <row r="15" spans="1:29" x14ac:dyDescent="0.25">
      <c r="B15" s="8" t="s">
        <v>497</v>
      </c>
      <c r="C15" t="s">
        <v>140</v>
      </c>
      <c r="D15">
        <v>51</v>
      </c>
      <c r="E15" t="s">
        <v>93</v>
      </c>
      <c r="G15" t="s">
        <v>865</v>
      </c>
      <c r="H15" s="1">
        <v>17</v>
      </c>
      <c r="I15" t="s">
        <v>321</v>
      </c>
      <c r="J15">
        <v>112</v>
      </c>
      <c r="K15">
        <v>3</v>
      </c>
      <c r="X15" s="9"/>
      <c r="AB15">
        <f t="shared" si="0"/>
        <v>1</v>
      </c>
      <c r="AC15">
        <f t="shared" si="1"/>
        <v>1</v>
      </c>
    </row>
    <row r="16" spans="1:29" x14ac:dyDescent="0.25">
      <c r="B16" s="8" t="s">
        <v>498</v>
      </c>
      <c r="C16" t="s">
        <v>140</v>
      </c>
      <c r="D16">
        <v>99</v>
      </c>
      <c r="E16" t="s">
        <v>94</v>
      </c>
      <c r="F16">
        <v>8</v>
      </c>
      <c r="G16" t="s">
        <v>536</v>
      </c>
      <c r="H16" s="1">
        <f t="shared" si="2"/>
        <v>33</v>
      </c>
      <c r="I16" t="s">
        <v>321</v>
      </c>
      <c r="J16">
        <v>112</v>
      </c>
      <c r="K16">
        <v>3</v>
      </c>
      <c r="X16" s="9"/>
      <c r="AB16">
        <f t="shared" si="0"/>
        <v>1</v>
      </c>
      <c r="AC16">
        <f t="shared" si="1"/>
        <v>1</v>
      </c>
    </row>
    <row r="17" spans="1:29" x14ac:dyDescent="0.25">
      <c r="B17" s="8" t="s">
        <v>499</v>
      </c>
      <c r="C17" t="s">
        <v>446</v>
      </c>
      <c r="D17">
        <v>87</v>
      </c>
      <c r="E17" t="s">
        <v>94</v>
      </c>
      <c r="F17">
        <v>10</v>
      </c>
      <c r="G17" t="s">
        <v>457</v>
      </c>
      <c r="H17" s="1">
        <f t="shared" si="2"/>
        <v>29</v>
      </c>
      <c r="I17" t="s">
        <v>233</v>
      </c>
      <c r="J17">
        <v>90</v>
      </c>
      <c r="K17">
        <v>3</v>
      </c>
      <c r="X17" s="9"/>
      <c r="AB17">
        <f t="shared" si="0"/>
        <v>1</v>
      </c>
      <c r="AC17">
        <f t="shared" si="1"/>
        <v>1</v>
      </c>
    </row>
    <row r="18" spans="1:29" s="11" customFormat="1" x14ac:dyDescent="0.25">
      <c r="A18" s="11">
        <f>SUM(D6:D18)</f>
        <v>1295</v>
      </c>
      <c r="B18" s="10" t="s">
        <v>499</v>
      </c>
      <c r="C18" s="11" t="s">
        <v>144</v>
      </c>
      <c r="D18" s="11">
        <v>107</v>
      </c>
      <c r="E18" s="11" t="s">
        <v>93</v>
      </c>
      <c r="F18" s="11">
        <v>5</v>
      </c>
      <c r="G18" s="11" t="s">
        <v>535</v>
      </c>
      <c r="H18" s="28">
        <f t="shared" si="2"/>
        <v>53.5</v>
      </c>
      <c r="I18" s="11" t="s">
        <v>244</v>
      </c>
      <c r="J18" s="11">
        <v>90</v>
      </c>
      <c r="K18" s="11">
        <v>2</v>
      </c>
      <c r="P18" s="11" t="s">
        <v>222</v>
      </c>
      <c r="R18" s="11">
        <v>1.8</v>
      </c>
      <c r="V18" s="11" t="s">
        <v>233</v>
      </c>
      <c r="X18" s="12"/>
      <c r="AB18">
        <f t="shared" si="0"/>
        <v>1</v>
      </c>
      <c r="AC18">
        <f t="shared" si="1"/>
        <v>1</v>
      </c>
    </row>
    <row r="19" spans="1:29" x14ac:dyDescent="0.25">
      <c r="B19" s="8" t="s">
        <v>500</v>
      </c>
      <c r="C19" t="s">
        <v>528</v>
      </c>
      <c r="D19">
        <v>93</v>
      </c>
      <c r="E19" t="s">
        <v>94</v>
      </c>
      <c r="F19">
        <v>15</v>
      </c>
      <c r="G19" t="s">
        <v>534</v>
      </c>
      <c r="H19" s="1">
        <f t="shared" si="2"/>
        <v>31</v>
      </c>
      <c r="I19" t="s">
        <v>321</v>
      </c>
      <c r="J19">
        <v>112</v>
      </c>
      <c r="K19">
        <v>3</v>
      </c>
      <c r="X19" s="9"/>
      <c r="AB19">
        <f t="shared" si="0"/>
        <v>1</v>
      </c>
      <c r="AC19">
        <f t="shared" si="1"/>
        <v>1</v>
      </c>
    </row>
    <row r="20" spans="1:29" x14ac:dyDescent="0.25">
      <c r="B20" s="8" t="s">
        <v>501</v>
      </c>
      <c r="C20" t="s">
        <v>528</v>
      </c>
      <c r="D20">
        <v>105</v>
      </c>
      <c r="E20" t="s">
        <v>93</v>
      </c>
      <c r="F20">
        <v>10</v>
      </c>
      <c r="G20" t="s">
        <v>533</v>
      </c>
      <c r="H20" s="1">
        <f t="shared" si="2"/>
        <v>35</v>
      </c>
      <c r="I20" t="s">
        <v>321</v>
      </c>
      <c r="J20">
        <v>112</v>
      </c>
      <c r="K20">
        <v>3</v>
      </c>
      <c r="X20" s="9"/>
      <c r="AB20">
        <f t="shared" si="0"/>
        <v>1</v>
      </c>
      <c r="AC20">
        <f t="shared" si="1"/>
        <v>1</v>
      </c>
    </row>
    <row r="21" spans="1:29" x14ac:dyDescent="0.25">
      <c r="B21" s="8" t="s">
        <v>502</v>
      </c>
      <c r="C21" t="s">
        <v>142</v>
      </c>
      <c r="D21">
        <v>50</v>
      </c>
      <c r="G21" t="s">
        <v>869</v>
      </c>
      <c r="H21" s="1">
        <v>25</v>
      </c>
      <c r="I21" t="s">
        <v>244</v>
      </c>
      <c r="J21">
        <v>90</v>
      </c>
      <c r="K21">
        <v>2</v>
      </c>
      <c r="X21" s="9"/>
      <c r="AB21">
        <f t="shared" si="0"/>
        <v>1</v>
      </c>
      <c r="AC21">
        <f t="shared" si="1"/>
        <v>1</v>
      </c>
    </row>
    <row r="22" spans="1:29" x14ac:dyDescent="0.25">
      <c r="B22" s="8" t="s">
        <v>503</v>
      </c>
      <c r="C22" t="s">
        <v>69</v>
      </c>
      <c r="D22">
        <v>21</v>
      </c>
      <c r="H22" s="1">
        <f>D22/K22</f>
        <v>7</v>
      </c>
      <c r="I22" t="s">
        <v>321</v>
      </c>
      <c r="J22">
        <v>112</v>
      </c>
      <c r="K22">
        <v>3</v>
      </c>
      <c r="X22" s="9"/>
      <c r="AB22">
        <f t="shared" si="0"/>
        <v>1</v>
      </c>
      <c r="AC22">
        <f t="shared" si="1"/>
        <v>1</v>
      </c>
    </row>
    <row r="23" spans="1:29" x14ac:dyDescent="0.25">
      <c r="B23" s="8" t="s">
        <v>504</v>
      </c>
      <c r="C23" t="s">
        <v>176</v>
      </c>
      <c r="D23">
        <v>52</v>
      </c>
      <c r="G23" t="s">
        <v>871</v>
      </c>
      <c r="H23" s="1">
        <v>16</v>
      </c>
      <c r="I23" t="s">
        <v>111</v>
      </c>
      <c r="J23">
        <v>112</v>
      </c>
      <c r="K23">
        <v>3.3</v>
      </c>
      <c r="X23" s="9"/>
      <c r="AB23">
        <f t="shared" si="0"/>
        <v>1</v>
      </c>
      <c r="AC23">
        <f t="shared" si="1"/>
        <v>1</v>
      </c>
    </row>
    <row r="24" spans="1:29" x14ac:dyDescent="0.25">
      <c r="B24" s="8" t="s">
        <v>505</v>
      </c>
      <c r="C24" t="s">
        <v>142</v>
      </c>
      <c r="D24">
        <v>100</v>
      </c>
      <c r="H24" s="1">
        <f>D24/K24</f>
        <v>50</v>
      </c>
      <c r="I24" t="s">
        <v>113</v>
      </c>
      <c r="J24">
        <v>100</v>
      </c>
      <c r="K24">
        <v>2</v>
      </c>
      <c r="X24" s="9"/>
      <c r="AB24">
        <f t="shared" si="0"/>
        <v>1</v>
      </c>
      <c r="AC24">
        <f t="shared" si="1"/>
        <v>1</v>
      </c>
    </row>
    <row r="25" spans="1:29" x14ac:dyDescent="0.25">
      <c r="B25" s="8" t="s">
        <v>506</v>
      </c>
      <c r="C25" t="s">
        <v>138</v>
      </c>
      <c r="D25">
        <v>42</v>
      </c>
      <c r="H25" s="1">
        <v>14</v>
      </c>
      <c r="I25" t="s">
        <v>321</v>
      </c>
      <c r="J25">
        <v>112</v>
      </c>
      <c r="K25">
        <v>3</v>
      </c>
      <c r="X25" s="9"/>
      <c r="AB25">
        <f t="shared" si="0"/>
        <v>1</v>
      </c>
      <c r="AC25">
        <f t="shared" si="1"/>
        <v>1</v>
      </c>
    </row>
    <row r="26" spans="1:29" x14ac:dyDescent="0.25">
      <c r="B26" s="8" t="s">
        <v>506</v>
      </c>
      <c r="C26" t="s">
        <v>142</v>
      </c>
      <c r="D26">
        <v>48</v>
      </c>
      <c r="F26">
        <v>2</v>
      </c>
      <c r="H26" s="1">
        <v>24</v>
      </c>
      <c r="I26" t="s">
        <v>113</v>
      </c>
      <c r="J26">
        <v>100</v>
      </c>
      <c r="K26">
        <v>2</v>
      </c>
      <c r="X26" s="9"/>
      <c r="AB26">
        <f t="shared" si="0"/>
        <v>1</v>
      </c>
      <c r="AC26">
        <f t="shared" si="1"/>
        <v>1</v>
      </c>
    </row>
    <row r="27" spans="1:29" x14ac:dyDescent="0.25">
      <c r="B27" s="8" t="s">
        <v>507</v>
      </c>
      <c r="C27" t="s">
        <v>20</v>
      </c>
      <c r="D27">
        <v>80</v>
      </c>
      <c r="E27" t="s">
        <v>94</v>
      </c>
      <c r="F27">
        <v>6</v>
      </c>
      <c r="G27" t="s">
        <v>220</v>
      </c>
      <c r="H27" s="1">
        <f t="shared" si="2"/>
        <v>40</v>
      </c>
      <c r="I27" t="s">
        <v>113</v>
      </c>
      <c r="J27">
        <v>100</v>
      </c>
      <c r="K27">
        <v>2</v>
      </c>
      <c r="X27" s="9"/>
      <c r="AB27">
        <f t="shared" si="0"/>
        <v>1</v>
      </c>
      <c r="AC27">
        <f t="shared" si="1"/>
        <v>1</v>
      </c>
    </row>
    <row r="28" spans="1:29" x14ac:dyDescent="0.25">
      <c r="B28" s="8" t="s">
        <v>508</v>
      </c>
      <c r="C28" t="s">
        <v>20</v>
      </c>
      <c r="D28">
        <v>60</v>
      </c>
      <c r="E28" t="s">
        <v>93</v>
      </c>
      <c r="F28" t="s">
        <v>95</v>
      </c>
      <c r="G28" t="s">
        <v>372</v>
      </c>
      <c r="H28" s="1">
        <f t="shared" si="2"/>
        <v>30</v>
      </c>
      <c r="I28" t="s">
        <v>113</v>
      </c>
      <c r="J28">
        <v>100</v>
      </c>
      <c r="K28">
        <v>2</v>
      </c>
      <c r="X28" s="9"/>
      <c r="AB28">
        <f t="shared" si="0"/>
        <v>1</v>
      </c>
      <c r="AC28">
        <f t="shared" si="1"/>
        <v>1</v>
      </c>
    </row>
    <row r="29" spans="1:29" x14ac:dyDescent="0.25">
      <c r="B29" s="8" t="s">
        <v>509</v>
      </c>
      <c r="C29" t="s">
        <v>206</v>
      </c>
      <c r="D29">
        <v>20</v>
      </c>
      <c r="E29" t="s">
        <v>93</v>
      </c>
      <c r="F29">
        <v>15</v>
      </c>
      <c r="G29" t="s">
        <v>870</v>
      </c>
      <c r="H29" s="1">
        <v>10</v>
      </c>
      <c r="I29" t="s">
        <v>113</v>
      </c>
      <c r="J29">
        <v>100</v>
      </c>
      <c r="K29">
        <v>2</v>
      </c>
      <c r="X29" s="9"/>
      <c r="AB29">
        <f t="shared" si="0"/>
        <v>1</v>
      </c>
      <c r="AC29">
        <f t="shared" si="1"/>
        <v>1</v>
      </c>
    </row>
    <row r="30" spans="1:29" x14ac:dyDescent="0.25">
      <c r="B30" s="8" t="s">
        <v>510</v>
      </c>
      <c r="C30" t="s">
        <v>20</v>
      </c>
      <c r="D30">
        <v>400</v>
      </c>
      <c r="E30" t="s">
        <v>94</v>
      </c>
      <c r="F30">
        <v>3</v>
      </c>
      <c r="G30" t="s">
        <v>532</v>
      </c>
      <c r="H30" s="1">
        <f t="shared" si="2"/>
        <v>200</v>
      </c>
      <c r="I30" t="s">
        <v>110</v>
      </c>
      <c r="J30">
        <v>110</v>
      </c>
      <c r="K30">
        <v>2</v>
      </c>
      <c r="X30" s="9"/>
      <c r="AB30">
        <f t="shared" si="0"/>
        <v>1</v>
      </c>
      <c r="AC30">
        <f t="shared" si="1"/>
        <v>1</v>
      </c>
    </row>
    <row r="31" spans="1:29" x14ac:dyDescent="0.25">
      <c r="B31" s="8" t="s">
        <v>511</v>
      </c>
      <c r="C31" t="s">
        <v>527</v>
      </c>
      <c r="D31">
        <v>129</v>
      </c>
      <c r="E31" t="s">
        <v>94</v>
      </c>
      <c r="F31">
        <v>15</v>
      </c>
      <c r="G31" t="s">
        <v>75</v>
      </c>
      <c r="H31" s="1">
        <f t="shared" si="2"/>
        <v>43</v>
      </c>
      <c r="I31" t="s">
        <v>321</v>
      </c>
      <c r="J31">
        <v>112</v>
      </c>
      <c r="K31">
        <v>3</v>
      </c>
      <c r="X31" s="9"/>
      <c r="AB31">
        <f t="shared" si="0"/>
        <v>1</v>
      </c>
      <c r="AC31">
        <f t="shared" si="1"/>
        <v>1</v>
      </c>
    </row>
    <row r="32" spans="1:29" s="11" customFormat="1" x14ac:dyDescent="0.25">
      <c r="A32" s="11">
        <f>SUM(D19:D32)</f>
        <v>1250</v>
      </c>
      <c r="B32" s="10" t="s">
        <v>512</v>
      </c>
      <c r="C32" s="11" t="s">
        <v>164</v>
      </c>
      <c r="D32" s="11">
        <v>50</v>
      </c>
      <c r="E32" s="11" t="s">
        <v>93</v>
      </c>
      <c r="F32" s="11">
        <v>17</v>
      </c>
      <c r="H32" s="28">
        <v>17</v>
      </c>
      <c r="I32" s="11" t="s">
        <v>321</v>
      </c>
      <c r="J32" s="11">
        <v>112</v>
      </c>
      <c r="K32" s="11">
        <v>3</v>
      </c>
      <c r="X32" s="12"/>
      <c r="AB32">
        <f t="shared" si="0"/>
        <v>1</v>
      </c>
      <c r="AC32">
        <f t="shared" si="1"/>
        <v>1</v>
      </c>
    </row>
    <row r="33" spans="2:29" x14ac:dyDescent="0.25">
      <c r="B33" s="8" t="s">
        <v>513</v>
      </c>
      <c r="C33" t="s">
        <v>526</v>
      </c>
      <c r="D33">
        <v>108</v>
      </c>
      <c r="E33" t="s">
        <v>93</v>
      </c>
      <c r="F33">
        <v>10</v>
      </c>
      <c r="G33" t="s">
        <v>531</v>
      </c>
      <c r="H33" s="1">
        <f t="shared" si="2"/>
        <v>36</v>
      </c>
      <c r="I33" t="s">
        <v>321</v>
      </c>
      <c r="J33">
        <v>112</v>
      </c>
      <c r="K33">
        <v>3</v>
      </c>
      <c r="X33" s="9"/>
      <c r="AB33">
        <f t="shared" si="0"/>
        <v>1</v>
      </c>
      <c r="AC33">
        <f t="shared" si="1"/>
        <v>1</v>
      </c>
    </row>
    <row r="34" spans="2:29" x14ac:dyDescent="0.25">
      <c r="B34" s="8" t="s">
        <v>514</v>
      </c>
      <c r="C34" t="s">
        <v>176</v>
      </c>
      <c r="D34">
        <v>23</v>
      </c>
      <c r="H34" s="1">
        <f>D34/K34</f>
        <v>6.9696969696969697</v>
      </c>
      <c r="I34" t="s">
        <v>111</v>
      </c>
      <c r="J34">
        <v>112</v>
      </c>
      <c r="K34">
        <v>3.3</v>
      </c>
      <c r="X34" s="9"/>
      <c r="AB34">
        <f t="shared" si="0"/>
        <v>1</v>
      </c>
      <c r="AC34">
        <f t="shared" si="1"/>
        <v>1</v>
      </c>
    </row>
    <row r="35" spans="2:29" x14ac:dyDescent="0.25">
      <c r="B35" s="8" t="s">
        <v>515</v>
      </c>
      <c r="C35" t="s">
        <v>176</v>
      </c>
      <c r="D35">
        <v>44</v>
      </c>
      <c r="H35" s="1">
        <f>D35/K35</f>
        <v>22</v>
      </c>
      <c r="I35" t="s">
        <v>113</v>
      </c>
      <c r="J35">
        <v>100</v>
      </c>
      <c r="K35">
        <v>2</v>
      </c>
      <c r="X35" s="9"/>
      <c r="AB35">
        <f t="shared" si="0"/>
        <v>1</v>
      </c>
      <c r="AC35">
        <f t="shared" si="1"/>
        <v>1</v>
      </c>
    </row>
    <row r="36" spans="2:29" x14ac:dyDescent="0.25">
      <c r="B36" s="8" t="s">
        <v>515</v>
      </c>
      <c r="C36" t="s">
        <v>45</v>
      </c>
      <c r="D36">
        <v>24</v>
      </c>
      <c r="H36" s="1">
        <f>D36/K36</f>
        <v>12</v>
      </c>
      <c r="I36" t="s">
        <v>113</v>
      </c>
      <c r="J36">
        <v>100</v>
      </c>
      <c r="K36">
        <v>2</v>
      </c>
      <c r="X36" s="9"/>
      <c r="AB36">
        <f t="shared" si="0"/>
        <v>1</v>
      </c>
      <c r="AC36">
        <f t="shared" si="1"/>
        <v>1</v>
      </c>
    </row>
    <row r="37" spans="2:29" x14ac:dyDescent="0.25">
      <c r="B37" s="8" t="s">
        <v>516</v>
      </c>
      <c r="C37" t="s">
        <v>140</v>
      </c>
      <c r="D37">
        <v>59</v>
      </c>
      <c r="H37" s="1">
        <v>23</v>
      </c>
      <c r="I37" t="s">
        <v>222</v>
      </c>
      <c r="K37">
        <v>1.8</v>
      </c>
      <c r="O37">
        <v>2</v>
      </c>
      <c r="P37" t="s">
        <v>244</v>
      </c>
      <c r="R37">
        <v>2</v>
      </c>
      <c r="U37">
        <v>4</v>
      </c>
      <c r="V37" t="s">
        <v>111</v>
      </c>
      <c r="X37" s="9"/>
      <c r="AB37">
        <f t="shared" si="0"/>
        <v>1</v>
      </c>
      <c r="AC37">
        <f t="shared" si="1"/>
        <v>1</v>
      </c>
    </row>
    <row r="38" spans="2:29" x14ac:dyDescent="0.25">
      <c r="B38" s="8" t="s">
        <v>517</v>
      </c>
      <c r="C38" t="s">
        <v>206</v>
      </c>
      <c r="D38">
        <v>51</v>
      </c>
      <c r="H38" s="1"/>
      <c r="X38" s="9"/>
      <c r="AB38">
        <f t="shared" si="0"/>
        <v>0</v>
      </c>
      <c r="AC38">
        <f t="shared" si="1"/>
        <v>1</v>
      </c>
    </row>
    <row r="39" spans="2:29" x14ac:dyDescent="0.25">
      <c r="B39" s="8" t="s">
        <v>518</v>
      </c>
      <c r="C39" t="s">
        <v>20</v>
      </c>
      <c r="D39">
        <v>350</v>
      </c>
      <c r="E39" t="s">
        <v>94</v>
      </c>
      <c r="F39" t="s">
        <v>95</v>
      </c>
      <c r="G39" t="s">
        <v>530</v>
      </c>
      <c r="H39" s="1">
        <f t="shared" si="2"/>
        <v>175</v>
      </c>
      <c r="I39" t="s">
        <v>92</v>
      </c>
      <c r="J39" t="s">
        <v>95</v>
      </c>
      <c r="K39">
        <v>2</v>
      </c>
      <c r="X39" s="9"/>
      <c r="AB39">
        <f t="shared" si="0"/>
        <v>1</v>
      </c>
      <c r="AC39">
        <f t="shared" si="1"/>
        <v>1</v>
      </c>
    </row>
    <row r="40" spans="2:29" x14ac:dyDescent="0.25">
      <c r="B40" s="8" t="s">
        <v>519</v>
      </c>
      <c r="C40" t="s">
        <v>165</v>
      </c>
      <c r="D40">
        <v>50</v>
      </c>
      <c r="E40" t="s">
        <v>94</v>
      </c>
      <c r="F40">
        <v>5</v>
      </c>
      <c r="G40" t="s">
        <v>529</v>
      </c>
      <c r="H40" s="1">
        <f t="shared" si="2"/>
        <v>15.151515151515152</v>
      </c>
      <c r="I40" t="s">
        <v>111</v>
      </c>
      <c r="J40">
        <v>112</v>
      </c>
      <c r="K40">
        <v>3.3</v>
      </c>
      <c r="X40" s="9"/>
      <c r="AB40">
        <f t="shared" si="0"/>
        <v>1</v>
      </c>
      <c r="AC40">
        <f t="shared" si="1"/>
        <v>1</v>
      </c>
    </row>
    <row r="41" spans="2:29" x14ac:dyDescent="0.25">
      <c r="B41" s="8" t="s">
        <v>520</v>
      </c>
      <c r="C41" t="s">
        <v>20</v>
      </c>
      <c r="D41">
        <v>220</v>
      </c>
      <c r="E41" t="s">
        <v>94</v>
      </c>
      <c r="F41">
        <v>3</v>
      </c>
      <c r="G41" t="s">
        <v>220</v>
      </c>
      <c r="H41" s="1">
        <f t="shared" si="2"/>
        <v>110</v>
      </c>
      <c r="I41" t="s">
        <v>113</v>
      </c>
      <c r="J41">
        <v>100</v>
      </c>
      <c r="K41">
        <v>2</v>
      </c>
      <c r="X41" s="9"/>
      <c r="AB41">
        <f t="shared" si="0"/>
        <v>1</v>
      </c>
      <c r="AC41">
        <f t="shared" si="1"/>
        <v>1</v>
      </c>
    </row>
    <row r="42" spans="2:29" x14ac:dyDescent="0.25">
      <c r="B42" s="8" t="s">
        <v>521</v>
      </c>
      <c r="C42" t="s">
        <v>207</v>
      </c>
      <c r="D42">
        <v>117</v>
      </c>
      <c r="E42" t="s">
        <v>95</v>
      </c>
      <c r="F42">
        <v>10</v>
      </c>
      <c r="G42" t="s">
        <v>543</v>
      </c>
      <c r="H42" s="1">
        <v>38</v>
      </c>
      <c r="I42" t="s">
        <v>321</v>
      </c>
      <c r="J42">
        <v>112</v>
      </c>
      <c r="K42">
        <v>3</v>
      </c>
      <c r="X42" s="9"/>
      <c r="AB42">
        <f t="shared" si="0"/>
        <v>1</v>
      </c>
      <c r="AC42">
        <f t="shared" si="1"/>
        <v>1</v>
      </c>
    </row>
    <row r="43" spans="2:29" x14ac:dyDescent="0.25">
      <c r="B43" s="8" t="s">
        <v>521</v>
      </c>
      <c r="C43" t="s">
        <v>20</v>
      </c>
      <c r="D43">
        <v>150</v>
      </c>
      <c r="E43" t="s">
        <v>94</v>
      </c>
      <c r="F43">
        <v>10</v>
      </c>
      <c r="G43" t="s">
        <v>460</v>
      </c>
      <c r="H43" s="1">
        <f t="shared" si="2"/>
        <v>75</v>
      </c>
      <c r="I43" t="s">
        <v>110</v>
      </c>
      <c r="J43">
        <v>110</v>
      </c>
      <c r="K43">
        <v>2</v>
      </c>
      <c r="X43" s="9"/>
      <c r="AB43">
        <f t="shared" si="0"/>
        <v>1</v>
      </c>
      <c r="AC43">
        <f t="shared" si="1"/>
        <v>1</v>
      </c>
    </row>
    <row r="44" spans="2:29" x14ac:dyDescent="0.25">
      <c r="B44" s="8" t="s">
        <v>522</v>
      </c>
      <c r="C44" t="s">
        <v>20</v>
      </c>
      <c r="D44">
        <v>110</v>
      </c>
      <c r="E44" t="s">
        <v>93</v>
      </c>
      <c r="F44">
        <v>5</v>
      </c>
      <c r="G44" t="s">
        <v>95</v>
      </c>
      <c r="H44" s="1">
        <f t="shared" si="2"/>
        <v>55</v>
      </c>
      <c r="I44" t="s">
        <v>113</v>
      </c>
      <c r="J44">
        <v>100</v>
      </c>
      <c r="K44">
        <v>2</v>
      </c>
      <c r="X44" s="9"/>
      <c r="AB44">
        <f t="shared" si="0"/>
        <v>1</v>
      </c>
      <c r="AC44">
        <f t="shared" si="1"/>
        <v>1</v>
      </c>
    </row>
    <row r="45" spans="2:29" x14ac:dyDescent="0.25">
      <c r="B45" s="8" t="s">
        <v>523</v>
      </c>
      <c r="C45" t="s">
        <v>628</v>
      </c>
      <c r="D45">
        <v>36</v>
      </c>
      <c r="H45" s="1"/>
      <c r="X45" s="9"/>
      <c r="AB45">
        <f t="shared" si="0"/>
        <v>0</v>
      </c>
      <c r="AC45">
        <f t="shared" si="1"/>
        <v>1</v>
      </c>
    </row>
    <row r="46" spans="2:29" x14ac:dyDescent="0.25">
      <c r="B46" s="8" t="s">
        <v>523</v>
      </c>
      <c r="C46" t="s">
        <v>161</v>
      </c>
      <c r="D46">
        <v>40</v>
      </c>
      <c r="E46" t="s">
        <v>93</v>
      </c>
      <c r="F46">
        <v>15</v>
      </c>
      <c r="G46" t="s">
        <v>866</v>
      </c>
      <c r="H46" s="1">
        <v>20</v>
      </c>
      <c r="I46" t="s">
        <v>110</v>
      </c>
      <c r="J46">
        <v>110</v>
      </c>
      <c r="K46">
        <v>2</v>
      </c>
      <c r="X46" s="9"/>
      <c r="AB46">
        <f t="shared" si="0"/>
        <v>1</v>
      </c>
      <c r="AC46">
        <f t="shared" si="1"/>
        <v>1</v>
      </c>
    </row>
    <row r="47" spans="2:29" x14ac:dyDescent="0.25">
      <c r="B47" s="8" t="s">
        <v>524</v>
      </c>
      <c r="C47" t="s">
        <v>164</v>
      </c>
      <c r="D47">
        <v>39</v>
      </c>
      <c r="E47" t="s">
        <v>93</v>
      </c>
      <c r="F47">
        <v>17</v>
      </c>
      <c r="G47" t="s">
        <v>862</v>
      </c>
      <c r="H47" s="1">
        <v>13</v>
      </c>
      <c r="I47" t="s">
        <v>321</v>
      </c>
      <c r="J47">
        <v>112</v>
      </c>
      <c r="K47">
        <v>3</v>
      </c>
      <c r="X47" s="9"/>
      <c r="AB47">
        <f t="shared" si="0"/>
        <v>1</v>
      </c>
      <c r="AC47">
        <f t="shared" si="1"/>
        <v>1</v>
      </c>
    </row>
    <row r="48" spans="2:29" x14ac:dyDescent="0.25">
      <c r="B48" s="8" t="s">
        <v>525</v>
      </c>
      <c r="C48" t="s">
        <v>138</v>
      </c>
      <c r="D48">
        <v>36</v>
      </c>
      <c r="E48" t="s">
        <v>93</v>
      </c>
      <c r="F48">
        <v>15</v>
      </c>
      <c r="G48" t="s">
        <v>863</v>
      </c>
      <c r="H48" s="1">
        <v>12</v>
      </c>
      <c r="I48" t="s">
        <v>321</v>
      </c>
      <c r="J48">
        <v>112</v>
      </c>
      <c r="K48">
        <v>3</v>
      </c>
      <c r="X48" s="9"/>
      <c r="AB48">
        <f t="shared" si="0"/>
        <v>1</v>
      </c>
      <c r="AC48">
        <f t="shared" si="1"/>
        <v>1</v>
      </c>
    </row>
    <row r="49" spans="1:29" s="11" customFormat="1" x14ac:dyDescent="0.25">
      <c r="A49" s="11">
        <f>SUM(D33:D49)</f>
        <v>1509</v>
      </c>
      <c r="B49" s="10" t="s">
        <v>525</v>
      </c>
      <c r="C49" s="11" t="s">
        <v>137</v>
      </c>
      <c r="D49" s="11">
        <v>52</v>
      </c>
      <c r="G49" s="11" t="s">
        <v>357</v>
      </c>
      <c r="H49" s="28">
        <v>25</v>
      </c>
      <c r="I49" s="11" t="s">
        <v>113</v>
      </c>
      <c r="J49" s="11">
        <v>100</v>
      </c>
      <c r="K49" s="11">
        <v>2</v>
      </c>
      <c r="O49" s="11">
        <v>1</v>
      </c>
      <c r="P49" s="11" t="s">
        <v>222</v>
      </c>
      <c r="Q49" s="11">
        <v>100</v>
      </c>
      <c r="R49" s="11">
        <v>1.8</v>
      </c>
      <c r="X49" s="12"/>
      <c r="AB49">
        <f t="shared" si="0"/>
        <v>1</v>
      </c>
      <c r="AC49">
        <f t="shared" si="1"/>
        <v>1</v>
      </c>
    </row>
    <row r="50" spans="1:29" x14ac:dyDescent="0.25">
      <c r="B50" s="8"/>
      <c r="H50" s="1"/>
      <c r="X50" s="9"/>
    </row>
    <row r="51" spans="1:29" hidden="1" x14ac:dyDescent="0.25">
      <c r="B51" s="8"/>
      <c r="H51" s="1"/>
      <c r="X51" s="9"/>
    </row>
    <row r="52" spans="1:29" hidden="1" x14ac:dyDescent="0.25">
      <c r="B52" s="8"/>
      <c r="H52" s="1"/>
      <c r="X52" s="9"/>
    </row>
    <row r="53" spans="1:29" hidden="1" x14ac:dyDescent="0.25">
      <c r="B53" s="8"/>
      <c r="H53" s="1"/>
      <c r="X53" s="9"/>
    </row>
    <row r="54" spans="1:29" hidden="1" x14ac:dyDescent="0.25">
      <c r="B54" s="8"/>
      <c r="H54" s="1"/>
      <c r="X54" s="9"/>
    </row>
    <row r="55" spans="1:29" hidden="1" x14ac:dyDescent="0.25">
      <c r="B55" s="8"/>
      <c r="H55" s="1"/>
      <c r="X55" s="9"/>
    </row>
    <row r="56" spans="1:29" hidden="1" x14ac:dyDescent="0.25">
      <c r="B56" s="8"/>
      <c r="H56" s="1"/>
      <c r="X56" s="9"/>
    </row>
    <row r="57" spans="1:29" hidden="1" x14ac:dyDescent="0.25">
      <c r="B57" s="8"/>
      <c r="H57" s="1"/>
      <c r="X57" s="9"/>
    </row>
    <row r="58" spans="1:29" hidden="1" x14ac:dyDescent="0.25">
      <c r="B58" s="8"/>
      <c r="H58" s="1"/>
      <c r="X58" s="9"/>
    </row>
    <row r="59" spans="1:29" hidden="1" x14ac:dyDescent="0.25">
      <c r="B59" s="8"/>
      <c r="H59" s="1"/>
      <c r="X59" s="9"/>
    </row>
    <row r="60" spans="1:29" hidden="1" x14ac:dyDescent="0.25">
      <c r="B60" s="8"/>
      <c r="H60" s="1"/>
      <c r="X60" s="9"/>
    </row>
    <row r="61" spans="1:29" hidden="1" x14ac:dyDescent="0.25">
      <c r="B61" s="8"/>
      <c r="H61" s="1"/>
      <c r="X61" s="9"/>
    </row>
    <row r="62" spans="1:29" hidden="1" x14ac:dyDescent="0.25">
      <c r="B62" s="8"/>
      <c r="H62" s="1"/>
      <c r="X62" s="9"/>
    </row>
    <row r="63" spans="1:29" hidden="1" x14ac:dyDescent="0.25">
      <c r="B63" s="8"/>
      <c r="H63" s="1"/>
      <c r="X63" s="9"/>
    </row>
    <row r="64" spans="1:29" hidden="1" x14ac:dyDescent="0.25">
      <c r="B64" s="8"/>
      <c r="H64" s="1"/>
      <c r="K64" s="27"/>
      <c r="X64" s="9"/>
    </row>
    <row r="65" spans="2:24" hidden="1" x14ac:dyDescent="0.25">
      <c r="B65" s="8"/>
      <c r="H65" s="1"/>
      <c r="X65" s="9"/>
    </row>
    <row r="66" spans="2:24" hidden="1" x14ac:dyDescent="0.25">
      <c r="B66" s="8"/>
      <c r="H66" s="1"/>
      <c r="X66" s="9"/>
    </row>
    <row r="67" spans="2:24" hidden="1" x14ac:dyDescent="0.25">
      <c r="B67" s="8"/>
      <c r="H67" s="1"/>
      <c r="X67" s="9"/>
    </row>
    <row r="68" spans="2:24" hidden="1" x14ac:dyDescent="0.25">
      <c r="B68" s="8"/>
      <c r="H68" s="1"/>
      <c r="X68" s="9"/>
    </row>
    <row r="69" spans="2:24" hidden="1" x14ac:dyDescent="0.25">
      <c r="B69" s="8"/>
      <c r="H69" s="1"/>
      <c r="X69" s="9"/>
    </row>
    <row r="70" spans="2:24" hidden="1" x14ac:dyDescent="0.25">
      <c r="B70" s="8"/>
      <c r="H70" s="1"/>
      <c r="X70" s="9"/>
    </row>
    <row r="71" spans="2:24" hidden="1" x14ac:dyDescent="0.25">
      <c r="B71" s="8"/>
      <c r="H71" s="1"/>
      <c r="X71" s="9"/>
    </row>
    <row r="72" spans="2:24" hidden="1" x14ac:dyDescent="0.25">
      <c r="B72" s="10"/>
      <c r="C72" s="11"/>
      <c r="D72" s="11"/>
      <c r="E72" s="11"/>
      <c r="F72" s="11"/>
      <c r="G72" s="11"/>
      <c r="H72" s="28"/>
      <c r="I72" s="11"/>
      <c r="J72" s="11"/>
      <c r="K72" s="11"/>
      <c r="L72" s="11"/>
      <c r="M72" s="11"/>
      <c r="N72" s="11"/>
      <c r="O72" s="11"/>
      <c r="P72" s="11"/>
      <c r="Q72" s="11"/>
      <c r="R72" s="11"/>
      <c r="S72" s="11"/>
      <c r="T72" s="11"/>
      <c r="U72" s="11"/>
      <c r="V72" s="11"/>
      <c r="W72" s="11"/>
      <c r="X72" s="12"/>
    </row>
    <row r="73" spans="2:24" x14ac:dyDescent="0.25">
      <c r="H73" s="1"/>
    </row>
    <row r="74" spans="2:24" x14ac:dyDescent="0.25">
      <c r="B74" s="2"/>
      <c r="H74" s="1"/>
    </row>
    <row r="75" spans="2:24" x14ac:dyDescent="0.25">
      <c r="B75" s="2"/>
      <c r="H75" s="1"/>
    </row>
    <row r="77" spans="2:24" x14ac:dyDescent="0.25">
      <c r="C77" s="5" t="s">
        <v>150</v>
      </c>
      <c r="D77" s="6" t="s">
        <v>91</v>
      </c>
      <c r="E77" s="6" t="s">
        <v>130</v>
      </c>
      <c r="F77" s="6"/>
      <c r="G77" s="7" t="s">
        <v>395</v>
      </c>
      <c r="I77" s="13" t="s">
        <v>124</v>
      </c>
      <c r="J77" s="14"/>
      <c r="K77" s="14"/>
      <c r="L77" s="14" t="s">
        <v>135</v>
      </c>
      <c r="M77" s="14" t="s">
        <v>375</v>
      </c>
      <c r="N77" s="15" t="s">
        <v>130</v>
      </c>
      <c r="P77" s="13" t="s">
        <v>124</v>
      </c>
      <c r="Q77" s="14"/>
      <c r="R77" s="14"/>
      <c r="S77" s="14" t="s">
        <v>135</v>
      </c>
      <c r="T77" s="15" t="s">
        <v>375</v>
      </c>
    </row>
    <row r="78" spans="2:24" x14ac:dyDescent="0.25">
      <c r="C78" s="8" t="s">
        <v>392</v>
      </c>
      <c r="D78" s="1">
        <f>SUM(M78:M81,T78:T81)</f>
        <v>1865.5020202020203</v>
      </c>
      <c r="E78">
        <f>SUM(D2:D75)</f>
        <v>4325</v>
      </c>
      <c r="G78" s="23">
        <f>E78/D78</f>
        <v>2.3184107833513008</v>
      </c>
      <c r="I78" s="8" t="s">
        <v>255</v>
      </c>
      <c r="L78">
        <f>COUNTIF(K1:K74,"&lt;2")</f>
        <v>3</v>
      </c>
      <c r="M78" s="1">
        <f>SUMIF(K1:K74,"&lt;2",H1:H74)</f>
        <v>224.11111111111111</v>
      </c>
      <c r="N78" s="9">
        <f>SUMIF(K1:K74,"&lt;2",D1:D74)</f>
        <v>468</v>
      </c>
      <c r="P78" s="8" t="s">
        <v>255</v>
      </c>
      <c r="S78">
        <f>COUNTIF(R1:R74,"&lt;2")</f>
        <v>3</v>
      </c>
      <c r="T78" s="9">
        <f>SUMIF(R1:R74,"&lt;2",K1:K74)</f>
        <v>5.8</v>
      </c>
    </row>
    <row r="79" spans="2:24" x14ac:dyDescent="0.25">
      <c r="C79" s="8" t="s">
        <v>125</v>
      </c>
      <c r="D79">
        <f>COUNT(D2:D75)</f>
        <v>48</v>
      </c>
      <c r="G79" s="9"/>
      <c r="I79" s="8" t="s">
        <v>133</v>
      </c>
      <c r="L79">
        <f>COUNTIF(K2:K75,"&lt;3")-L78</f>
        <v>21</v>
      </c>
      <c r="M79" s="1">
        <f>SUMIF(K2:K75,"&lt;3",H2:H75)-M78</f>
        <v>1080.5</v>
      </c>
      <c r="N79" s="9">
        <f>SUMIF(K2:K75,"&lt;3",D2:D75)</f>
        <v>2675</v>
      </c>
      <c r="P79" s="8" t="s">
        <v>133</v>
      </c>
      <c r="S79">
        <f>COUNTIF(R2:R75,"&lt;3")-S78</f>
        <v>3</v>
      </c>
      <c r="T79" s="9">
        <f>SUMIF(R2:R75,"&lt;3",O2:O75)-T78</f>
        <v>43.2</v>
      </c>
    </row>
    <row r="80" spans="2:24" x14ac:dyDescent="0.25">
      <c r="C80" s="8" t="s">
        <v>386</v>
      </c>
      <c r="D80">
        <f>COUNTIF(E2:E75,"AOM5000")</f>
        <v>14</v>
      </c>
      <c r="E80">
        <f>SUMIF(E2:E72,"AOM5000",D2:D72)</f>
        <v>2296</v>
      </c>
      <c r="F80" t="s">
        <v>396</v>
      </c>
      <c r="G80" s="21">
        <f>AVERAGEIF(E2:E75,"AOM5000",F2:F75)</f>
        <v>10</v>
      </c>
      <c r="I80" s="8" t="s">
        <v>132</v>
      </c>
      <c r="L80">
        <f>COUNTIF(K2:K75,"&lt;4")-L79-L78</f>
        <v>22</v>
      </c>
      <c r="M80" s="1">
        <f>SUMIF(K2:K75,"&lt;4",H2:H75)-M79-M78</f>
        <v>506.09090909090924</v>
      </c>
      <c r="N80" s="9">
        <f>SUMIF(K2:K75,"&lt;4",D2:D75)-N79</f>
        <v>1563</v>
      </c>
      <c r="P80" s="8" t="s">
        <v>132</v>
      </c>
      <c r="S80">
        <f>COUNTIF(R2:R75,"&lt;4")-S79-S78</f>
        <v>0</v>
      </c>
      <c r="T80" s="9">
        <f>SUMIF(R2:R75,"&lt;4",O2:O75)-T79</f>
        <v>5.7999999999999972</v>
      </c>
    </row>
    <row r="81" spans="2:20" x14ac:dyDescent="0.25">
      <c r="C81" s="8" t="s">
        <v>387</v>
      </c>
      <c r="D81">
        <f>COUNTIF(E2:E75,"AOM4000")</f>
        <v>14</v>
      </c>
      <c r="E81">
        <f>SUMIF(E2:E72,"AOM4000",D2:D72)</f>
        <v>1031</v>
      </c>
      <c r="F81" t="s">
        <v>397</v>
      </c>
      <c r="G81" s="21">
        <f>AVERAGEIF(E2:E75,"AOM4000",F2:F75)</f>
        <v>11.090909090909092</v>
      </c>
      <c r="I81" s="8" t="s">
        <v>134</v>
      </c>
      <c r="L81">
        <f>COUNTIF(K2:K75,"&lt;5")-L80-L79-L78</f>
        <v>0</v>
      </c>
      <c r="M81" s="1">
        <f>SUMIF(K2:K75,"&lt;6",H2:H75)-M80-M79-M78</f>
        <v>0</v>
      </c>
      <c r="N81" s="9">
        <f>SUMIF(K2:K75,"&lt;5",D2:D75)-N80-N79</f>
        <v>0</v>
      </c>
      <c r="P81" s="8" t="s">
        <v>134</v>
      </c>
      <c r="S81">
        <f>COUNTIF(R2:R75,"&lt;5")-S80-S79-S78</f>
        <v>0</v>
      </c>
      <c r="T81" s="9">
        <f>SUMIF(R2:R75,"&lt;5",O2:O75)-T80-T79</f>
        <v>0</v>
      </c>
    </row>
    <row r="82" spans="2:20" x14ac:dyDescent="0.25">
      <c r="C82" s="8" t="s">
        <v>390</v>
      </c>
      <c r="D82" s="18">
        <f>D80/(D81+D80)*100</f>
        <v>50</v>
      </c>
      <c r="E82" s="18">
        <f>E80/(E81+E80)*100</f>
        <v>69.011121130147274</v>
      </c>
      <c r="G82" s="9"/>
      <c r="I82" s="8"/>
      <c r="N82" s="9"/>
      <c r="P82" s="8"/>
      <c r="T82" s="9"/>
    </row>
    <row r="83" spans="2:20" x14ac:dyDescent="0.25">
      <c r="C83" s="16" t="s">
        <v>128</v>
      </c>
      <c r="D83" s="22">
        <f>D80/D79*100</f>
        <v>29.166666666666668</v>
      </c>
      <c r="E83" s="22">
        <f>E80/E78*100</f>
        <v>53.086705202312132</v>
      </c>
      <c r="F83" s="11"/>
      <c r="G83" s="12"/>
      <c r="I83" s="8" t="s">
        <v>136</v>
      </c>
      <c r="L83">
        <f>COUNTA(L2:L75)</f>
        <v>0</v>
      </c>
      <c r="N83" s="9"/>
      <c r="P83" s="10" t="s">
        <v>136</v>
      </c>
      <c r="Q83" s="11"/>
      <c r="R83" s="11"/>
      <c r="S83" s="11">
        <f>COUNTA(S2:S75)</f>
        <v>0</v>
      </c>
      <c r="T83" s="12"/>
    </row>
    <row r="84" spans="2:20" x14ac:dyDescent="0.25">
      <c r="F84" t="s">
        <v>388</v>
      </c>
      <c r="I84" s="10"/>
      <c r="J84" s="11"/>
      <c r="K84" s="11"/>
      <c r="L84" s="11"/>
      <c r="M84" s="11"/>
      <c r="N84" s="12"/>
    </row>
    <row r="85" spans="2:20" x14ac:dyDescent="0.25">
      <c r="C85" s="5" t="s">
        <v>149</v>
      </c>
      <c r="D85" s="6" t="s">
        <v>135</v>
      </c>
      <c r="E85" s="7" t="s">
        <v>130</v>
      </c>
      <c r="F85" s="5" t="s">
        <v>93</v>
      </c>
      <c r="G85" s="7" t="s">
        <v>94</v>
      </c>
    </row>
    <row r="86" spans="2:20" x14ac:dyDescent="0.25">
      <c r="B86" s="18">
        <f>E86/$E$78*100</f>
        <v>31.676300578034684</v>
      </c>
      <c r="C86" s="8" t="s">
        <v>20</v>
      </c>
      <c r="D86">
        <f t="shared" ref="D86:D111" si="3">COUNTIF(C$2:C$75,C86)</f>
        <v>7</v>
      </c>
      <c r="E86" s="9">
        <f t="shared" ref="E86:E111" si="4">SUMIF(C$2:C$75,C86,D$2:D$75)</f>
        <v>1370</v>
      </c>
      <c r="F86" s="8">
        <f>SUMIFS($D$2:$D$73,$C$2:$C$73,C86,$E$2:$E$73,$F$85)</f>
        <v>170</v>
      </c>
      <c r="G86" s="9">
        <f>SUMIFS($D$2:$D$73,$C$2:$C$73,C86,$E$2:$E$73,$G$85)</f>
        <v>1200</v>
      </c>
      <c r="I86" s="5" t="s">
        <v>376</v>
      </c>
      <c r="J86" s="6"/>
      <c r="K86" s="6"/>
      <c r="L86" s="7" t="s">
        <v>377</v>
      </c>
    </row>
    <row r="87" spans="2:20" x14ac:dyDescent="0.25">
      <c r="B87" s="18">
        <f t="shared" ref="B87:B111" si="5">E87/$E$78*100</f>
        <v>4.5780346820809248</v>
      </c>
      <c r="C87" s="8" t="s">
        <v>142</v>
      </c>
      <c r="D87">
        <f t="shared" si="3"/>
        <v>3</v>
      </c>
      <c r="E87" s="9">
        <f t="shared" si="4"/>
        <v>198</v>
      </c>
      <c r="F87" s="8">
        <f t="shared" ref="F87:F111" si="6">SUMIFS($D$2:$D$73,$C$2:$C$73,C87,$E$2:$E$73,$F$85)</f>
        <v>0</v>
      </c>
      <c r="G87" s="9">
        <f t="shared" ref="G87:G111" si="7">SUMIFS($D$2:$D$73,$C$2:$C$73,C87,$E$2:$E$73,$G$85)</f>
        <v>0</v>
      </c>
      <c r="I87" s="8" t="s">
        <v>92</v>
      </c>
      <c r="L87" s="19">
        <f>SUMIF(I$2:I$75,I87,H$2:H$75)+SUMIF(P$2:P$75,I87,O$2:O$75)</f>
        <v>175</v>
      </c>
    </row>
    <row r="88" spans="2:20" x14ac:dyDescent="0.25">
      <c r="B88" s="18">
        <f t="shared" si="5"/>
        <v>2.9132947976878611</v>
      </c>
      <c r="C88" s="8" t="s">
        <v>69</v>
      </c>
      <c r="D88">
        <f t="shared" si="3"/>
        <v>2</v>
      </c>
      <c r="E88" s="9">
        <f t="shared" si="4"/>
        <v>126</v>
      </c>
      <c r="F88" s="8">
        <f t="shared" si="6"/>
        <v>105</v>
      </c>
      <c r="G88" s="9">
        <f t="shared" si="7"/>
        <v>0</v>
      </c>
      <c r="I88" s="8" t="s">
        <v>244</v>
      </c>
      <c r="L88" s="19">
        <f>SUMIF(I$2:I$75,I88,H$2:H$75)+SUMIF(P$2:P$75,I88,O$2:O$75)</f>
        <v>202.5</v>
      </c>
    </row>
    <row r="89" spans="2:20" x14ac:dyDescent="0.25">
      <c r="B89" s="18">
        <f t="shared" si="5"/>
        <v>4.8323699421965314</v>
      </c>
      <c r="C89" s="8" t="s">
        <v>140</v>
      </c>
      <c r="D89">
        <f t="shared" si="3"/>
        <v>3</v>
      </c>
      <c r="E89" s="9">
        <f t="shared" si="4"/>
        <v>209</v>
      </c>
      <c r="F89" s="8">
        <f t="shared" si="6"/>
        <v>51</v>
      </c>
      <c r="G89" s="9">
        <f t="shared" si="7"/>
        <v>99</v>
      </c>
      <c r="I89" s="8" t="s">
        <v>233</v>
      </c>
      <c r="L89" s="19">
        <f t="shared" ref="L89:L94" si="8">SUMIF(I$2:I$75,I89,H$2:H$75)+SUMIF(P$2:P$75,I89,O$2:O$75)</f>
        <v>43</v>
      </c>
    </row>
    <row r="90" spans="2:20" x14ac:dyDescent="0.25">
      <c r="B90" s="18">
        <f t="shared" si="5"/>
        <v>1.8034682080924858</v>
      </c>
      <c r="C90" s="8" t="s">
        <v>138</v>
      </c>
      <c r="D90">
        <f t="shared" si="3"/>
        <v>2</v>
      </c>
      <c r="E90" s="9">
        <f t="shared" si="4"/>
        <v>78</v>
      </c>
      <c r="F90" s="8">
        <f t="shared" si="6"/>
        <v>36</v>
      </c>
      <c r="G90" s="9">
        <f t="shared" si="7"/>
        <v>0</v>
      </c>
      <c r="I90" s="8" t="s">
        <v>222</v>
      </c>
      <c r="L90" s="19">
        <f t="shared" si="8"/>
        <v>212.11111111111111</v>
      </c>
    </row>
    <row r="91" spans="2:20" x14ac:dyDescent="0.25">
      <c r="B91" s="18">
        <f t="shared" si="5"/>
        <v>7.4682080924855496</v>
      </c>
      <c r="C91" s="8" t="s">
        <v>45</v>
      </c>
      <c r="D91">
        <f t="shared" si="3"/>
        <v>2</v>
      </c>
      <c r="E91" s="9">
        <f t="shared" si="4"/>
        <v>323</v>
      </c>
      <c r="F91" s="8">
        <f t="shared" si="6"/>
        <v>0</v>
      </c>
      <c r="G91" s="9">
        <f t="shared" si="7"/>
        <v>299</v>
      </c>
      <c r="I91" s="8" t="s">
        <v>113</v>
      </c>
      <c r="L91" s="19">
        <f t="shared" si="8"/>
        <v>445</v>
      </c>
    </row>
    <row r="92" spans="2:20" x14ac:dyDescent="0.25">
      <c r="B92" s="18">
        <f t="shared" si="5"/>
        <v>4.1618497109826587</v>
      </c>
      <c r="C92" s="8" t="s">
        <v>526</v>
      </c>
      <c r="D92">
        <f t="shared" si="3"/>
        <v>2</v>
      </c>
      <c r="E92" s="9">
        <f t="shared" si="4"/>
        <v>180</v>
      </c>
      <c r="F92" s="8">
        <f t="shared" si="6"/>
        <v>108</v>
      </c>
      <c r="G92" s="9">
        <f t="shared" si="7"/>
        <v>0</v>
      </c>
      <c r="I92" s="8" t="s">
        <v>110</v>
      </c>
      <c r="L92" s="19">
        <f t="shared" si="8"/>
        <v>295</v>
      </c>
    </row>
    <row r="93" spans="2:20" x14ac:dyDescent="0.25">
      <c r="B93" s="18">
        <f t="shared" si="5"/>
        <v>1.1560693641618496</v>
      </c>
      <c r="C93" s="8" t="s">
        <v>165</v>
      </c>
      <c r="D93">
        <f t="shared" si="3"/>
        <v>1</v>
      </c>
      <c r="E93" s="9">
        <f t="shared" si="4"/>
        <v>50</v>
      </c>
      <c r="F93" s="8">
        <f t="shared" si="6"/>
        <v>0</v>
      </c>
      <c r="G93" s="9">
        <f t="shared" si="7"/>
        <v>50</v>
      </c>
      <c r="I93" s="8" t="s">
        <v>778</v>
      </c>
      <c r="L93" s="19">
        <f t="shared" si="8"/>
        <v>24</v>
      </c>
    </row>
    <row r="94" spans="2:20" x14ac:dyDescent="0.25">
      <c r="B94" s="18">
        <f t="shared" si="5"/>
        <v>6.7514450867052016</v>
      </c>
      <c r="C94" s="8" t="s">
        <v>528</v>
      </c>
      <c r="D94">
        <f t="shared" si="3"/>
        <v>3</v>
      </c>
      <c r="E94" s="9">
        <f t="shared" si="4"/>
        <v>292</v>
      </c>
      <c r="F94" s="8">
        <f t="shared" si="6"/>
        <v>105</v>
      </c>
      <c r="G94" s="9">
        <f t="shared" si="7"/>
        <v>187</v>
      </c>
      <c r="I94" s="8" t="s">
        <v>321</v>
      </c>
      <c r="L94" s="19">
        <f t="shared" si="8"/>
        <v>378</v>
      </c>
    </row>
    <row r="95" spans="2:20" x14ac:dyDescent="0.25">
      <c r="B95" s="18">
        <f t="shared" si="5"/>
        <v>0.97109826589595383</v>
      </c>
      <c r="C95" s="8" t="s">
        <v>448</v>
      </c>
      <c r="D95">
        <f t="shared" si="3"/>
        <v>1</v>
      </c>
      <c r="E95" s="9">
        <f t="shared" si="4"/>
        <v>42</v>
      </c>
      <c r="F95" s="8">
        <f t="shared" si="6"/>
        <v>0</v>
      </c>
      <c r="G95" s="9">
        <f t="shared" si="7"/>
        <v>0</v>
      </c>
      <c r="I95" s="10" t="s">
        <v>111</v>
      </c>
      <c r="J95" s="11"/>
      <c r="K95" s="11"/>
      <c r="L95" s="20">
        <f>SUMIF(I$2:I$75,I95,H$2:H$75)+SUMIF(P$2:P$75,I95,O$2:O$75)+U37</f>
        <v>89.090909090909093</v>
      </c>
    </row>
    <row r="96" spans="2:20" x14ac:dyDescent="0.25">
      <c r="B96" s="18">
        <f t="shared" si="5"/>
        <v>2.0115606936416186</v>
      </c>
      <c r="C96" s="8" t="s">
        <v>446</v>
      </c>
      <c r="D96">
        <f t="shared" si="3"/>
        <v>1</v>
      </c>
      <c r="E96" s="9">
        <f t="shared" si="4"/>
        <v>87</v>
      </c>
      <c r="F96" s="8">
        <f t="shared" si="6"/>
        <v>0</v>
      </c>
      <c r="G96" s="9">
        <f t="shared" si="7"/>
        <v>87</v>
      </c>
    </row>
    <row r="97" spans="2:12" x14ac:dyDescent="0.25">
      <c r="B97" s="18">
        <f t="shared" si="5"/>
        <v>3.5838150289017343</v>
      </c>
      <c r="C97" s="8" t="s">
        <v>34</v>
      </c>
      <c r="D97">
        <f t="shared" si="3"/>
        <v>1</v>
      </c>
      <c r="E97" s="9">
        <f t="shared" si="4"/>
        <v>155</v>
      </c>
      <c r="F97" s="8">
        <f t="shared" si="6"/>
        <v>0</v>
      </c>
      <c r="G97" s="9">
        <f t="shared" si="7"/>
        <v>155</v>
      </c>
      <c r="L97" s="1"/>
    </row>
    <row r="98" spans="2:12" x14ac:dyDescent="0.25">
      <c r="B98" s="18">
        <f t="shared" si="5"/>
        <v>2.7514450867052025</v>
      </c>
      <c r="C98" s="8" t="s">
        <v>176</v>
      </c>
      <c r="D98">
        <f t="shared" si="3"/>
        <v>3</v>
      </c>
      <c r="E98" s="9">
        <f t="shared" si="4"/>
        <v>119</v>
      </c>
      <c r="F98" s="8">
        <f t="shared" si="6"/>
        <v>0</v>
      </c>
      <c r="G98" s="9">
        <f t="shared" si="7"/>
        <v>0</v>
      </c>
      <c r="I98" t="s">
        <v>5</v>
      </c>
    </row>
    <row r="99" spans="2:12" x14ac:dyDescent="0.25">
      <c r="B99" s="18">
        <f t="shared" si="5"/>
        <v>1.2023121387283235</v>
      </c>
      <c r="C99" s="8" t="s">
        <v>137</v>
      </c>
      <c r="D99">
        <f t="shared" si="3"/>
        <v>1</v>
      </c>
      <c r="E99" s="9">
        <f t="shared" si="4"/>
        <v>52</v>
      </c>
      <c r="F99" s="8">
        <f t="shared" si="6"/>
        <v>0</v>
      </c>
      <c r="G99" s="9">
        <f t="shared" si="7"/>
        <v>0</v>
      </c>
      <c r="I99" t="s">
        <v>1164</v>
      </c>
      <c r="L99">
        <f>A5</f>
        <v>271</v>
      </c>
    </row>
    <row r="100" spans="2:12" x14ac:dyDescent="0.25">
      <c r="B100" s="18">
        <f t="shared" si="5"/>
        <v>5.1098265895953761</v>
      </c>
      <c r="C100" s="8" t="s">
        <v>164</v>
      </c>
      <c r="D100">
        <f t="shared" si="3"/>
        <v>4</v>
      </c>
      <c r="E100" s="9">
        <f t="shared" si="4"/>
        <v>221</v>
      </c>
      <c r="F100" s="8">
        <f t="shared" si="6"/>
        <v>89</v>
      </c>
      <c r="G100" s="9">
        <f t="shared" si="7"/>
        <v>90</v>
      </c>
      <c r="I100" t="s">
        <v>1165</v>
      </c>
      <c r="L100">
        <f>A18</f>
        <v>1295</v>
      </c>
    </row>
    <row r="101" spans="2:12" x14ac:dyDescent="0.25">
      <c r="B101" s="18">
        <f t="shared" si="5"/>
        <v>1.6416184971098264</v>
      </c>
      <c r="C101" s="8" t="s">
        <v>206</v>
      </c>
      <c r="D101">
        <f t="shared" si="3"/>
        <v>2</v>
      </c>
      <c r="E101" s="9">
        <f t="shared" si="4"/>
        <v>71</v>
      </c>
      <c r="F101" s="8">
        <f t="shared" si="6"/>
        <v>20</v>
      </c>
      <c r="G101" s="9">
        <f t="shared" si="7"/>
        <v>0</v>
      </c>
      <c r="I101" t="s">
        <v>1166</v>
      </c>
      <c r="L101">
        <f>A32</f>
        <v>1250</v>
      </c>
    </row>
    <row r="102" spans="2:12" x14ac:dyDescent="0.25">
      <c r="B102" s="18">
        <f t="shared" si="5"/>
        <v>2.9826589595375723</v>
      </c>
      <c r="C102" s="8" t="s">
        <v>527</v>
      </c>
      <c r="D102">
        <f t="shared" si="3"/>
        <v>1</v>
      </c>
      <c r="E102" s="9">
        <f t="shared" si="4"/>
        <v>129</v>
      </c>
      <c r="F102" s="8">
        <f t="shared" si="6"/>
        <v>0</v>
      </c>
      <c r="G102" s="9">
        <f t="shared" si="7"/>
        <v>129</v>
      </c>
      <c r="I102" t="s">
        <v>1167</v>
      </c>
      <c r="L102">
        <f>A49</f>
        <v>1509</v>
      </c>
    </row>
    <row r="103" spans="2:12" x14ac:dyDescent="0.25">
      <c r="B103" s="18">
        <f t="shared" si="5"/>
        <v>2.4739884393063587</v>
      </c>
      <c r="C103" s="8" t="s">
        <v>144</v>
      </c>
      <c r="D103">
        <f t="shared" si="3"/>
        <v>1</v>
      </c>
      <c r="E103" s="9">
        <f t="shared" si="4"/>
        <v>107</v>
      </c>
      <c r="F103" s="8">
        <f>SUMIFS($D$2:$D$73,$C$2:$C$73,C103,$E$2:$E$73,$F$85)</f>
        <v>107</v>
      </c>
      <c r="G103" s="9">
        <f t="shared" si="7"/>
        <v>0</v>
      </c>
    </row>
    <row r="104" spans="2:12" x14ac:dyDescent="0.25">
      <c r="B104" s="18">
        <f t="shared" si="5"/>
        <v>2.7052023121387285</v>
      </c>
      <c r="C104" s="8" t="s">
        <v>207</v>
      </c>
      <c r="D104">
        <f t="shared" si="3"/>
        <v>1</v>
      </c>
      <c r="E104" s="9">
        <f t="shared" si="4"/>
        <v>117</v>
      </c>
      <c r="F104" s="8">
        <f t="shared" si="6"/>
        <v>0</v>
      </c>
      <c r="G104" s="9">
        <f t="shared" si="7"/>
        <v>0</v>
      </c>
    </row>
    <row r="105" spans="2:12" x14ac:dyDescent="0.25">
      <c r="B105" s="18">
        <f t="shared" si="5"/>
        <v>0.92485549132947986</v>
      </c>
      <c r="C105" s="8" t="s">
        <v>161</v>
      </c>
      <c r="D105">
        <f t="shared" si="3"/>
        <v>1</v>
      </c>
      <c r="E105" s="9">
        <f t="shared" si="4"/>
        <v>40</v>
      </c>
      <c r="F105" s="8">
        <f t="shared" si="6"/>
        <v>40</v>
      </c>
      <c r="G105" s="9">
        <f t="shared" si="7"/>
        <v>0</v>
      </c>
    </row>
    <row r="106" spans="2:12" x14ac:dyDescent="0.25">
      <c r="B106" s="18">
        <f t="shared" si="5"/>
        <v>2.2196531791907512</v>
      </c>
      <c r="C106" s="8" t="s">
        <v>146</v>
      </c>
      <c r="D106">
        <f t="shared" si="3"/>
        <v>2</v>
      </c>
      <c r="E106" s="9">
        <f t="shared" si="4"/>
        <v>96</v>
      </c>
      <c r="F106" s="8">
        <f t="shared" si="6"/>
        <v>0</v>
      </c>
      <c r="G106" s="9">
        <f t="shared" si="7"/>
        <v>0</v>
      </c>
    </row>
    <row r="107" spans="2:12" x14ac:dyDescent="0.25">
      <c r="B107" s="18">
        <f t="shared" si="5"/>
        <v>4.6242774566473983</v>
      </c>
      <c r="C107" s="8" t="s">
        <v>42</v>
      </c>
      <c r="D107">
        <f t="shared" si="3"/>
        <v>2</v>
      </c>
      <c r="E107" s="9">
        <f t="shared" si="4"/>
        <v>200</v>
      </c>
      <c r="F107" s="8">
        <f t="shared" si="6"/>
        <v>200</v>
      </c>
      <c r="G107" s="9">
        <f t="shared" si="7"/>
        <v>0</v>
      </c>
    </row>
    <row r="108" spans="2:12" x14ac:dyDescent="0.25">
      <c r="B108" s="18">
        <f t="shared" si="5"/>
        <v>0</v>
      </c>
      <c r="C108" s="8"/>
      <c r="D108">
        <f t="shared" si="3"/>
        <v>0</v>
      </c>
      <c r="E108" s="9">
        <f t="shared" si="4"/>
        <v>0</v>
      </c>
      <c r="F108" s="8">
        <f t="shared" si="6"/>
        <v>0</v>
      </c>
      <c r="G108" s="9">
        <f t="shared" si="7"/>
        <v>0</v>
      </c>
    </row>
    <row r="109" spans="2:12" x14ac:dyDescent="0.25">
      <c r="B109" s="18">
        <f t="shared" si="5"/>
        <v>0</v>
      </c>
      <c r="C109" s="8"/>
      <c r="D109">
        <f t="shared" si="3"/>
        <v>0</v>
      </c>
      <c r="E109" s="9">
        <f t="shared" si="4"/>
        <v>0</v>
      </c>
      <c r="F109" s="8">
        <f t="shared" si="6"/>
        <v>0</v>
      </c>
      <c r="G109" s="9">
        <f t="shared" si="7"/>
        <v>0</v>
      </c>
    </row>
    <row r="110" spans="2:12" x14ac:dyDescent="0.25">
      <c r="B110" s="18">
        <f t="shared" si="5"/>
        <v>0.62427745664739887</v>
      </c>
      <c r="C110" s="8" t="s">
        <v>320</v>
      </c>
      <c r="D110">
        <f t="shared" si="3"/>
        <v>1</v>
      </c>
      <c r="E110" s="9">
        <f t="shared" si="4"/>
        <v>27</v>
      </c>
      <c r="F110" s="8">
        <f t="shared" si="6"/>
        <v>0</v>
      </c>
      <c r="G110" s="9">
        <f t="shared" si="7"/>
        <v>0</v>
      </c>
    </row>
    <row r="111" spans="2:12" x14ac:dyDescent="0.25">
      <c r="B111" s="18">
        <f t="shared" si="5"/>
        <v>0.83236994219653171</v>
      </c>
      <c r="C111" s="10" t="s">
        <v>628</v>
      </c>
      <c r="D111" s="11">
        <f t="shared" si="3"/>
        <v>1</v>
      </c>
      <c r="E111" s="12">
        <f t="shared" si="4"/>
        <v>36</v>
      </c>
      <c r="F111" s="10">
        <f t="shared" si="6"/>
        <v>0</v>
      </c>
      <c r="G111" s="12">
        <f t="shared" si="7"/>
        <v>0</v>
      </c>
    </row>
    <row r="112" spans="2:12" x14ac:dyDescent="0.25">
      <c r="B112" s="18">
        <f>SUM(B86:B111)</f>
        <v>100.00000000000001</v>
      </c>
      <c r="E112" s="9">
        <f>SUM(E86:E111)</f>
        <v>4325</v>
      </c>
      <c r="F112" s="8">
        <f>SUM(F86:F109)</f>
        <v>1031</v>
      </c>
      <c r="G112" s="9">
        <f>SUM(G86:G109)</f>
        <v>2296</v>
      </c>
    </row>
    <row r="113" spans="3:7" x14ac:dyDescent="0.25">
      <c r="E113" s="9">
        <f>E78-E112</f>
        <v>0</v>
      </c>
      <c r="F113" s="10" t="s">
        <v>389</v>
      </c>
      <c r="G113" s="12">
        <f>E78-F112-G112</f>
        <v>998</v>
      </c>
    </row>
    <row r="115" spans="3:7" x14ac:dyDescent="0.25">
      <c r="C115" s="13"/>
      <c r="D115" s="14" t="s">
        <v>93</v>
      </c>
      <c r="E115" s="15" t="s">
        <v>94</v>
      </c>
    </row>
    <row r="116" spans="3:7" x14ac:dyDescent="0.25">
      <c r="C116" s="8" t="s">
        <v>402</v>
      </c>
      <c r="D116">
        <f>SUMIFS($D$2:$D$74,$E$2:$E$74,D$115,$F$2:$F$74,"&lt;5.1")</f>
        <v>307</v>
      </c>
      <c r="E116" s="9">
        <f>SUMIFS($D$2:$D$74,$E$2:$E$74,E$115,$F$2:$F$74,"&lt;5.1")</f>
        <v>825</v>
      </c>
    </row>
    <row r="117" spans="3:7" x14ac:dyDescent="0.25">
      <c r="C117" s="29" t="s">
        <v>403</v>
      </c>
      <c r="D117">
        <f>SUMIFS($D$2:$D$74,$E$2:$E$74,D$115,$F$2:$F$74,"&lt;10.1")-D116</f>
        <v>323</v>
      </c>
      <c r="E117" s="9">
        <f>SUMIFS($D$2:$D$74,$E$2:$E$74,E$115,$F$2:$F$74,"&lt;10.1")-E116</f>
        <v>416</v>
      </c>
    </row>
    <row r="118" spans="3:7" x14ac:dyDescent="0.25">
      <c r="C118" s="29" t="s">
        <v>404</v>
      </c>
      <c r="D118">
        <f>SUMIFS($D$2:$D$74,$E$2:$E$74,D$115,$F$2:$F$74,"&lt;15.1")-D117-D116</f>
        <v>96</v>
      </c>
      <c r="E118" s="9">
        <f>SUMIFS($D$2:$D$74,$E$2:$E$74,E$115,$F$2:$F$74,"&lt;15.1")-E117-E116</f>
        <v>406</v>
      </c>
    </row>
    <row r="119" spans="3:7" x14ac:dyDescent="0.25">
      <c r="C119" s="29" t="s">
        <v>102</v>
      </c>
      <c r="D119">
        <f>SUMIFS($D$2:$D$74,$E$2:$E$74,D$115,$F$2:$F$74,"&lt;20.1")-D118-D117-D116</f>
        <v>89</v>
      </c>
      <c r="E119" s="9">
        <f>SUMIFS($D$2:$D$74,$E$2:$E$74,E$115,$F$2:$F$74,"&lt;20.1")-E118-E117-E116</f>
        <v>299</v>
      </c>
    </row>
    <row r="120" spans="3:7" x14ac:dyDescent="0.25">
      <c r="C120" s="8" t="s">
        <v>405</v>
      </c>
      <c r="D120">
        <f>SUMIFS($D$2:$D$74,$E$2:$E$74,D$115,$F$2:$F$74,"&lt;40.1")-D119-D118-D117-D116</f>
        <v>0</v>
      </c>
      <c r="E120" s="9">
        <f>SUMIFS($D$2:$D$74,$E$2:$E$74,E$115,$F$2:$F$74,"&lt;40.1")-E119-E118-E117-E116</f>
        <v>0</v>
      </c>
    </row>
    <row r="121" spans="3:7" x14ac:dyDescent="0.25">
      <c r="C121" s="10" t="s">
        <v>406</v>
      </c>
      <c r="D121" s="11">
        <f>E81-SUM(D116:D120)</f>
        <v>216</v>
      </c>
      <c r="E121" s="12">
        <f>E80-SUM(E116:E120)</f>
        <v>350</v>
      </c>
    </row>
  </sheetData>
  <sortState xmlns:xlrd2="http://schemas.microsoft.com/office/spreadsheetml/2017/richdata2" ref="V86:V94">
    <sortCondition ref="V86:V94"/>
  </sortState>
  <pageMargins left="0.7" right="0.7" top="0.75" bottom="0.75" header="0.3" footer="0.3"/>
  <pageSetup paperSize="9" orientation="portrait" r:id="rId1"/>
  <headerFooter>
    <oddFooter>&amp;L&amp;1#&amp;"Arial"&amp;8&amp;KD5DAD9</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15"/>
  <sheetViews>
    <sheetView zoomScale="70" zoomScaleNormal="70" workbookViewId="0">
      <selection activeCell="B2" sqref="B2:S34"/>
    </sheetView>
  </sheetViews>
  <sheetFormatPr defaultRowHeight="15" x14ac:dyDescent="0.25"/>
  <cols>
    <col min="2" max="9" width="13.7109375" customWidth="1"/>
    <col min="10" max="10" width="1.7109375" customWidth="1"/>
    <col min="11" max="11" width="2.140625" customWidth="1"/>
    <col min="12" max="13" width="12" bestFit="1" customWidth="1"/>
    <col min="14" max="14" width="12" customWidth="1"/>
    <col min="15" max="15" width="4.140625" customWidth="1"/>
    <col min="16" max="16" width="15.140625" customWidth="1"/>
    <col min="17" max="17" width="2.28515625" customWidth="1"/>
    <col min="18" max="18" width="2.5703125" customWidth="1"/>
    <col min="19" max="20" width="12" bestFit="1" customWidth="1"/>
    <col min="21" max="21" width="4.42578125" customWidth="1"/>
    <col min="22" max="22" width="13.28515625" bestFit="1" customWidth="1"/>
    <col min="23" max="24" width="12" bestFit="1" customWidth="1"/>
  </cols>
  <sheetData>
    <row r="1" spans="1:29" x14ac:dyDescent="0.25">
      <c r="B1" s="5" t="s">
        <v>86</v>
      </c>
      <c r="C1" s="6" t="s">
        <v>87</v>
      </c>
      <c r="D1" s="6" t="s">
        <v>88</v>
      </c>
      <c r="E1" s="6" t="s">
        <v>98</v>
      </c>
      <c r="F1" s="6" t="s">
        <v>100</v>
      </c>
      <c r="G1" s="6" t="s">
        <v>89</v>
      </c>
      <c r="H1" s="6" t="s">
        <v>91</v>
      </c>
      <c r="I1" s="6" t="s">
        <v>90</v>
      </c>
      <c r="J1" s="6" t="s">
        <v>131</v>
      </c>
      <c r="K1" s="6" t="s">
        <v>130</v>
      </c>
      <c r="L1" s="6" t="s">
        <v>103</v>
      </c>
      <c r="M1" s="6" t="s">
        <v>101</v>
      </c>
      <c r="N1" s="6" t="s">
        <v>107</v>
      </c>
      <c r="O1" s="6" t="s">
        <v>91</v>
      </c>
      <c r="P1" s="6" t="s">
        <v>105</v>
      </c>
      <c r="Q1" s="6" t="s">
        <v>131</v>
      </c>
      <c r="R1" s="6" t="s">
        <v>130</v>
      </c>
      <c r="S1" s="6" t="s">
        <v>103</v>
      </c>
      <c r="T1" s="6" t="s">
        <v>101</v>
      </c>
      <c r="U1" s="6" t="s">
        <v>91</v>
      </c>
      <c r="V1" s="6" t="s">
        <v>105</v>
      </c>
      <c r="W1" s="6" t="s">
        <v>103</v>
      </c>
      <c r="X1" s="7" t="s">
        <v>101</v>
      </c>
      <c r="AB1" s="3" t="s">
        <v>682</v>
      </c>
      <c r="AC1" t="s">
        <v>683</v>
      </c>
    </row>
    <row r="2" spans="1:29" x14ac:dyDescent="0.25">
      <c r="A2">
        <f t="shared" ref="A2:A34" si="0">COUNTIF($C$86:$C$105,C2)</f>
        <v>1</v>
      </c>
      <c r="B2" t="s">
        <v>829</v>
      </c>
      <c r="C2" t="s">
        <v>318</v>
      </c>
      <c r="D2">
        <v>30</v>
      </c>
      <c r="E2" t="s">
        <v>93</v>
      </c>
      <c r="F2">
        <v>6</v>
      </c>
      <c r="G2" t="s">
        <v>618</v>
      </c>
      <c r="H2">
        <v>10</v>
      </c>
      <c r="I2" t="s">
        <v>321</v>
      </c>
      <c r="K2">
        <v>3</v>
      </c>
      <c r="X2" s="9"/>
      <c r="AB2">
        <f>COUNTIF($I$87:$I$117,I2)</f>
        <v>1</v>
      </c>
      <c r="AC2">
        <f>COUNTIF($C$86:$C$117,C2)</f>
        <v>1</v>
      </c>
    </row>
    <row r="3" spans="1:29" x14ac:dyDescent="0.25">
      <c r="A3">
        <f t="shared" si="0"/>
        <v>1</v>
      </c>
      <c r="B3" t="s">
        <v>830</v>
      </c>
      <c r="C3" t="s">
        <v>142</v>
      </c>
      <c r="D3">
        <v>49</v>
      </c>
      <c r="E3" t="s">
        <v>212</v>
      </c>
      <c r="G3" t="s">
        <v>221</v>
      </c>
      <c r="H3">
        <v>27</v>
      </c>
      <c r="I3" t="s">
        <v>222</v>
      </c>
      <c r="J3">
        <v>100</v>
      </c>
      <c r="K3">
        <v>1.8</v>
      </c>
      <c r="X3" s="9"/>
      <c r="AB3">
        <f t="shared" ref="AB3:AB34" si="1">COUNTIF($I$87:$I$117,I3)</f>
        <v>1</v>
      </c>
      <c r="AC3">
        <f t="shared" ref="AC3:AC34" si="2">COUNTIF($C$86:$C$117,C3)</f>
        <v>1</v>
      </c>
    </row>
    <row r="4" spans="1:29" x14ac:dyDescent="0.25">
      <c r="A4">
        <f t="shared" si="0"/>
        <v>1</v>
      </c>
      <c r="B4" t="s">
        <v>831</v>
      </c>
      <c r="C4" t="s">
        <v>146</v>
      </c>
      <c r="D4">
        <v>56</v>
      </c>
      <c r="E4" t="s">
        <v>212</v>
      </c>
      <c r="F4">
        <v>12</v>
      </c>
      <c r="G4" t="s">
        <v>876</v>
      </c>
      <c r="H4">
        <v>28</v>
      </c>
      <c r="I4" t="s">
        <v>244</v>
      </c>
      <c r="J4">
        <v>90</v>
      </c>
      <c r="K4">
        <v>2</v>
      </c>
      <c r="X4" s="9"/>
      <c r="AB4">
        <f t="shared" si="1"/>
        <v>1</v>
      </c>
      <c r="AC4">
        <f t="shared" si="2"/>
        <v>1</v>
      </c>
    </row>
    <row r="5" spans="1:29" x14ac:dyDescent="0.25">
      <c r="A5">
        <f t="shared" si="0"/>
        <v>1</v>
      </c>
      <c r="B5" s="8" t="s">
        <v>813</v>
      </c>
      <c r="C5" t="s">
        <v>20</v>
      </c>
      <c r="D5">
        <v>150</v>
      </c>
      <c r="E5" t="s">
        <v>93</v>
      </c>
      <c r="F5">
        <v>5</v>
      </c>
      <c r="H5" s="1"/>
      <c r="X5" s="9"/>
      <c r="AB5">
        <f t="shared" si="1"/>
        <v>0</v>
      </c>
      <c r="AC5">
        <f t="shared" si="2"/>
        <v>1</v>
      </c>
    </row>
    <row r="6" spans="1:29" x14ac:dyDescent="0.25">
      <c r="A6">
        <f t="shared" si="0"/>
        <v>1</v>
      </c>
      <c r="B6" s="8" t="s">
        <v>814</v>
      </c>
      <c r="C6" t="s">
        <v>20</v>
      </c>
      <c r="D6">
        <v>102</v>
      </c>
      <c r="E6" t="s">
        <v>93</v>
      </c>
      <c r="F6">
        <v>5</v>
      </c>
      <c r="H6" s="1"/>
      <c r="X6" s="9"/>
      <c r="AB6">
        <f t="shared" si="1"/>
        <v>0</v>
      </c>
      <c r="AC6">
        <f t="shared" si="2"/>
        <v>1</v>
      </c>
    </row>
    <row r="7" spans="1:29" x14ac:dyDescent="0.25">
      <c r="A7">
        <f t="shared" si="0"/>
        <v>1</v>
      </c>
      <c r="B7" s="8" t="s">
        <v>815</v>
      </c>
      <c r="C7" t="s">
        <v>161</v>
      </c>
      <c r="D7">
        <v>82</v>
      </c>
      <c r="E7" t="s">
        <v>93</v>
      </c>
      <c r="F7">
        <v>3</v>
      </c>
      <c r="G7" t="s">
        <v>816</v>
      </c>
      <c r="H7" s="1">
        <v>22</v>
      </c>
      <c r="I7" t="s">
        <v>462</v>
      </c>
      <c r="J7">
        <v>80</v>
      </c>
      <c r="K7">
        <v>2</v>
      </c>
      <c r="O7">
        <v>19</v>
      </c>
      <c r="P7" t="s">
        <v>244</v>
      </c>
      <c r="Q7">
        <v>90</v>
      </c>
      <c r="R7">
        <v>2</v>
      </c>
      <c r="S7" s="26"/>
      <c r="X7" s="9"/>
      <c r="AB7">
        <f t="shared" si="1"/>
        <v>1</v>
      </c>
      <c r="AC7">
        <f t="shared" si="2"/>
        <v>1</v>
      </c>
    </row>
    <row r="8" spans="1:29" x14ac:dyDescent="0.25">
      <c r="A8">
        <f t="shared" si="0"/>
        <v>1</v>
      </c>
      <c r="B8" s="8" t="s">
        <v>817</v>
      </c>
      <c r="C8" t="s">
        <v>34</v>
      </c>
      <c r="D8">
        <v>396</v>
      </c>
      <c r="E8" t="s">
        <v>94</v>
      </c>
      <c r="F8">
        <v>10</v>
      </c>
      <c r="G8" t="s">
        <v>818</v>
      </c>
      <c r="H8" s="1">
        <v>132</v>
      </c>
      <c r="I8" t="s">
        <v>233</v>
      </c>
      <c r="J8">
        <v>90</v>
      </c>
      <c r="K8">
        <v>3</v>
      </c>
      <c r="X8" s="9"/>
      <c r="AB8">
        <f t="shared" si="1"/>
        <v>1</v>
      </c>
      <c r="AC8">
        <f t="shared" si="2"/>
        <v>1</v>
      </c>
    </row>
    <row r="9" spans="1:29" x14ac:dyDescent="0.25">
      <c r="A9">
        <f t="shared" si="0"/>
        <v>1</v>
      </c>
      <c r="B9" t="s">
        <v>832</v>
      </c>
      <c r="C9" t="s">
        <v>142</v>
      </c>
      <c r="D9">
        <v>50</v>
      </c>
      <c r="E9" t="s">
        <v>212</v>
      </c>
      <c r="H9">
        <v>25</v>
      </c>
      <c r="I9" t="s">
        <v>244</v>
      </c>
      <c r="J9">
        <v>90</v>
      </c>
      <c r="K9">
        <v>2</v>
      </c>
      <c r="X9" s="9"/>
      <c r="AB9">
        <f t="shared" si="1"/>
        <v>1</v>
      </c>
      <c r="AC9">
        <f t="shared" si="2"/>
        <v>1</v>
      </c>
    </row>
    <row r="10" spans="1:29" x14ac:dyDescent="0.25">
      <c r="A10">
        <f t="shared" si="0"/>
        <v>1</v>
      </c>
      <c r="B10" t="s">
        <v>833</v>
      </c>
      <c r="C10" t="s">
        <v>142</v>
      </c>
      <c r="D10">
        <v>50</v>
      </c>
      <c r="E10" t="s">
        <v>212</v>
      </c>
      <c r="X10" s="9"/>
      <c r="AB10">
        <f t="shared" si="1"/>
        <v>0</v>
      </c>
      <c r="AC10">
        <f t="shared" si="2"/>
        <v>1</v>
      </c>
    </row>
    <row r="11" spans="1:29" x14ac:dyDescent="0.25">
      <c r="A11">
        <f t="shared" si="0"/>
        <v>1</v>
      </c>
      <c r="B11" s="8" t="s">
        <v>819</v>
      </c>
      <c r="C11" t="s">
        <v>69</v>
      </c>
      <c r="D11">
        <v>90</v>
      </c>
      <c r="G11" t="s">
        <v>820</v>
      </c>
      <c r="H11" s="1">
        <v>30</v>
      </c>
      <c r="I11" t="s">
        <v>233</v>
      </c>
      <c r="J11">
        <v>90</v>
      </c>
      <c r="K11">
        <v>3</v>
      </c>
      <c r="X11" s="9"/>
      <c r="AB11">
        <f t="shared" si="1"/>
        <v>1</v>
      </c>
      <c r="AC11">
        <f t="shared" si="2"/>
        <v>1</v>
      </c>
    </row>
    <row r="12" spans="1:29" x14ac:dyDescent="0.25">
      <c r="A12">
        <f t="shared" si="0"/>
        <v>1</v>
      </c>
      <c r="B12" t="s">
        <v>834</v>
      </c>
      <c r="C12" t="s">
        <v>142</v>
      </c>
      <c r="D12">
        <v>49.4</v>
      </c>
      <c r="E12" t="s">
        <v>212</v>
      </c>
      <c r="H12" s="1">
        <v>25</v>
      </c>
      <c r="I12" t="s">
        <v>244</v>
      </c>
      <c r="J12">
        <v>90</v>
      </c>
      <c r="K12">
        <v>2</v>
      </c>
      <c r="X12" s="9"/>
      <c r="AB12">
        <f t="shared" si="1"/>
        <v>1</v>
      </c>
      <c r="AC12">
        <f t="shared" si="2"/>
        <v>1</v>
      </c>
    </row>
    <row r="13" spans="1:29" x14ac:dyDescent="0.25">
      <c r="A13">
        <f t="shared" si="0"/>
        <v>1</v>
      </c>
      <c r="B13" t="s">
        <v>836</v>
      </c>
      <c r="C13" t="s">
        <v>835</v>
      </c>
      <c r="D13">
        <v>40</v>
      </c>
      <c r="E13" t="s">
        <v>212</v>
      </c>
      <c r="O13" s="1"/>
      <c r="X13" s="9"/>
      <c r="AB13">
        <f t="shared" si="1"/>
        <v>0</v>
      </c>
      <c r="AC13">
        <f t="shared" si="2"/>
        <v>1</v>
      </c>
    </row>
    <row r="14" spans="1:29" x14ac:dyDescent="0.25">
      <c r="A14">
        <f t="shared" si="0"/>
        <v>1</v>
      </c>
      <c r="B14" t="s">
        <v>837</v>
      </c>
      <c r="C14" t="s">
        <v>142</v>
      </c>
      <c r="D14">
        <v>48</v>
      </c>
      <c r="E14" t="s">
        <v>212</v>
      </c>
      <c r="H14">
        <f>D14/K14</f>
        <v>16</v>
      </c>
      <c r="I14" t="s">
        <v>233</v>
      </c>
      <c r="J14">
        <v>90</v>
      </c>
      <c r="K14">
        <v>3</v>
      </c>
      <c r="X14" s="9"/>
      <c r="AB14">
        <f t="shared" si="1"/>
        <v>1</v>
      </c>
      <c r="AC14">
        <f t="shared" si="2"/>
        <v>1</v>
      </c>
    </row>
    <row r="15" spans="1:29" x14ac:dyDescent="0.25">
      <c r="A15">
        <f t="shared" si="0"/>
        <v>1</v>
      </c>
      <c r="B15" t="s">
        <v>838</v>
      </c>
      <c r="C15" t="s">
        <v>142</v>
      </c>
      <c r="D15">
        <v>50</v>
      </c>
      <c r="E15" t="s">
        <v>212</v>
      </c>
      <c r="H15">
        <v>25</v>
      </c>
      <c r="I15" t="s">
        <v>462</v>
      </c>
      <c r="J15">
        <v>80</v>
      </c>
      <c r="K15">
        <v>2</v>
      </c>
      <c r="X15" s="9"/>
      <c r="AB15">
        <f t="shared" si="1"/>
        <v>1</v>
      </c>
      <c r="AC15">
        <f t="shared" si="2"/>
        <v>1</v>
      </c>
    </row>
    <row r="16" spans="1:29" x14ac:dyDescent="0.25">
      <c r="A16">
        <f t="shared" si="0"/>
        <v>1</v>
      </c>
      <c r="B16" t="s">
        <v>838</v>
      </c>
      <c r="C16" t="s">
        <v>146</v>
      </c>
      <c r="D16">
        <v>55</v>
      </c>
      <c r="E16" t="s">
        <v>212</v>
      </c>
      <c r="F16">
        <v>15</v>
      </c>
      <c r="G16" t="s">
        <v>875</v>
      </c>
      <c r="H16">
        <v>21</v>
      </c>
      <c r="I16" t="s">
        <v>778</v>
      </c>
      <c r="J16">
        <v>100</v>
      </c>
      <c r="K16">
        <v>2.6</v>
      </c>
      <c r="X16" s="9"/>
      <c r="AB16">
        <f t="shared" si="1"/>
        <v>1</v>
      </c>
      <c r="AC16">
        <f t="shared" si="2"/>
        <v>1</v>
      </c>
    </row>
    <row r="17" spans="1:29" x14ac:dyDescent="0.25">
      <c r="A17">
        <f t="shared" si="0"/>
        <v>1</v>
      </c>
      <c r="B17" t="s">
        <v>839</v>
      </c>
      <c r="C17" t="s">
        <v>166</v>
      </c>
      <c r="D17">
        <v>16</v>
      </c>
      <c r="E17" t="s">
        <v>212</v>
      </c>
      <c r="H17">
        <v>8</v>
      </c>
      <c r="I17" t="s">
        <v>113</v>
      </c>
      <c r="J17">
        <v>100</v>
      </c>
      <c r="K17">
        <v>2</v>
      </c>
      <c r="X17" s="9"/>
      <c r="AB17">
        <f t="shared" si="1"/>
        <v>1</v>
      </c>
      <c r="AC17">
        <f t="shared" si="2"/>
        <v>1</v>
      </c>
    </row>
    <row r="18" spans="1:29" x14ac:dyDescent="0.25">
      <c r="A18">
        <f t="shared" si="0"/>
        <v>1</v>
      </c>
      <c r="B18" s="8" t="s">
        <v>821</v>
      </c>
      <c r="C18" t="s">
        <v>140</v>
      </c>
      <c r="D18">
        <v>90</v>
      </c>
      <c r="E18" t="s">
        <v>94</v>
      </c>
      <c r="F18">
        <v>15</v>
      </c>
      <c r="G18" t="s">
        <v>822</v>
      </c>
      <c r="H18" s="1">
        <v>30</v>
      </c>
      <c r="I18" t="s">
        <v>233</v>
      </c>
      <c r="J18">
        <v>90</v>
      </c>
      <c r="K18">
        <v>3</v>
      </c>
      <c r="X18" s="9"/>
      <c r="AB18">
        <f t="shared" si="1"/>
        <v>1</v>
      </c>
      <c r="AC18">
        <f t="shared" si="2"/>
        <v>1</v>
      </c>
    </row>
    <row r="19" spans="1:29" x14ac:dyDescent="0.25">
      <c r="A19">
        <f t="shared" si="0"/>
        <v>1</v>
      </c>
      <c r="B19" s="8" t="s">
        <v>823</v>
      </c>
      <c r="C19" t="s">
        <v>320</v>
      </c>
      <c r="D19">
        <v>216</v>
      </c>
      <c r="E19" t="s">
        <v>93</v>
      </c>
      <c r="F19">
        <v>15</v>
      </c>
      <c r="G19" t="s">
        <v>824</v>
      </c>
      <c r="H19" s="1">
        <v>72</v>
      </c>
      <c r="I19" t="s">
        <v>321</v>
      </c>
      <c r="J19">
        <v>112</v>
      </c>
      <c r="K19">
        <v>3</v>
      </c>
      <c r="X19" s="9"/>
      <c r="AB19">
        <f t="shared" si="1"/>
        <v>1</v>
      </c>
      <c r="AC19">
        <f t="shared" si="2"/>
        <v>1</v>
      </c>
    </row>
    <row r="20" spans="1:29" x14ac:dyDescent="0.25">
      <c r="A20">
        <f t="shared" si="0"/>
        <v>1</v>
      </c>
      <c r="B20" t="s">
        <v>840</v>
      </c>
      <c r="C20" t="s">
        <v>34</v>
      </c>
      <c r="D20">
        <v>50</v>
      </c>
      <c r="E20" t="s">
        <v>212</v>
      </c>
      <c r="F20">
        <v>10</v>
      </c>
      <c r="G20" t="s">
        <v>874</v>
      </c>
      <c r="H20">
        <v>28</v>
      </c>
      <c r="I20" t="s">
        <v>222</v>
      </c>
      <c r="J20">
        <v>100</v>
      </c>
      <c r="K20">
        <v>1.8</v>
      </c>
      <c r="X20" s="9"/>
      <c r="AB20">
        <f t="shared" si="1"/>
        <v>1</v>
      </c>
      <c r="AC20">
        <f t="shared" si="2"/>
        <v>1</v>
      </c>
    </row>
    <row r="21" spans="1:29" x14ac:dyDescent="0.25">
      <c r="A21">
        <f t="shared" si="0"/>
        <v>1</v>
      </c>
      <c r="B21" t="s">
        <v>840</v>
      </c>
      <c r="C21" t="s">
        <v>162</v>
      </c>
      <c r="D21">
        <v>24</v>
      </c>
      <c r="X21" s="9"/>
      <c r="AB21">
        <f t="shared" si="1"/>
        <v>0</v>
      </c>
      <c r="AC21">
        <f t="shared" si="2"/>
        <v>1</v>
      </c>
    </row>
    <row r="22" spans="1:29" x14ac:dyDescent="0.25">
      <c r="A22">
        <f t="shared" si="0"/>
        <v>1</v>
      </c>
      <c r="B22" t="s">
        <v>841</v>
      </c>
      <c r="C22" t="s">
        <v>146</v>
      </c>
      <c r="D22">
        <v>20</v>
      </c>
      <c r="E22" t="s">
        <v>212</v>
      </c>
      <c r="H22">
        <f>D22/K22</f>
        <v>10</v>
      </c>
      <c r="I22" t="s">
        <v>113</v>
      </c>
      <c r="J22">
        <v>100</v>
      </c>
      <c r="K22">
        <v>2</v>
      </c>
      <c r="X22" s="9"/>
      <c r="AB22">
        <f t="shared" si="1"/>
        <v>1</v>
      </c>
      <c r="AC22">
        <f t="shared" si="2"/>
        <v>1</v>
      </c>
    </row>
    <row r="23" spans="1:29" x14ac:dyDescent="0.25">
      <c r="A23">
        <f t="shared" si="0"/>
        <v>1</v>
      </c>
      <c r="B23" t="s">
        <v>842</v>
      </c>
      <c r="C23" t="s">
        <v>146</v>
      </c>
      <c r="D23">
        <v>24</v>
      </c>
      <c r="E23" t="s">
        <v>212</v>
      </c>
      <c r="H23">
        <f>D23/K23</f>
        <v>8</v>
      </c>
      <c r="I23" t="s">
        <v>321</v>
      </c>
      <c r="J23">
        <v>112</v>
      </c>
      <c r="K23">
        <v>3</v>
      </c>
      <c r="X23" s="9"/>
      <c r="AB23">
        <f t="shared" si="1"/>
        <v>1</v>
      </c>
      <c r="AC23">
        <f t="shared" si="2"/>
        <v>1</v>
      </c>
    </row>
    <row r="24" spans="1:29" x14ac:dyDescent="0.25">
      <c r="A24">
        <f t="shared" si="0"/>
        <v>1</v>
      </c>
      <c r="B24" t="s">
        <v>843</v>
      </c>
      <c r="C24" t="s">
        <v>161</v>
      </c>
      <c r="D24">
        <v>40</v>
      </c>
      <c r="E24" t="s">
        <v>93</v>
      </c>
      <c r="H24">
        <v>20</v>
      </c>
      <c r="I24" t="s">
        <v>244</v>
      </c>
      <c r="J24">
        <v>90</v>
      </c>
      <c r="K24">
        <v>2</v>
      </c>
      <c r="X24" s="9"/>
      <c r="AB24">
        <f t="shared" si="1"/>
        <v>1</v>
      </c>
      <c r="AC24">
        <f t="shared" si="2"/>
        <v>1</v>
      </c>
    </row>
    <row r="25" spans="1:29" x14ac:dyDescent="0.25">
      <c r="A25">
        <f t="shared" si="0"/>
        <v>1</v>
      </c>
      <c r="B25" t="s">
        <v>844</v>
      </c>
      <c r="C25" t="s">
        <v>165</v>
      </c>
      <c r="D25">
        <v>68</v>
      </c>
      <c r="E25" t="s">
        <v>212</v>
      </c>
      <c r="H25">
        <v>34</v>
      </c>
      <c r="I25" t="s">
        <v>244</v>
      </c>
      <c r="J25">
        <v>90</v>
      </c>
      <c r="K25">
        <v>2</v>
      </c>
      <c r="X25" s="9"/>
      <c r="AB25">
        <f t="shared" si="1"/>
        <v>1</v>
      </c>
      <c r="AC25">
        <f t="shared" si="2"/>
        <v>1</v>
      </c>
    </row>
    <row r="26" spans="1:29" x14ac:dyDescent="0.25">
      <c r="A26">
        <f t="shared" si="0"/>
        <v>1</v>
      </c>
      <c r="B26" t="s">
        <v>825</v>
      </c>
      <c r="C26" t="s">
        <v>206</v>
      </c>
      <c r="D26">
        <v>36</v>
      </c>
      <c r="E26" t="s">
        <v>212</v>
      </c>
      <c r="X26" s="9"/>
      <c r="AB26">
        <f t="shared" si="1"/>
        <v>0</v>
      </c>
      <c r="AC26">
        <f t="shared" si="2"/>
        <v>1</v>
      </c>
    </row>
    <row r="27" spans="1:29" x14ac:dyDescent="0.25">
      <c r="A27">
        <f t="shared" si="0"/>
        <v>1</v>
      </c>
      <c r="B27" s="8" t="s">
        <v>825</v>
      </c>
      <c r="C27" t="s">
        <v>826</v>
      </c>
      <c r="D27">
        <v>114</v>
      </c>
      <c r="E27" t="s">
        <v>212</v>
      </c>
      <c r="H27" s="1"/>
      <c r="X27" s="9"/>
      <c r="AB27">
        <f t="shared" si="1"/>
        <v>0</v>
      </c>
      <c r="AC27">
        <f t="shared" si="2"/>
        <v>1</v>
      </c>
    </row>
    <row r="28" spans="1:29" x14ac:dyDescent="0.25">
      <c r="A28">
        <f t="shared" si="0"/>
        <v>1</v>
      </c>
      <c r="B28" s="8" t="s">
        <v>845</v>
      </c>
      <c r="C28" t="s">
        <v>176</v>
      </c>
      <c r="D28">
        <v>27</v>
      </c>
      <c r="E28" t="s">
        <v>212</v>
      </c>
      <c r="H28">
        <f>D28/K28</f>
        <v>9</v>
      </c>
      <c r="I28" t="s">
        <v>321</v>
      </c>
      <c r="J28">
        <v>112</v>
      </c>
      <c r="K28">
        <v>3</v>
      </c>
      <c r="X28" s="9"/>
      <c r="AB28">
        <f t="shared" si="1"/>
        <v>1</v>
      </c>
      <c r="AC28">
        <f t="shared" si="2"/>
        <v>1</v>
      </c>
    </row>
    <row r="29" spans="1:29" x14ac:dyDescent="0.25">
      <c r="A29">
        <f t="shared" si="0"/>
        <v>1</v>
      </c>
      <c r="B29" s="8" t="s">
        <v>846</v>
      </c>
      <c r="C29" t="s">
        <v>318</v>
      </c>
      <c r="D29">
        <v>9</v>
      </c>
      <c r="E29" t="s">
        <v>212</v>
      </c>
      <c r="H29">
        <f>D29/K29</f>
        <v>3</v>
      </c>
      <c r="I29" t="s">
        <v>809</v>
      </c>
      <c r="J29">
        <v>126</v>
      </c>
      <c r="K29">
        <v>3</v>
      </c>
      <c r="X29" s="9"/>
      <c r="AB29">
        <f t="shared" si="1"/>
        <v>1</v>
      </c>
      <c r="AC29">
        <f t="shared" si="2"/>
        <v>1</v>
      </c>
    </row>
    <row r="30" spans="1:29" x14ac:dyDescent="0.25">
      <c r="A30">
        <f t="shared" si="0"/>
        <v>1</v>
      </c>
      <c r="B30" s="8" t="s">
        <v>827</v>
      </c>
      <c r="C30" t="s">
        <v>528</v>
      </c>
      <c r="D30">
        <v>66.599999999999994</v>
      </c>
      <c r="E30" t="s">
        <v>94</v>
      </c>
      <c r="F30">
        <v>15</v>
      </c>
      <c r="G30" t="s">
        <v>828</v>
      </c>
      <c r="H30" s="1">
        <v>37</v>
      </c>
      <c r="I30" t="s">
        <v>222</v>
      </c>
      <c r="J30">
        <v>100</v>
      </c>
      <c r="K30">
        <v>1.8</v>
      </c>
      <c r="X30" s="9"/>
      <c r="AB30">
        <f t="shared" si="1"/>
        <v>1</v>
      </c>
      <c r="AC30">
        <f t="shared" si="2"/>
        <v>1</v>
      </c>
    </row>
    <row r="31" spans="1:29" x14ac:dyDescent="0.25">
      <c r="A31">
        <f t="shared" si="0"/>
        <v>1</v>
      </c>
      <c r="B31" s="8" t="s">
        <v>847</v>
      </c>
      <c r="C31" t="s">
        <v>146</v>
      </c>
      <c r="D31">
        <v>39</v>
      </c>
      <c r="E31" t="s">
        <v>212</v>
      </c>
      <c r="F31">
        <v>15</v>
      </c>
      <c r="G31" t="s">
        <v>873</v>
      </c>
      <c r="H31" s="1">
        <v>13</v>
      </c>
      <c r="I31" t="s">
        <v>321</v>
      </c>
      <c r="J31">
        <v>112</v>
      </c>
      <c r="K31">
        <v>3</v>
      </c>
      <c r="X31" s="9"/>
      <c r="AB31">
        <f t="shared" si="1"/>
        <v>1</v>
      </c>
      <c r="AC31">
        <f t="shared" si="2"/>
        <v>1</v>
      </c>
    </row>
    <row r="32" spans="1:29" x14ac:dyDescent="0.25">
      <c r="A32">
        <f t="shared" si="0"/>
        <v>1</v>
      </c>
      <c r="B32" s="8" t="s">
        <v>812</v>
      </c>
      <c r="C32" t="s">
        <v>528</v>
      </c>
      <c r="D32">
        <v>73.8</v>
      </c>
      <c r="E32" t="s">
        <v>94</v>
      </c>
      <c r="F32">
        <v>15</v>
      </c>
      <c r="H32" s="1">
        <v>41</v>
      </c>
      <c r="I32" t="s">
        <v>222</v>
      </c>
      <c r="J32">
        <v>100</v>
      </c>
      <c r="K32">
        <v>1.8</v>
      </c>
      <c r="X32" s="9"/>
      <c r="AB32">
        <f t="shared" si="1"/>
        <v>1</v>
      </c>
      <c r="AC32">
        <f t="shared" si="2"/>
        <v>1</v>
      </c>
    </row>
    <row r="33" spans="1:29" x14ac:dyDescent="0.25">
      <c r="A33">
        <f t="shared" si="0"/>
        <v>1</v>
      </c>
      <c r="B33" s="8" t="s">
        <v>848</v>
      </c>
      <c r="C33" t="s">
        <v>163</v>
      </c>
      <c r="D33">
        <v>17</v>
      </c>
      <c r="E33" t="s">
        <v>212</v>
      </c>
      <c r="X33" s="9"/>
      <c r="AB33">
        <f t="shared" si="1"/>
        <v>0</v>
      </c>
      <c r="AC33">
        <f t="shared" si="2"/>
        <v>1</v>
      </c>
    </row>
    <row r="34" spans="1:29" s="11" customFormat="1" x14ac:dyDescent="0.25">
      <c r="A34" s="11">
        <f t="shared" si="0"/>
        <v>1</v>
      </c>
      <c r="B34" s="10" t="s">
        <v>848</v>
      </c>
      <c r="C34" s="11" t="s">
        <v>34</v>
      </c>
      <c r="D34" s="11">
        <v>54</v>
      </c>
      <c r="E34" s="11" t="s">
        <v>212</v>
      </c>
      <c r="H34" s="11">
        <v>30</v>
      </c>
      <c r="I34" s="11" t="s">
        <v>222</v>
      </c>
      <c r="J34" s="11">
        <v>100</v>
      </c>
      <c r="K34" s="11">
        <v>1.8</v>
      </c>
      <c r="X34" s="12"/>
      <c r="AB34" s="11">
        <f t="shared" si="1"/>
        <v>1</v>
      </c>
      <c r="AC34" s="11">
        <f t="shared" si="2"/>
        <v>1</v>
      </c>
    </row>
    <row r="35" spans="1:29" x14ac:dyDescent="0.25">
      <c r="B35" s="8"/>
      <c r="H35" s="1"/>
      <c r="X35" s="9"/>
    </row>
    <row r="36" spans="1:29" hidden="1" x14ac:dyDescent="0.25">
      <c r="B36" s="8"/>
      <c r="H36" s="1"/>
      <c r="X36" s="9"/>
    </row>
    <row r="37" spans="1:29" hidden="1" x14ac:dyDescent="0.25">
      <c r="X37" s="9"/>
    </row>
    <row r="38" spans="1:29" hidden="1" x14ac:dyDescent="0.25">
      <c r="X38" s="9"/>
    </row>
    <row r="39" spans="1:29" hidden="1" x14ac:dyDescent="0.25">
      <c r="B39" s="8"/>
      <c r="H39" s="1"/>
      <c r="X39" s="9"/>
    </row>
    <row r="40" spans="1:29" hidden="1" x14ac:dyDescent="0.25">
      <c r="B40" s="8"/>
      <c r="H40" s="1"/>
      <c r="X40" s="9"/>
    </row>
    <row r="41" spans="1:29" hidden="1" x14ac:dyDescent="0.25">
      <c r="B41" s="8"/>
      <c r="H41" s="1"/>
      <c r="X41" s="9"/>
    </row>
    <row r="42" spans="1:29" hidden="1" x14ac:dyDescent="0.25">
      <c r="B42" s="8"/>
      <c r="H42" s="1"/>
      <c r="X42" s="9"/>
    </row>
    <row r="43" spans="1:29" hidden="1" x14ac:dyDescent="0.25">
      <c r="B43" s="8"/>
      <c r="H43" s="1"/>
      <c r="X43" s="9"/>
    </row>
    <row r="44" spans="1:29" hidden="1" x14ac:dyDescent="0.25">
      <c r="B44" s="8"/>
      <c r="H44" s="1"/>
      <c r="X44" s="9"/>
    </row>
    <row r="45" spans="1:29" hidden="1" x14ac:dyDescent="0.25">
      <c r="B45" s="8"/>
      <c r="H45" s="1"/>
      <c r="X45" s="9"/>
    </row>
    <row r="46" spans="1:29" hidden="1" x14ac:dyDescent="0.25">
      <c r="B46" s="8"/>
      <c r="H46" s="1"/>
      <c r="X46" s="9"/>
    </row>
    <row r="47" spans="1:29" hidden="1" x14ac:dyDescent="0.25">
      <c r="B47" s="8"/>
      <c r="H47" s="1"/>
      <c r="X47" s="9"/>
    </row>
    <row r="48" spans="1:29" hidden="1" x14ac:dyDescent="0.25">
      <c r="B48" s="8"/>
      <c r="H48" s="1"/>
      <c r="X48" s="9"/>
    </row>
    <row r="49" spans="2:24" hidden="1" x14ac:dyDescent="0.25">
      <c r="B49" s="8"/>
      <c r="H49" s="1"/>
      <c r="X49" s="9"/>
    </row>
    <row r="50" spans="2:24" hidden="1" x14ac:dyDescent="0.25">
      <c r="B50" s="8"/>
      <c r="H50" s="1"/>
      <c r="X50" s="9"/>
    </row>
    <row r="51" spans="2:24" hidden="1" x14ac:dyDescent="0.25">
      <c r="B51" s="8"/>
      <c r="H51" s="1"/>
      <c r="X51" s="9"/>
    </row>
    <row r="52" spans="2:24" hidden="1" x14ac:dyDescent="0.25">
      <c r="B52" s="8"/>
      <c r="H52" s="1"/>
      <c r="X52" s="9"/>
    </row>
    <row r="53" spans="2:24" hidden="1" x14ac:dyDescent="0.25">
      <c r="B53" s="8"/>
      <c r="H53" s="1"/>
      <c r="X53" s="9"/>
    </row>
    <row r="54" spans="2:24" hidden="1" x14ac:dyDescent="0.25">
      <c r="B54" s="8"/>
      <c r="H54" s="1"/>
      <c r="X54" s="9"/>
    </row>
    <row r="55" spans="2:24" hidden="1" x14ac:dyDescent="0.25">
      <c r="B55" s="8"/>
      <c r="H55" s="1"/>
      <c r="X55" s="9"/>
    </row>
    <row r="56" spans="2:24" hidden="1" x14ac:dyDescent="0.25">
      <c r="B56" s="8"/>
      <c r="H56" s="1"/>
      <c r="X56" s="9"/>
    </row>
    <row r="57" spans="2:24" hidden="1" x14ac:dyDescent="0.25">
      <c r="B57" s="8"/>
      <c r="H57" s="1"/>
      <c r="X57" s="9"/>
    </row>
    <row r="58" spans="2:24" hidden="1" x14ac:dyDescent="0.25">
      <c r="B58" s="8"/>
      <c r="H58" s="1"/>
      <c r="X58" s="9"/>
    </row>
    <row r="59" spans="2:24" hidden="1" x14ac:dyDescent="0.25">
      <c r="B59" s="8"/>
      <c r="H59" s="1"/>
      <c r="X59" s="9"/>
    </row>
    <row r="60" spans="2:24" hidden="1" x14ac:dyDescent="0.25">
      <c r="B60" s="8"/>
      <c r="H60" s="1"/>
      <c r="X60" s="9"/>
    </row>
    <row r="61" spans="2:24" hidden="1" x14ac:dyDescent="0.25">
      <c r="B61" s="8"/>
      <c r="H61" s="1"/>
      <c r="X61" s="9"/>
    </row>
    <row r="62" spans="2:24" hidden="1" x14ac:dyDescent="0.25">
      <c r="B62" s="8"/>
      <c r="H62" s="1"/>
      <c r="X62" s="9"/>
    </row>
    <row r="63" spans="2:24" hidden="1" x14ac:dyDescent="0.25">
      <c r="B63" s="8"/>
      <c r="H63" s="1"/>
      <c r="X63" s="9"/>
    </row>
    <row r="64" spans="2:24" hidden="1" x14ac:dyDescent="0.25">
      <c r="B64" s="8"/>
      <c r="H64" s="1"/>
      <c r="K64" s="27"/>
      <c r="X64" s="9"/>
    </row>
    <row r="65" spans="2:24" hidden="1" x14ac:dyDescent="0.25">
      <c r="B65" s="8"/>
      <c r="H65" s="1"/>
      <c r="X65" s="9"/>
    </row>
    <row r="66" spans="2:24" hidden="1" x14ac:dyDescent="0.25">
      <c r="B66" s="8"/>
      <c r="H66" s="1"/>
      <c r="X66" s="9"/>
    </row>
    <row r="67" spans="2:24" hidden="1" x14ac:dyDescent="0.25">
      <c r="B67" s="8"/>
      <c r="H67" s="1"/>
      <c r="X67" s="9"/>
    </row>
    <row r="68" spans="2:24" hidden="1" x14ac:dyDescent="0.25">
      <c r="B68" s="8"/>
      <c r="H68" s="1"/>
      <c r="X68" s="9"/>
    </row>
    <row r="69" spans="2:24" hidden="1" x14ac:dyDescent="0.25">
      <c r="B69" s="8"/>
      <c r="H69" s="1"/>
      <c r="X69" s="9"/>
    </row>
    <row r="70" spans="2:24" hidden="1" x14ac:dyDescent="0.25">
      <c r="B70" s="8"/>
      <c r="H70" s="1"/>
      <c r="X70" s="9"/>
    </row>
    <row r="71" spans="2:24" hidden="1" x14ac:dyDescent="0.25">
      <c r="B71" s="8"/>
      <c r="H71" s="1"/>
      <c r="X71" s="9"/>
    </row>
    <row r="72" spans="2:24" hidden="1" x14ac:dyDescent="0.25">
      <c r="B72" s="10"/>
      <c r="C72" s="11"/>
      <c r="D72" s="11"/>
      <c r="E72" s="11"/>
      <c r="F72" s="11"/>
      <c r="G72" s="11"/>
      <c r="H72" s="28"/>
      <c r="I72" s="11"/>
      <c r="J72" s="11"/>
      <c r="K72" s="11"/>
      <c r="L72" s="11"/>
      <c r="M72" s="11"/>
      <c r="N72" s="11"/>
      <c r="O72" s="11"/>
      <c r="P72" s="11"/>
      <c r="Q72" s="11"/>
      <c r="R72" s="11"/>
      <c r="S72" s="11"/>
      <c r="T72" s="11"/>
      <c r="U72" s="11"/>
      <c r="V72" s="11"/>
      <c r="W72" s="11"/>
      <c r="X72" s="12"/>
    </row>
    <row r="73" spans="2:24" x14ac:dyDescent="0.25">
      <c r="H73" s="1"/>
    </row>
    <row r="74" spans="2:24" x14ac:dyDescent="0.25">
      <c r="B74" s="2"/>
      <c r="H74" s="1"/>
    </row>
    <row r="75" spans="2:24" x14ac:dyDescent="0.25">
      <c r="B75" s="2"/>
      <c r="H75" s="1"/>
    </row>
    <row r="77" spans="2:24" x14ac:dyDescent="0.25">
      <c r="C77" s="5" t="s">
        <v>150</v>
      </c>
      <c r="D77" s="6" t="s">
        <v>91</v>
      </c>
      <c r="E77" s="6" t="s">
        <v>130</v>
      </c>
      <c r="F77" s="6"/>
      <c r="G77" s="7" t="s">
        <v>395</v>
      </c>
      <c r="I77" s="13" t="s">
        <v>124</v>
      </c>
      <c r="J77" s="14"/>
      <c r="K77" s="14"/>
      <c r="L77" s="14" t="s">
        <v>135</v>
      </c>
      <c r="M77" s="14" t="s">
        <v>375</v>
      </c>
      <c r="N77" s="15" t="s">
        <v>130</v>
      </c>
      <c r="P77" s="13" t="s">
        <v>124</v>
      </c>
      <c r="Q77" s="14"/>
      <c r="R77" s="14"/>
      <c r="S77" s="14" t="s">
        <v>135</v>
      </c>
      <c r="T77" s="15" t="s">
        <v>375</v>
      </c>
    </row>
    <row r="78" spans="2:24" x14ac:dyDescent="0.25">
      <c r="C78" s="8" t="s">
        <v>392</v>
      </c>
      <c r="D78" s="1">
        <f>SUM(M78:M81,T78:T81)</f>
        <v>723</v>
      </c>
      <c r="E78">
        <f>SUM(D2:D72)</f>
        <v>2281.8000000000002</v>
      </c>
      <c r="G78" s="23">
        <f>E78/D78</f>
        <v>3.1560165975103738</v>
      </c>
      <c r="I78" s="8" t="s">
        <v>255</v>
      </c>
      <c r="L78">
        <f>COUNTIF(K1:K74,"&lt;2")</f>
        <v>5</v>
      </c>
      <c r="M78" s="1">
        <f>SUMIF(K1:K74,"&lt;2",H1:H74)</f>
        <v>163</v>
      </c>
      <c r="N78" s="9">
        <f>SUMIF(K1:K74,"&lt;2",D1:D74)</f>
        <v>293.39999999999998</v>
      </c>
      <c r="P78" s="8" t="s">
        <v>255</v>
      </c>
      <c r="S78">
        <f>COUNTIF(R1:R74,"&lt;2")</f>
        <v>0</v>
      </c>
      <c r="T78" s="9">
        <f>SUMIF(R1:R74,"&lt;2",K1:K74)</f>
        <v>0</v>
      </c>
    </row>
    <row r="79" spans="2:24" x14ac:dyDescent="0.25">
      <c r="C79" s="8" t="s">
        <v>125</v>
      </c>
      <c r="D79">
        <f>COUNT(D2:D72)</f>
        <v>33</v>
      </c>
      <c r="G79" s="9"/>
      <c r="I79" s="8" t="s">
        <v>133</v>
      </c>
      <c r="L79">
        <f>COUNTIF(K5:K75,"&lt;3")-L78</f>
        <v>8</v>
      </c>
      <c r="M79" s="1">
        <f>SUMIF(K1:K71,"&lt;3",H1:H71)-M78</f>
        <v>218</v>
      </c>
      <c r="N79" s="9">
        <f>SUMIF(K1:K71,"&lt;3",D1:D71)</f>
        <v>779.8</v>
      </c>
      <c r="P79" s="8" t="s">
        <v>133</v>
      </c>
      <c r="S79">
        <f>COUNTIF(R5:R75,"&lt;3")-S78</f>
        <v>1</v>
      </c>
      <c r="T79" s="9">
        <f>SUMIF(R1:R71,"&lt;3",O1:O71)-T78</f>
        <v>19</v>
      </c>
    </row>
    <row r="80" spans="2:24" x14ac:dyDescent="0.25">
      <c r="C80" s="8" t="s">
        <v>386</v>
      </c>
      <c r="D80">
        <f>COUNTIF(E2:E72,"AOM5000")</f>
        <v>4</v>
      </c>
      <c r="E80">
        <f>SUMIF(E2:E69,"AOM5000",D2:D69)</f>
        <v>626.4</v>
      </c>
      <c r="F80" t="s">
        <v>396</v>
      </c>
      <c r="G80" s="21">
        <f>AVERAGEIF(E1:E71,"AOM5000",F1:F71)</f>
        <v>13.75</v>
      </c>
      <c r="I80" s="8" t="s">
        <v>132</v>
      </c>
      <c r="L80">
        <f>COUNTIF(K5:K75,"&lt;4")-L79-L78</f>
        <v>9</v>
      </c>
      <c r="M80" s="1">
        <f>SUMIF(K1:K71,"&lt;4",H1:H71)-M79-M78</f>
        <v>323</v>
      </c>
      <c r="N80" s="9">
        <f>SUMIF(K1:K71,"&lt;4",D1:D71)-N79</f>
        <v>969</v>
      </c>
      <c r="P80" s="8" t="s">
        <v>132</v>
      </c>
      <c r="S80">
        <f>COUNTIF(R5:R75,"&lt;4")-S79-S78</f>
        <v>0</v>
      </c>
      <c r="T80" s="9">
        <f>SUMIF(R1:R71,"&lt;4",O1:O71)-T79</f>
        <v>0</v>
      </c>
    </row>
    <row r="81" spans="2:20" x14ac:dyDescent="0.25">
      <c r="C81" s="8" t="s">
        <v>387</v>
      </c>
      <c r="D81">
        <f>COUNTIF(E1:E71,"AOM4000")</f>
        <v>6</v>
      </c>
      <c r="E81">
        <f>SUMIF(E2:E69,"AOM4000",D2:D69)</f>
        <v>620</v>
      </c>
      <c r="F81" t="s">
        <v>397</v>
      </c>
      <c r="G81" s="21">
        <f>AVERAGEIF(E1:E71,"AOM4000",F1:F71)</f>
        <v>6.8</v>
      </c>
      <c r="I81" s="8" t="s">
        <v>134</v>
      </c>
      <c r="L81">
        <f>COUNTIF(K5:K75,"&lt;5")-L80-L79-L78</f>
        <v>0</v>
      </c>
      <c r="M81" s="1">
        <f>SUMIF(K1:K71,"&lt;6",H1:H71)-M80-M79-M78</f>
        <v>0</v>
      </c>
      <c r="N81" s="9">
        <f>SUMIF(K1:K71,"&lt;5",D1:D71)-N80-N79</f>
        <v>0</v>
      </c>
      <c r="P81" s="8" t="s">
        <v>134</v>
      </c>
      <c r="S81">
        <f>COUNTIF(R5:R75,"&lt;5")-S80-S79-S78</f>
        <v>0</v>
      </c>
      <c r="T81" s="9">
        <f>SUMIF(R5:R75,"&lt;5",O5:O75)-T80-T79</f>
        <v>0</v>
      </c>
    </row>
    <row r="82" spans="2:20" x14ac:dyDescent="0.25">
      <c r="C82" s="8" t="s">
        <v>390</v>
      </c>
      <c r="D82" s="18">
        <f>D80/(D81+D80)*100</f>
        <v>40</v>
      </c>
      <c r="E82" s="18">
        <f>E80/(E81+E80)*100</f>
        <v>50.256739409499353</v>
      </c>
      <c r="G82" s="9"/>
      <c r="I82" s="8"/>
      <c r="N82" s="9"/>
      <c r="P82" s="8"/>
      <c r="T82" s="9"/>
    </row>
    <row r="83" spans="2:20" x14ac:dyDescent="0.25">
      <c r="C83" s="16" t="s">
        <v>128</v>
      </c>
      <c r="D83" s="22">
        <f>D80/D79*100</f>
        <v>12.121212121212121</v>
      </c>
      <c r="E83" s="22">
        <f>E80/E78*100</f>
        <v>27.452011569813301</v>
      </c>
      <c r="F83" s="11"/>
      <c r="G83" s="12"/>
      <c r="I83" s="8" t="s">
        <v>136</v>
      </c>
      <c r="L83">
        <f>COUNTA(L1:L71)</f>
        <v>1</v>
      </c>
      <c r="N83" s="9"/>
      <c r="P83" s="10" t="s">
        <v>136</v>
      </c>
      <c r="Q83" s="11"/>
      <c r="R83" s="11"/>
      <c r="S83" s="11">
        <f>COUNTA(S5:S75)</f>
        <v>0</v>
      </c>
      <c r="T83" s="12"/>
    </row>
    <row r="84" spans="2:20" x14ac:dyDescent="0.25">
      <c r="F84" t="s">
        <v>388</v>
      </c>
      <c r="I84" s="10"/>
      <c r="J84" s="11"/>
      <c r="K84" s="11"/>
      <c r="L84" s="11"/>
      <c r="M84" s="11"/>
      <c r="N84" s="12"/>
    </row>
    <row r="85" spans="2:20" x14ac:dyDescent="0.25">
      <c r="C85" s="5" t="s">
        <v>149</v>
      </c>
      <c r="D85" s="6" t="s">
        <v>135</v>
      </c>
      <c r="E85" s="7" t="s">
        <v>130</v>
      </c>
      <c r="F85" s="5" t="s">
        <v>93</v>
      </c>
      <c r="G85" s="7" t="s">
        <v>94</v>
      </c>
    </row>
    <row r="86" spans="2:20" x14ac:dyDescent="0.25">
      <c r="B86" s="18">
        <f>E86/$E$78*100</f>
        <v>11.043912700499604</v>
      </c>
      <c r="C86" s="8" t="s">
        <v>20</v>
      </c>
      <c r="D86">
        <f>COUNTIF(C$1:C$71,C86)</f>
        <v>2</v>
      </c>
      <c r="E86" s="9">
        <f>SUMIF(C$1:C$71,C86,D$1:D$71)</f>
        <v>252</v>
      </c>
      <c r="F86" s="8">
        <f>SUMIFS($D$1:$D$69,$C$1:$C$69,C86,$E$1:$E$69,$F$85)</f>
        <v>252</v>
      </c>
      <c r="G86" s="9">
        <f>SUMIFS($D$2:$D$70,$C$2:$C$70,C86,$E$2:$E$70,$G$85)</f>
        <v>0</v>
      </c>
      <c r="I86" s="5" t="s">
        <v>376</v>
      </c>
      <c r="J86" s="6"/>
      <c r="K86" s="6"/>
      <c r="L86" s="7" t="s">
        <v>377</v>
      </c>
    </row>
    <row r="87" spans="2:20" x14ac:dyDescent="0.25">
      <c r="B87" s="18">
        <f t="shared" ref="B87:B105" si="3">E87/$E$78*100</f>
        <v>12.989744938206677</v>
      </c>
      <c r="C87" s="8" t="s">
        <v>142</v>
      </c>
      <c r="D87">
        <f t="shared" ref="D87:D105" si="4">COUNTIF(C$1:C$71,C87)</f>
        <v>6</v>
      </c>
      <c r="E87" s="9">
        <f t="shared" ref="E87:E105" si="5">SUMIF(C$1:C$71,C87,D$1:D$71)</f>
        <v>296.39999999999998</v>
      </c>
      <c r="F87" s="8">
        <f t="shared" ref="F87:F105" si="6">SUMIFS($D$1:$D$69,$C$1:$C$69,C87,$E$1:$E$69,$F$85)</f>
        <v>0</v>
      </c>
      <c r="G87" s="9">
        <f t="shared" ref="G87:G105" si="7">SUMIFS($D$2:$D$70,$C$2:$C$70,C87,$E$2:$E$70,$G$85)</f>
        <v>0</v>
      </c>
      <c r="I87" s="8" t="s">
        <v>462</v>
      </c>
      <c r="L87" s="19">
        <f>SUMIF(I$1:I$71,I87,H$1:H$71)+SUMIF(P$1:P$71,I87,O$1:O$71)</f>
        <v>47</v>
      </c>
    </row>
    <row r="88" spans="2:20" x14ac:dyDescent="0.25">
      <c r="B88" s="18">
        <f t="shared" si="3"/>
        <v>3.9442545358927159</v>
      </c>
      <c r="C88" s="8" t="s">
        <v>69</v>
      </c>
      <c r="D88">
        <f t="shared" si="4"/>
        <v>1</v>
      </c>
      <c r="E88" s="9">
        <f t="shared" si="5"/>
        <v>90</v>
      </c>
      <c r="F88" s="8">
        <f t="shared" si="6"/>
        <v>0</v>
      </c>
      <c r="G88" s="9">
        <f t="shared" si="7"/>
        <v>0</v>
      </c>
      <c r="I88" s="8" t="s">
        <v>244</v>
      </c>
      <c r="L88" s="19">
        <f t="shared" ref="L88:L93" si="8">SUMIF(I$1:I$71,I88,H$1:H$71)+SUMIF(P$1:P$71,I88,O$1:O$71)</f>
        <v>151</v>
      </c>
    </row>
    <row r="89" spans="2:20" x14ac:dyDescent="0.25">
      <c r="B89" s="18">
        <f t="shared" si="3"/>
        <v>3.9442545358927159</v>
      </c>
      <c r="C89" s="8" t="s">
        <v>140</v>
      </c>
      <c r="D89">
        <f t="shared" si="4"/>
        <v>1</v>
      </c>
      <c r="E89" s="9">
        <f t="shared" si="5"/>
        <v>90</v>
      </c>
      <c r="F89" s="8">
        <f t="shared" si="6"/>
        <v>0</v>
      </c>
      <c r="G89" s="9">
        <f t="shared" si="7"/>
        <v>90</v>
      </c>
      <c r="I89" s="8"/>
      <c r="L89" s="19">
        <f t="shared" si="8"/>
        <v>0</v>
      </c>
    </row>
    <row r="90" spans="2:20" x14ac:dyDescent="0.25">
      <c r="B90" s="18">
        <f t="shared" si="3"/>
        <v>0.74502585677973521</v>
      </c>
      <c r="C90" s="8" t="s">
        <v>163</v>
      </c>
      <c r="D90">
        <f t="shared" si="4"/>
        <v>1</v>
      </c>
      <c r="E90" s="9">
        <f t="shared" si="5"/>
        <v>17</v>
      </c>
      <c r="F90" s="8">
        <f t="shared" si="6"/>
        <v>0</v>
      </c>
      <c r="G90" s="9">
        <f t="shared" si="7"/>
        <v>0</v>
      </c>
      <c r="I90" s="8" t="s">
        <v>233</v>
      </c>
      <c r="L90" s="19">
        <f t="shared" si="8"/>
        <v>208</v>
      </c>
    </row>
    <row r="91" spans="2:20" x14ac:dyDescent="0.25">
      <c r="B91" s="18">
        <f t="shared" si="3"/>
        <v>1.7091769655535101</v>
      </c>
      <c r="C91" s="8" t="s">
        <v>318</v>
      </c>
      <c r="D91">
        <f t="shared" si="4"/>
        <v>2</v>
      </c>
      <c r="E91" s="9">
        <f t="shared" si="5"/>
        <v>39</v>
      </c>
      <c r="F91" s="8">
        <f t="shared" si="6"/>
        <v>30</v>
      </c>
      <c r="G91" s="9">
        <f t="shared" si="7"/>
        <v>0</v>
      </c>
      <c r="I91" s="8" t="s">
        <v>222</v>
      </c>
      <c r="L91" s="19">
        <f t="shared" si="8"/>
        <v>163</v>
      </c>
    </row>
    <row r="92" spans="2:20" x14ac:dyDescent="0.25">
      <c r="B92" s="18">
        <f t="shared" si="3"/>
        <v>4.9960557454641075</v>
      </c>
      <c r="C92" s="8" t="s">
        <v>826</v>
      </c>
      <c r="D92">
        <f t="shared" si="4"/>
        <v>1</v>
      </c>
      <c r="E92" s="9">
        <f t="shared" si="5"/>
        <v>114</v>
      </c>
      <c r="F92" s="8">
        <f t="shared" si="6"/>
        <v>0</v>
      </c>
      <c r="G92" s="9">
        <f t="shared" si="7"/>
        <v>0</v>
      </c>
      <c r="I92" s="8" t="s">
        <v>113</v>
      </c>
      <c r="L92" s="19">
        <f t="shared" si="8"/>
        <v>18</v>
      </c>
    </row>
    <row r="93" spans="2:20" x14ac:dyDescent="0.25">
      <c r="B93" s="18">
        <f t="shared" si="3"/>
        <v>2.9801034271189408</v>
      </c>
      <c r="C93" s="8" t="s">
        <v>165</v>
      </c>
      <c r="D93">
        <f t="shared" si="4"/>
        <v>1</v>
      </c>
      <c r="E93" s="9">
        <f t="shared" si="5"/>
        <v>68</v>
      </c>
      <c r="F93" s="8">
        <f t="shared" si="6"/>
        <v>0</v>
      </c>
      <c r="G93" s="9">
        <f t="shared" si="7"/>
        <v>0</v>
      </c>
      <c r="I93" t="s">
        <v>778</v>
      </c>
      <c r="L93" s="19">
        <f t="shared" si="8"/>
        <v>21</v>
      </c>
    </row>
    <row r="94" spans="2:20" x14ac:dyDescent="0.25">
      <c r="B94" s="18">
        <f t="shared" si="3"/>
        <v>6.1530370759926356</v>
      </c>
      <c r="C94" s="8" t="s">
        <v>528</v>
      </c>
      <c r="D94">
        <f t="shared" si="4"/>
        <v>2</v>
      </c>
      <c r="E94" s="9">
        <f t="shared" si="5"/>
        <v>140.39999999999998</v>
      </c>
      <c r="F94" s="8">
        <f t="shared" si="6"/>
        <v>0</v>
      </c>
      <c r="G94" s="9">
        <f t="shared" si="7"/>
        <v>140.39999999999998</v>
      </c>
      <c r="I94" s="8" t="s">
        <v>321</v>
      </c>
      <c r="L94" s="19">
        <f>SUMIF(I$1:I$71,I94,H$1:H$71)+SUMIF(P$1:P$71,I94,O$1:O$71)</f>
        <v>112</v>
      </c>
    </row>
    <row r="95" spans="2:20" x14ac:dyDescent="0.25">
      <c r="B95" s="18">
        <f t="shared" si="3"/>
        <v>5.3466561486545698</v>
      </c>
      <c r="C95" s="8" t="s">
        <v>161</v>
      </c>
      <c r="D95">
        <f t="shared" si="4"/>
        <v>2</v>
      </c>
      <c r="E95" s="9">
        <f t="shared" si="5"/>
        <v>122</v>
      </c>
      <c r="F95" s="8">
        <f t="shared" si="6"/>
        <v>122</v>
      </c>
      <c r="G95" s="9">
        <f t="shared" si="7"/>
        <v>0</v>
      </c>
      <c r="I95" s="8" t="s">
        <v>809</v>
      </c>
      <c r="L95" s="19">
        <f>SUMIF(I$1:I$71,I95,H$1:H$71)+SUMIF(P$1:P$71,I95,O$1:O$71)</f>
        <v>3</v>
      </c>
    </row>
    <row r="96" spans="2:20" x14ac:dyDescent="0.25">
      <c r="B96" s="18">
        <f t="shared" si="3"/>
        <v>0.7012008063809273</v>
      </c>
      <c r="C96" s="8" t="s">
        <v>166</v>
      </c>
      <c r="D96">
        <f t="shared" si="4"/>
        <v>1</v>
      </c>
      <c r="E96" s="9">
        <f t="shared" si="5"/>
        <v>16</v>
      </c>
      <c r="F96" s="8">
        <f t="shared" si="6"/>
        <v>0</v>
      </c>
      <c r="G96" s="9">
        <f t="shared" si="7"/>
        <v>0</v>
      </c>
      <c r="L96" s="1"/>
    </row>
    <row r="97" spans="2:12" x14ac:dyDescent="0.25">
      <c r="B97" s="18">
        <f t="shared" si="3"/>
        <v>21.91252519940398</v>
      </c>
      <c r="C97" s="8" t="s">
        <v>34</v>
      </c>
      <c r="D97">
        <f t="shared" si="4"/>
        <v>3</v>
      </c>
      <c r="E97" s="9">
        <f t="shared" si="5"/>
        <v>500</v>
      </c>
      <c r="F97" s="8">
        <f t="shared" si="6"/>
        <v>0</v>
      </c>
      <c r="G97" s="9">
        <f t="shared" si="7"/>
        <v>396</v>
      </c>
      <c r="L97" s="1"/>
    </row>
    <row r="98" spans="2:12" x14ac:dyDescent="0.25">
      <c r="B98" s="18">
        <f t="shared" si="3"/>
        <v>1.1832763607678149</v>
      </c>
      <c r="C98" s="8" t="s">
        <v>176</v>
      </c>
      <c r="D98">
        <f t="shared" si="4"/>
        <v>1</v>
      </c>
      <c r="E98" s="9">
        <f t="shared" si="5"/>
        <v>27</v>
      </c>
      <c r="F98" s="8">
        <f t="shared" si="6"/>
        <v>0</v>
      </c>
      <c r="G98" s="9">
        <f t="shared" si="7"/>
        <v>0</v>
      </c>
      <c r="L98" s="1"/>
    </row>
    <row r="99" spans="2:12" x14ac:dyDescent="0.25">
      <c r="B99" s="18">
        <f t="shared" si="3"/>
        <v>1.0518012095713909</v>
      </c>
      <c r="C99" s="8" t="s">
        <v>162</v>
      </c>
      <c r="D99">
        <f t="shared" si="4"/>
        <v>1</v>
      </c>
      <c r="E99" s="9">
        <f t="shared" si="5"/>
        <v>24</v>
      </c>
      <c r="F99" s="8">
        <f t="shared" si="6"/>
        <v>0</v>
      </c>
      <c r="G99" s="9">
        <f t="shared" si="7"/>
        <v>0</v>
      </c>
      <c r="L99" s="1"/>
    </row>
    <row r="100" spans="2:12" x14ac:dyDescent="0.25">
      <c r="B100" s="18">
        <f t="shared" si="3"/>
        <v>1.7530020159523183</v>
      </c>
      <c r="C100" s="8" t="s">
        <v>835</v>
      </c>
      <c r="D100">
        <f t="shared" si="4"/>
        <v>1</v>
      </c>
      <c r="E100" s="9">
        <f t="shared" si="5"/>
        <v>40</v>
      </c>
      <c r="F100" s="8">
        <f t="shared" si="6"/>
        <v>0</v>
      </c>
      <c r="G100" s="9">
        <f t="shared" si="7"/>
        <v>0</v>
      </c>
      <c r="L100" s="1"/>
    </row>
    <row r="101" spans="2:12" x14ac:dyDescent="0.25">
      <c r="B101" s="18">
        <f t="shared" si="3"/>
        <v>1.5777018143570865</v>
      </c>
      <c r="C101" s="8" t="s">
        <v>206</v>
      </c>
      <c r="D101">
        <f t="shared" si="4"/>
        <v>1</v>
      </c>
      <c r="E101" s="9">
        <f t="shared" si="5"/>
        <v>36</v>
      </c>
      <c r="F101" s="8">
        <f t="shared" si="6"/>
        <v>0</v>
      </c>
      <c r="G101" s="9">
        <f t="shared" si="7"/>
        <v>0</v>
      </c>
      <c r="L101" s="1"/>
    </row>
    <row r="102" spans="2:12" x14ac:dyDescent="0.25">
      <c r="B102" s="18">
        <f t="shared" si="3"/>
        <v>8.5020597773687445</v>
      </c>
      <c r="C102" s="8" t="s">
        <v>146</v>
      </c>
      <c r="D102">
        <f t="shared" si="4"/>
        <v>5</v>
      </c>
      <c r="E102" s="9">
        <f t="shared" si="5"/>
        <v>194</v>
      </c>
      <c r="F102" s="8">
        <f t="shared" si="6"/>
        <v>0</v>
      </c>
      <c r="G102" s="9">
        <f t="shared" si="7"/>
        <v>0</v>
      </c>
    </row>
    <row r="103" spans="2:12" x14ac:dyDescent="0.25">
      <c r="B103" s="18">
        <f t="shared" si="3"/>
        <v>0</v>
      </c>
      <c r="C103" s="8" t="s">
        <v>42</v>
      </c>
      <c r="D103">
        <f t="shared" si="4"/>
        <v>0</v>
      </c>
      <c r="E103" s="9">
        <f t="shared" si="5"/>
        <v>0</v>
      </c>
      <c r="F103" s="8">
        <f t="shared" si="6"/>
        <v>0</v>
      </c>
      <c r="G103" s="9">
        <f t="shared" si="7"/>
        <v>0</v>
      </c>
    </row>
    <row r="104" spans="2:12" x14ac:dyDescent="0.25">
      <c r="B104" s="18">
        <f t="shared" si="3"/>
        <v>9.4662108861425196</v>
      </c>
      <c r="C104" s="8" t="s">
        <v>320</v>
      </c>
      <c r="D104">
        <f t="shared" si="4"/>
        <v>1</v>
      </c>
      <c r="E104" s="9">
        <f t="shared" si="5"/>
        <v>216</v>
      </c>
      <c r="F104" s="8">
        <f t="shared" si="6"/>
        <v>216</v>
      </c>
      <c r="G104" s="9">
        <f t="shared" si="7"/>
        <v>0</v>
      </c>
    </row>
    <row r="105" spans="2:12" x14ac:dyDescent="0.25">
      <c r="B105" s="18">
        <f t="shared" si="3"/>
        <v>0</v>
      </c>
      <c r="C105" s="10" t="s">
        <v>628</v>
      </c>
      <c r="D105">
        <f t="shared" si="4"/>
        <v>0</v>
      </c>
      <c r="E105" s="9">
        <f t="shared" si="5"/>
        <v>0</v>
      </c>
      <c r="F105" s="10">
        <f t="shared" si="6"/>
        <v>0</v>
      </c>
      <c r="G105" s="12">
        <f t="shared" si="7"/>
        <v>0</v>
      </c>
    </row>
    <row r="106" spans="2:12" x14ac:dyDescent="0.25">
      <c r="B106" s="18">
        <f>SUM(B86:B105)</f>
        <v>100</v>
      </c>
      <c r="E106" s="9">
        <f>SUM(E86:E105)</f>
        <v>2281.8000000000002</v>
      </c>
      <c r="F106" s="8">
        <f>SUM(F86:F103)</f>
        <v>404</v>
      </c>
      <c r="G106" s="9">
        <f>SUM(G86:G103)</f>
        <v>626.4</v>
      </c>
    </row>
    <row r="107" spans="2:12" x14ac:dyDescent="0.25">
      <c r="E107" s="9">
        <f>E78-E106</f>
        <v>0</v>
      </c>
      <c r="F107" s="10" t="s">
        <v>389</v>
      </c>
      <c r="G107" s="12">
        <f>E78-F106-G106</f>
        <v>1251.4000000000001</v>
      </c>
    </row>
    <row r="109" spans="2:12" x14ac:dyDescent="0.25">
      <c r="C109" s="13"/>
      <c r="D109" s="14" t="s">
        <v>93</v>
      </c>
      <c r="E109" s="15" t="s">
        <v>94</v>
      </c>
    </row>
    <row r="110" spans="2:12" x14ac:dyDescent="0.25">
      <c r="C110" s="8" t="s">
        <v>402</v>
      </c>
      <c r="D110">
        <f>SUMIFS($D$5:$D$74,$E$5:$E$74,D$109,$F$5:$F$74,"&lt;5.1")</f>
        <v>334</v>
      </c>
      <c r="E110" s="9">
        <f>SUMIFS($D$5:$D$74,$E$5:$E$74,E$109,$F$5:$F$74,"&lt;5.1")</f>
        <v>0</v>
      </c>
    </row>
    <row r="111" spans="2:12" x14ac:dyDescent="0.25">
      <c r="C111" s="29" t="s">
        <v>403</v>
      </c>
      <c r="D111">
        <f>SUMIFS($D$5:$D$74,$E$5:$E$74,D$109,$F$5:$F$74,"&lt;10.1")-D110</f>
        <v>0</v>
      </c>
      <c r="E111" s="9">
        <f>SUMIFS($D$5:$D$74,$E$5:$E$74,E$109,$F$5:$F$74,"&lt;10.1")-E110</f>
        <v>396</v>
      </c>
    </row>
    <row r="112" spans="2:12" x14ac:dyDescent="0.25">
      <c r="C112" s="29" t="s">
        <v>404</v>
      </c>
      <c r="D112">
        <f>SUMIFS($D$5:$D$74,$E$5:$E$74,D$109,$F$5:$F$74,"&lt;15.1")-D111-D110</f>
        <v>216</v>
      </c>
      <c r="E112" s="9">
        <f>SUMIFS($D$5:$D$74,$E$5:$E$74,E$109,$F$5:$F$74,"&lt;15.1")-E111-E110</f>
        <v>230.39999999999998</v>
      </c>
    </row>
    <row r="113" spans="3:5" x14ac:dyDescent="0.25">
      <c r="C113" s="29" t="s">
        <v>102</v>
      </c>
      <c r="D113">
        <f>SUMIFS($D$5:$D$74,$E$5:$E$74,D$109,$F$5:$F$74,"&lt;20.1")-D112-D111-D110</f>
        <v>0</v>
      </c>
      <c r="E113" s="9">
        <f>SUMIFS($D$5:$D$74,$E$5:$E$74,E$109,$F$5:$F$74,"&lt;20.1")-E112-E111-E110</f>
        <v>0</v>
      </c>
    </row>
    <row r="114" spans="3:5" x14ac:dyDescent="0.25">
      <c r="C114" s="8" t="s">
        <v>405</v>
      </c>
      <c r="D114">
        <f>SUMIFS($D$5:$D$74,$E$5:$E$74,D$109,$F$5:$F$74,"&lt;40.1")-D113-D112-D111-D110</f>
        <v>0</v>
      </c>
      <c r="E114" s="9">
        <f>SUMIFS($D$5:$D$74,$E$5:$E$74,E$109,$F$5:$F$74,"&lt;40.1")-E113-E112-E111-E110</f>
        <v>0</v>
      </c>
    </row>
    <row r="115" spans="3:5" x14ac:dyDescent="0.25">
      <c r="C115" s="10" t="s">
        <v>406</v>
      </c>
      <c r="D115" s="11">
        <f>E81-SUM(D110:D114)</f>
        <v>70</v>
      </c>
      <c r="E115" s="12">
        <f>E80-SUM(E110:E114)</f>
        <v>0</v>
      </c>
    </row>
  </sheetData>
  <pageMargins left="0.7" right="0.7" top="0.75" bottom="0.75" header="0.3" footer="0.3"/>
  <pageSetup paperSize="9" orientation="portrait" r:id="rId1"/>
  <headerFooter>
    <oddFooter>&amp;L&amp;1#&amp;"Arial"&amp;8&amp;KD5DAD9</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126"/>
  <sheetViews>
    <sheetView topLeftCell="A4" zoomScale="70" zoomScaleNormal="70" workbookViewId="0">
      <selection activeCell="B2" sqref="B2:L58"/>
    </sheetView>
  </sheetViews>
  <sheetFormatPr defaultRowHeight="15" x14ac:dyDescent="0.25"/>
  <cols>
    <col min="2" max="9" width="13.7109375" customWidth="1"/>
    <col min="10" max="10" width="1.7109375" customWidth="1"/>
    <col min="11" max="11" width="2.140625" customWidth="1"/>
    <col min="12" max="13" width="12" bestFit="1" customWidth="1"/>
    <col min="14" max="14" width="12" customWidth="1"/>
    <col min="15" max="15" width="4.140625" customWidth="1"/>
    <col min="16" max="16" width="15.140625" customWidth="1"/>
    <col min="17" max="17" width="2.28515625" customWidth="1"/>
    <col min="18" max="18" width="2.5703125" customWidth="1"/>
    <col min="19" max="20" width="12" bestFit="1" customWidth="1"/>
    <col min="21" max="21" width="4.42578125" customWidth="1"/>
    <col min="22" max="22" width="13.28515625" bestFit="1" customWidth="1"/>
    <col min="23" max="24" width="12" bestFit="1" customWidth="1"/>
  </cols>
  <sheetData>
    <row r="1" spans="1:24" x14ac:dyDescent="0.25">
      <c r="B1" s="5" t="s">
        <v>86</v>
      </c>
      <c r="C1" s="6" t="s">
        <v>87</v>
      </c>
      <c r="D1" s="6" t="s">
        <v>88</v>
      </c>
      <c r="E1" s="6" t="s">
        <v>98</v>
      </c>
      <c r="F1" s="6" t="s">
        <v>100</v>
      </c>
      <c r="G1" s="6" t="s">
        <v>89</v>
      </c>
      <c r="H1" s="6" t="s">
        <v>91</v>
      </c>
      <c r="I1" s="6" t="s">
        <v>90</v>
      </c>
      <c r="J1" s="6" t="s">
        <v>131</v>
      </c>
      <c r="K1" s="6" t="s">
        <v>130</v>
      </c>
      <c r="L1" s="6" t="s">
        <v>103</v>
      </c>
      <c r="M1" s="6" t="s">
        <v>101</v>
      </c>
      <c r="N1" s="6" t="s">
        <v>107</v>
      </c>
      <c r="O1" s="6" t="s">
        <v>91</v>
      </c>
      <c r="P1" s="6" t="s">
        <v>105</v>
      </c>
      <c r="Q1" s="6" t="s">
        <v>131</v>
      </c>
      <c r="R1" s="6" t="s">
        <v>130</v>
      </c>
      <c r="S1" s="6" t="s">
        <v>103</v>
      </c>
      <c r="T1" s="6" t="s">
        <v>101</v>
      </c>
      <c r="U1" s="6" t="s">
        <v>91</v>
      </c>
      <c r="V1" s="6" t="s">
        <v>105</v>
      </c>
      <c r="W1" s="6" t="s">
        <v>103</v>
      </c>
      <c r="X1" s="7" t="s">
        <v>101</v>
      </c>
    </row>
    <row r="2" spans="1:24" x14ac:dyDescent="0.25">
      <c r="A2">
        <f t="shared" ref="A2:A33" si="0">COUNTIF($C$94:$C$116,C2)</f>
        <v>1</v>
      </c>
      <c r="B2" t="s">
        <v>849</v>
      </c>
      <c r="C2" t="s">
        <v>142</v>
      </c>
      <c r="D2">
        <v>50</v>
      </c>
      <c r="E2" t="s">
        <v>212</v>
      </c>
      <c r="H2">
        <v>25</v>
      </c>
      <c r="I2" t="s">
        <v>244</v>
      </c>
      <c r="J2">
        <v>90</v>
      </c>
      <c r="K2">
        <v>2</v>
      </c>
      <c r="X2" s="9"/>
    </row>
    <row r="3" spans="1:24" x14ac:dyDescent="0.25">
      <c r="A3">
        <f t="shared" si="0"/>
        <v>1</v>
      </c>
      <c r="B3" t="s">
        <v>850</v>
      </c>
      <c r="C3" t="s">
        <v>138</v>
      </c>
      <c r="D3">
        <v>38</v>
      </c>
      <c r="E3" t="s">
        <v>212</v>
      </c>
      <c r="X3" s="9"/>
    </row>
    <row r="4" spans="1:24" x14ac:dyDescent="0.25">
      <c r="A4">
        <f t="shared" si="0"/>
        <v>1</v>
      </c>
      <c r="B4" t="s">
        <v>851</v>
      </c>
      <c r="C4" t="s">
        <v>165</v>
      </c>
      <c r="D4">
        <v>44</v>
      </c>
      <c r="E4" t="s">
        <v>212</v>
      </c>
      <c r="G4" t="s">
        <v>880</v>
      </c>
      <c r="H4">
        <v>22</v>
      </c>
      <c r="I4" t="s">
        <v>244</v>
      </c>
      <c r="J4">
        <v>90</v>
      </c>
      <c r="K4">
        <v>2</v>
      </c>
      <c r="X4" s="9"/>
    </row>
    <row r="5" spans="1:24" x14ac:dyDescent="0.25">
      <c r="A5">
        <f t="shared" si="0"/>
        <v>1</v>
      </c>
      <c r="B5" s="8" t="s">
        <v>853</v>
      </c>
      <c r="C5" t="s">
        <v>852</v>
      </c>
      <c r="D5">
        <v>12</v>
      </c>
      <c r="E5" t="s">
        <v>212</v>
      </c>
      <c r="G5" t="s">
        <v>939</v>
      </c>
      <c r="H5" s="1">
        <v>6</v>
      </c>
      <c r="I5" t="s">
        <v>244</v>
      </c>
      <c r="J5">
        <v>90</v>
      </c>
      <c r="K5">
        <v>2</v>
      </c>
      <c r="X5" s="9"/>
    </row>
    <row r="6" spans="1:24" x14ac:dyDescent="0.25">
      <c r="A6">
        <f t="shared" si="0"/>
        <v>1</v>
      </c>
      <c r="B6" s="8" t="s">
        <v>854</v>
      </c>
      <c r="C6" t="s">
        <v>140</v>
      </c>
      <c r="D6">
        <v>44</v>
      </c>
      <c r="E6" t="s">
        <v>212</v>
      </c>
      <c r="F6">
        <v>5</v>
      </c>
      <c r="G6" t="s">
        <v>366</v>
      </c>
      <c r="H6" s="1">
        <v>22</v>
      </c>
      <c r="I6" t="s">
        <v>244</v>
      </c>
      <c r="J6">
        <v>90</v>
      </c>
      <c r="K6">
        <v>2</v>
      </c>
      <c r="X6" s="9"/>
    </row>
    <row r="7" spans="1:24" x14ac:dyDescent="0.25">
      <c r="A7">
        <f t="shared" si="0"/>
        <v>1</v>
      </c>
      <c r="B7" s="8" t="s">
        <v>855</v>
      </c>
      <c r="C7" t="s">
        <v>141</v>
      </c>
      <c r="D7">
        <v>150</v>
      </c>
      <c r="E7" t="s">
        <v>212</v>
      </c>
      <c r="H7" s="1">
        <v>75</v>
      </c>
      <c r="I7" t="s">
        <v>244</v>
      </c>
      <c r="J7">
        <v>90</v>
      </c>
      <c r="K7">
        <v>2</v>
      </c>
      <c r="S7" s="26"/>
      <c r="X7" s="9"/>
    </row>
    <row r="8" spans="1:24" x14ac:dyDescent="0.25">
      <c r="A8">
        <f t="shared" si="0"/>
        <v>1</v>
      </c>
      <c r="B8" s="8" t="s">
        <v>884</v>
      </c>
      <c r="C8" t="s">
        <v>142</v>
      </c>
      <c r="D8">
        <v>48</v>
      </c>
      <c r="E8" t="s">
        <v>212</v>
      </c>
      <c r="G8" t="s">
        <v>938</v>
      </c>
      <c r="H8" s="1">
        <v>24</v>
      </c>
      <c r="I8" t="s">
        <v>462</v>
      </c>
      <c r="J8">
        <v>80</v>
      </c>
      <c r="K8">
        <v>2</v>
      </c>
      <c r="X8" s="9"/>
    </row>
    <row r="9" spans="1:24" x14ac:dyDescent="0.25">
      <c r="A9">
        <f t="shared" si="0"/>
        <v>1</v>
      </c>
      <c r="B9" t="s">
        <v>885</v>
      </c>
      <c r="C9" t="s">
        <v>142</v>
      </c>
      <c r="D9">
        <v>50</v>
      </c>
      <c r="E9" t="s">
        <v>212</v>
      </c>
      <c r="G9" t="s">
        <v>937</v>
      </c>
      <c r="H9">
        <v>25</v>
      </c>
      <c r="I9" t="s">
        <v>244</v>
      </c>
      <c r="J9">
        <v>90</v>
      </c>
      <c r="K9">
        <v>2</v>
      </c>
      <c r="X9" s="9"/>
    </row>
    <row r="10" spans="1:24" x14ac:dyDescent="0.25">
      <c r="A10">
        <f t="shared" si="0"/>
        <v>1</v>
      </c>
      <c r="B10" t="s">
        <v>886</v>
      </c>
      <c r="C10" t="s">
        <v>45</v>
      </c>
      <c r="D10">
        <v>104</v>
      </c>
      <c r="E10" t="s">
        <v>212</v>
      </c>
      <c r="X10" s="9"/>
    </row>
    <row r="11" spans="1:24" x14ac:dyDescent="0.25">
      <c r="A11">
        <f t="shared" si="0"/>
        <v>1</v>
      </c>
      <c r="B11" s="8" t="s">
        <v>887</v>
      </c>
      <c r="C11" t="s">
        <v>142</v>
      </c>
      <c r="D11">
        <v>100</v>
      </c>
      <c r="H11" s="1">
        <v>50</v>
      </c>
      <c r="I11" t="s">
        <v>244</v>
      </c>
      <c r="J11">
        <v>90</v>
      </c>
      <c r="K11">
        <v>2</v>
      </c>
      <c r="X11" s="9"/>
    </row>
    <row r="12" spans="1:24" x14ac:dyDescent="0.25">
      <c r="A12">
        <f t="shared" si="0"/>
        <v>1</v>
      </c>
      <c r="B12" t="s">
        <v>888</v>
      </c>
      <c r="C12" t="s">
        <v>142</v>
      </c>
      <c r="D12">
        <v>49</v>
      </c>
      <c r="E12" t="s">
        <v>212</v>
      </c>
      <c r="H12">
        <v>24</v>
      </c>
      <c r="I12" t="s">
        <v>462</v>
      </c>
      <c r="J12">
        <v>80</v>
      </c>
      <c r="K12">
        <v>2</v>
      </c>
      <c r="X12" s="9"/>
    </row>
    <row r="13" spans="1:24" x14ac:dyDescent="0.25">
      <c r="A13">
        <f t="shared" si="0"/>
        <v>1</v>
      </c>
      <c r="B13" t="s">
        <v>889</v>
      </c>
      <c r="C13" t="s">
        <v>20</v>
      </c>
      <c r="D13">
        <v>102</v>
      </c>
      <c r="E13" t="s">
        <v>212</v>
      </c>
      <c r="H13">
        <v>34</v>
      </c>
      <c r="I13" t="s">
        <v>233</v>
      </c>
      <c r="J13">
        <v>90</v>
      </c>
      <c r="K13">
        <v>3</v>
      </c>
      <c r="O13" s="1"/>
      <c r="X13" s="9"/>
    </row>
    <row r="14" spans="1:24" x14ac:dyDescent="0.25">
      <c r="A14">
        <f t="shared" si="0"/>
        <v>1</v>
      </c>
      <c r="B14" t="s">
        <v>890</v>
      </c>
      <c r="C14" t="s">
        <v>176</v>
      </c>
      <c r="D14">
        <v>72</v>
      </c>
      <c r="E14" t="s">
        <v>212</v>
      </c>
      <c r="X14" s="9"/>
    </row>
    <row r="15" spans="1:24" x14ac:dyDescent="0.25">
      <c r="A15">
        <f t="shared" si="0"/>
        <v>1</v>
      </c>
      <c r="B15" t="s">
        <v>891</v>
      </c>
      <c r="C15" t="s">
        <v>141</v>
      </c>
      <c r="D15">
        <v>80</v>
      </c>
      <c r="E15" t="s">
        <v>212</v>
      </c>
      <c r="F15">
        <v>10</v>
      </c>
      <c r="G15" t="s">
        <v>936</v>
      </c>
      <c r="H15">
        <f>D15/K15</f>
        <v>40</v>
      </c>
      <c r="I15" t="s">
        <v>244</v>
      </c>
      <c r="J15">
        <v>90</v>
      </c>
      <c r="K15">
        <v>2</v>
      </c>
      <c r="X15" s="9"/>
    </row>
    <row r="16" spans="1:24" x14ac:dyDescent="0.25">
      <c r="A16">
        <f t="shared" si="0"/>
        <v>1</v>
      </c>
      <c r="B16" t="s">
        <v>892</v>
      </c>
      <c r="C16" t="s">
        <v>165</v>
      </c>
      <c r="D16">
        <v>50</v>
      </c>
      <c r="E16" t="s">
        <v>212</v>
      </c>
      <c r="G16" t="s">
        <v>880</v>
      </c>
      <c r="H16">
        <v>25</v>
      </c>
      <c r="I16" t="s">
        <v>462</v>
      </c>
      <c r="J16">
        <v>80</v>
      </c>
      <c r="K16">
        <v>2</v>
      </c>
      <c r="X16" s="9"/>
    </row>
    <row r="17" spans="1:24" x14ac:dyDescent="0.25">
      <c r="A17">
        <f t="shared" si="0"/>
        <v>1</v>
      </c>
      <c r="B17" t="s">
        <v>893</v>
      </c>
      <c r="C17" t="s">
        <v>20</v>
      </c>
      <c r="D17">
        <v>200</v>
      </c>
      <c r="E17" t="s">
        <v>212</v>
      </c>
      <c r="G17" t="s">
        <v>935</v>
      </c>
      <c r="H17">
        <v>111</v>
      </c>
      <c r="I17" t="s">
        <v>806</v>
      </c>
      <c r="J17">
        <v>90</v>
      </c>
      <c r="K17">
        <v>1.8</v>
      </c>
      <c r="X17" s="9"/>
    </row>
    <row r="18" spans="1:24" x14ac:dyDescent="0.25">
      <c r="A18">
        <f t="shared" si="0"/>
        <v>1</v>
      </c>
      <c r="B18" s="8" t="s">
        <v>894</v>
      </c>
      <c r="C18" t="s">
        <v>20</v>
      </c>
      <c r="D18">
        <v>219</v>
      </c>
      <c r="E18" t="s">
        <v>212</v>
      </c>
      <c r="G18" t="s">
        <v>934</v>
      </c>
      <c r="H18" s="1">
        <v>73</v>
      </c>
      <c r="I18" t="s">
        <v>233</v>
      </c>
      <c r="J18">
        <v>90</v>
      </c>
      <c r="K18">
        <v>3</v>
      </c>
      <c r="X18" s="9"/>
    </row>
    <row r="19" spans="1:24" x14ac:dyDescent="0.25">
      <c r="A19">
        <f t="shared" si="0"/>
        <v>1</v>
      </c>
      <c r="B19" s="8" t="s">
        <v>895</v>
      </c>
      <c r="C19" t="s">
        <v>45</v>
      </c>
      <c r="D19">
        <v>149</v>
      </c>
      <c r="E19" t="s">
        <v>212</v>
      </c>
      <c r="G19" t="s">
        <v>932</v>
      </c>
      <c r="H19" s="1">
        <f>D19/K19</f>
        <v>82.777777777777771</v>
      </c>
      <c r="I19" t="s">
        <v>806</v>
      </c>
      <c r="J19">
        <v>90</v>
      </c>
      <c r="K19">
        <v>1.8</v>
      </c>
      <c r="X19" s="9"/>
    </row>
    <row r="20" spans="1:24" x14ac:dyDescent="0.25">
      <c r="A20">
        <f t="shared" si="0"/>
        <v>1</v>
      </c>
      <c r="B20" t="s">
        <v>896</v>
      </c>
      <c r="C20" t="s">
        <v>318</v>
      </c>
      <c r="D20">
        <v>18</v>
      </c>
      <c r="E20" t="s">
        <v>212</v>
      </c>
      <c r="G20" t="s">
        <v>365</v>
      </c>
      <c r="H20">
        <v>6</v>
      </c>
      <c r="I20" t="s">
        <v>321</v>
      </c>
      <c r="J20">
        <v>112</v>
      </c>
      <c r="K20">
        <v>3</v>
      </c>
      <c r="X20" s="9"/>
    </row>
    <row r="21" spans="1:24" x14ac:dyDescent="0.25">
      <c r="A21">
        <f t="shared" si="0"/>
        <v>1</v>
      </c>
      <c r="B21" t="s">
        <v>897</v>
      </c>
      <c r="C21" t="s">
        <v>137</v>
      </c>
      <c r="D21">
        <v>31</v>
      </c>
      <c r="E21" t="s">
        <v>212</v>
      </c>
      <c r="F21">
        <v>10</v>
      </c>
      <c r="G21" t="s">
        <v>933</v>
      </c>
      <c r="H21">
        <v>17</v>
      </c>
      <c r="I21" t="s">
        <v>222</v>
      </c>
      <c r="J21">
        <v>100</v>
      </c>
      <c r="K21">
        <v>1.8</v>
      </c>
      <c r="X21" s="9"/>
    </row>
    <row r="22" spans="1:24" x14ac:dyDescent="0.25">
      <c r="A22">
        <f t="shared" si="0"/>
        <v>1</v>
      </c>
      <c r="B22" t="s">
        <v>898</v>
      </c>
      <c r="C22" t="s">
        <v>142</v>
      </c>
      <c r="D22">
        <v>49</v>
      </c>
      <c r="E22" t="s">
        <v>212</v>
      </c>
      <c r="G22" t="s">
        <v>931</v>
      </c>
      <c r="H22">
        <v>58</v>
      </c>
      <c r="I22" t="s">
        <v>868</v>
      </c>
      <c r="J22">
        <v>60</v>
      </c>
      <c r="K22">
        <v>0.85</v>
      </c>
      <c r="X22" s="9"/>
    </row>
    <row r="23" spans="1:24" x14ac:dyDescent="0.25">
      <c r="A23">
        <f t="shared" si="0"/>
        <v>1</v>
      </c>
      <c r="B23" t="s">
        <v>899</v>
      </c>
      <c r="C23" t="s">
        <v>140</v>
      </c>
      <c r="D23">
        <v>78</v>
      </c>
      <c r="E23" t="s">
        <v>212</v>
      </c>
      <c r="G23" t="s">
        <v>366</v>
      </c>
      <c r="H23">
        <v>30</v>
      </c>
      <c r="I23" t="s">
        <v>778</v>
      </c>
      <c r="J23">
        <v>100</v>
      </c>
      <c r="K23">
        <v>2.6</v>
      </c>
      <c r="X23" s="9"/>
    </row>
    <row r="24" spans="1:24" x14ac:dyDescent="0.25">
      <c r="A24">
        <f t="shared" si="0"/>
        <v>1</v>
      </c>
      <c r="B24" t="s">
        <v>900</v>
      </c>
      <c r="C24" t="s">
        <v>206</v>
      </c>
      <c r="D24">
        <v>80</v>
      </c>
      <c r="E24" t="s">
        <v>212</v>
      </c>
      <c r="G24" t="s">
        <v>220</v>
      </c>
      <c r="X24" s="9"/>
    </row>
    <row r="25" spans="1:24" x14ac:dyDescent="0.25">
      <c r="A25">
        <f t="shared" si="0"/>
        <v>1</v>
      </c>
      <c r="B25" t="s">
        <v>902</v>
      </c>
      <c r="C25" t="s">
        <v>141</v>
      </c>
      <c r="D25">
        <v>60</v>
      </c>
      <c r="E25" t="s">
        <v>212</v>
      </c>
      <c r="X25" s="9"/>
    </row>
    <row r="26" spans="1:24" x14ac:dyDescent="0.25">
      <c r="A26">
        <f t="shared" si="0"/>
        <v>1</v>
      </c>
      <c r="B26" t="s">
        <v>902</v>
      </c>
      <c r="C26" t="s">
        <v>34</v>
      </c>
      <c r="D26">
        <v>29</v>
      </c>
      <c r="E26" t="s">
        <v>212</v>
      </c>
      <c r="X26" s="9"/>
    </row>
    <row r="27" spans="1:24" x14ac:dyDescent="0.25">
      <c r="A27">
        <f t="shared" si="0"/>
        <v>1</v>
      </c>
      <c r="B27" t="s">
        <v>903</v>
      </c>
      <c r="C27" t="s">
        <v>901</v>
      </c>
      <c r="D27">
        <v>23</v>
      </c>
      <c r="E27" t="s">
        <v>212</v>
      </c>
      <c r="X27" s="9"/>
    </row>
    <row r="28" spans="1:24" x14ac:dyDescent="0.25">
      <c r="A28">
        <f t="shared" si="0"/>
        <v>1</v>
      </c>
      <c r="B28" t="s">
        <v>904</v>
      </c>
      <c r="C28" t="s">
        <v>141</v>
      </c>
      <c r="D28">
        <v>90</v>
      </c>
      <c r="E28" t="s">
        <v>212</v>
      </c>
      <c r="G28" t="s">
        <v>930</v>
      </c>
      <c r="H28">
        <f>D28/K28</f>
        <v>30</v>
      </c>
      <c r="I28" t="s">
        <v>233</v>
      </c>
      <c r="J28">
        <v>90</v>
      </c>
      <c r="K28">
        <v>3</v>
      </c>
      <c r="X28" s="9"/>
    </row>
    <row r="29" spans="1:24" x14ac:dyDescent="0.25">
      <c r="A29">
        <f t="shared" si="0"/>
        <v>1</v>
      </c>
      <c r="B29" t="s">
        <v>905</v>
      </c>
      <c r="C29" t="s">
        <v>628</v>
      </c>
      <c r="D29">
        <v>92</v>
      </c>
      <c r="E29" t="s">
        <v>212</v>
      </c>
      <c r="X29" s="9"/>
    </row>
    <row r="30" spans="1:24" x14ac:dyDescent="0.25">
      <c r="A30">
        <f t="shared" si="0"/>
        <v>1</v>
      </c>
      <c r="B30" t="s">
        <v>906</v>
      </c>
      <c r="C30" t="s">
        <v>137</v>
      </c>
      <c r="D30">
        <v>47</v>
      </c>
      <c r="E30" t="s">
        <v>212</v>
      </c>
      <c r="G30" t="s">
        <v>357</v>
      </c>
      <c r="H30">
        <v>26</v>
      </c>
      <c r="I30" t="s">
        <v>222</v>
      </c>
      <c r="J30">
        <v>100</v>
      </c>
      <c r="K30">
        <v>1.8</v>
      </c>
      <c r="X30" s="9"/>
    </row>
    <row r="31" spans="1:24" x14ac:dyDescent="0.25">
      <c r="A31">
        <f t="shared" si="0"/>
        <v>1</v>
      </c>
      <c r="B31" t="s">
        <v>907</v>
      </c>
      <c r="C31" t="s">
        <v>166</v>
      </c>
      <c r="D31">
        <v>92</v>
      </c>
      <c r="E31" t="s">
        <v>212</v>
      </c>
      <c r="X31" s="9"/>
    </row>
    <row r="32" spans="1:24" x14ac:dyDescent="0.25">
      <c r="A32">
        <f t="shared" si="0"/>
        <v>1</v>
      </c>
      <c r="B32" t="s">
        <v>908</v>
      </c>
      <c r="C32" t="s">
        <v>20</v>
      </c>
      <c r="D32">
        <v>202</v>
      </c>
      <c r="E32" t="s">
        <v>212</v>
      </c>
      <c r="G32" t="s">
        <v>880</v>
      </c>
      <c r="H32">
        <v>112</v>
      </c>
      <c r="I32" t="s">
        <v>222</v>
      </c>
      <c r="J32">
        <v>100</v>
      </c>
      <c r="K32">
        <v>1.8</v>
      </c>
      <c r="X32" s="9"/>
    </row>
    <row r="33" spans="1:24" x14ac:dyDescent="0.25">
      <c r="A33">
        <f t="shared" si="0"/>
        <v>1</v>
      </c>
      <c r="B33" t="s">
        <v>909</v>
      </c>
      <c r="C33" t="s">
        <v>146</v>
      </c>
      <c r="D33">
        <v>26</v>
      </c>
      <c r="E33" t="s">
        <v>212</v>
      </c>
      <c r="H33">
        <v>13</v>
      </c>
      <c r="I33" t="s">
        <v>244</v>
      </c>
      <c r="J33">
        <v>90</v>
      </c>
      <c r="K33">
        <v>2</v>
      </c>
      <c r="X33" s="9"/>
    </row>
    <row r="34" spans="1:24" x14ac:dyDescent="0.25">
      <c r="A34">
        <f t="shared" ref="A34:A57" si="1">COUNTIF($C$94:$C$116,C34)</f>
        <v>1</v>
      </c>
      <c r="B34" t="s">
        <v>910</v>
      </c>
      <c r="C34" t="s">
        <v>835</v>
      </c>
      <c r="D34">
        <v>40</v>
      </c>
      <c r="E34" t="s">
        <v>212</v>
      </c>
      <c r="H34">
        <v>22</v>
      </c>
      <c r="I34" t="s">
        <v>806</v>
      </c>
      <c r="J34">
        <v>90</v>
      </c>
      <c r="K34">
        <v>1.8</v>
      </c>
      <c r="X34" s="9"/>
    </row>
    <row r="35" spans="1:24" x14ac:dyDescent="0.25">
      <c r="A35">
        <f t="shared" si="1"/>
        <v>1</v>
      </c>
      <c r="B35" t="s">
        <v>911</v>
      </c>
      <c r="C35" t="s">
        <v>140</v>
      </c>
      <c r="D35">
        <v>36</v>
      </c>
      <c r="E35" t="s">
        <v>212</v>
      </c>
      <c r="H35">
        <v>18</v>
      </c>
      <c r="I35" t="s">
        <v>244</v>
      </c>
      <c r="J35">
        <v>90</v>
      </c>
      <c r="K35">
        <v>2</v>
      </c>
      <c r="X35" s="9"/>
    </row>
    <row r="36" spans="1:24" x14ac:dyDescent="0.25">
      <c r="A36">
        <f t="shared" si="1"/>
        <v>1</v>
      </c>
      <c r="B36" t="s">
        <v>912</v>
      </c>
      <c r="C36" t="s">
        <v>140</v>
      </c>
      <c r="D36">
        <v>129</v>
      </c>
      <c r="E36" t="s">
        <v>212</v>
      </c>
      <c r="H36">
        <f>D36/K36</f>
        <v>43</v>
      </c>
      <c r="I36" t="s">
        <v>321</v>
      </c>
      <c r="J36">
        <v>112</v>
      </c>
      <c r="K36">
        <v>3</v>
      </c>
      <c r="X36" s="9"/>
    </row>
    <row r="37" spans="1:24" x14ac:dyDescent="0.25">
      <c r="A37">
        <f t="shared" si="1"/>
        <v>1</v>
      </c>
      <c r="B37" t="s">
        <v>912</v>
      </c>
      <c r="C37" t="s">
        <v>20</v>
      </c>
      <c r="D37">
        <v>65</v>
      </c>
      <c r="E37" t="s">
        <v>212</v>
      </c>
      <c r="F37">
        <v>15</v>
      </c>
      <c r="G37" t="s">
        <v>929</v>
      </c>
      <c r="H37">
        <v>22</v>
      </c>
      <c r="I37" t="s">
        <v>321</v>
      </c>
      <c r="J37">
        <v>122</v>
      </c>
      <c r="K37">
        <v>3</v>
      </c>
      <c r="X37" s="9"/>
    </row>
    <row r="38" spans="1:24" x14ac:dyDescent="0.25">
      <c r="A38">
        <f t="shared" si="1"/>
        <v>1</v>
      </c>
      <c r="B38" t="s">
        <v>913</v>
      </c>
      <c r="C38" t="s">
        <v>20</v>
      </c>
      <c r="D38">
        <v>99</v>
      </c>
      <c r="E38" t="s">
        <v>212</v>
      </c>
      <c r="G38" t="s">
        <v>880</v>
      </c>
      <c r="H38">
        <v>55</v>
      </c>
      <c r="I38" t="s">
        <v>222</v>
      </c>
      <c r="J38">
        <v>100</v>
      </c>
      <c r="K38">
        <v>1.8</v>
      </c>
      <c r="X38" s="9"/>
    </row>
    <row r="39" spans="1:24" x14ac:dyDescent="0.25">
      <c r="A39">
        <f t="shared" si="1"/>
        <v>1</v>
      </c>
      <c r="B39" t="s">
        <v>914</v>
      </c>
      <c r="C39" t="s">
        <v>45</v>
      </c>
      <c r="D39">
        <v>178</v>
      </c>
      <c r="E39" t="s">
        <v>212</v>
      </c>
      <c r="H39">
        <v>99</v>
      </c>
      <c r="I39" t="s">
        <v>806</v>
      </c>
      <c r="J39">
        <v>90</v>
      </c>
      <c r="K39">
        <v>1.8</v>
      </c>
      <c r="X39" s="9"/>
    </row>
    <row r="40" spans="1:24" x14ac:dyDescent="0.25">
      <c r="A40">
        <f t="shared" si="1"/>
        <v>1</v>
      </c>
      <c r="B40" t="s">
        <v>915</v>
      </c>
      <c r="C40" t="s">
        <v>20</v>
      </c>
      <c r="D40">
        <v>101</v>
      </c>
      <c r="H40">
        <v>56</v>
      </c>
      <c r="I40" t="s">
        <v>222</v>
      </c>
      <c r="J40">
        <v>100</v>
      </c>
      <c r="K40">
        <v>1.8</v>
      </c>
      <c r="X40" s="9"/>
    </row>
    <row r="41" spans="1:24" x14ac:dyDescent="0.25">
      <c r="A41">
        <f t="shared" si="1"/>
        <v>1</v>
      </c>
      <c r="B41" t="s">
        <v>917</v>
      </c>
      <c r="C41" t="s">
        <v>318</v>
      </c>
      <c r="D41">
        <v>24</v>
      </c>
      <c r="E41" t="s">
        <v>212</v>
      </c>
      <c r="G41" t="s">
        <v>365</v>
      </c>
      <c r="H41">
        <f>D41/K41</f>
        <v>8</v>
      </c>
      <c r="I41" t="s">
        <v>321</v>
      </c>
      <c r="J41">
        <v>112</v>
      </c>
      <c r="K41">
        <v>3</v>
      </c>
      <c r="X41" s="9"/>
    </row>
    <row r="42" spans="1:24" x14ac:dyDescent="0.25">
      <c r="A42">
        <f t="shared" si="1"/>
        <v>1</v>
      </c>
      <c r="B42" t="s">
        <v>918</v>
      </c>
      <c r="C42" t="s">
        <v>320</v>
      </c>
      <c r="D42">
        <v>267</v>
      </c>
      <c r="E42" t="s">
        <v>212</v>
      </c>
      <c r="G42" t="s">
        <v>877</v>
      </c>
      <c r="H42">
        <v>72</v>
      </c>
      <c r="I42" t="s">
        <v>321</v>
      </c>
      <c r="J42">
        <v>112</v>
      </c>
      <c r="K42">
        <v>3</v>
      </c>
      <c r="X42" s="9"/>
    </row>
    <row r="43" spans="1:24" x14ac:dyDescent="0.25">
      <c r="A43">
        <f t="shared" si="1"/>
        <v>1</v>
      </c>
      <c r="B43" t="s">
        <v>919</v>
      </c>
      <c r="C43" t="s">
        <v>20</v>
      </c>
      <c r="D43">
        <v>139</v>
      </c>
      <c r="E43" t="s">
        <v>94</v>
      </c>
      <c r="F43">
        <v>10</v>
      </c>
      <c r="G43" t="s">
        <v>460</v>
      </c>
      <c r="H43">
        <v>77</v>
      </c>
      <c r="I43" t="s">
        <v>222</v>
      </c>
      <c r="J43">
        <v>100</v>
      </c>
      <c r="K43">
        <v>1.8</v>
      </c>
      <c r="X43" s="9"/>
    </row>
    <row r="44" spans="1:24" x14ac:dyDescent="0.25">
      <c r="A44">
        <f t="shared" si="1"/>
        <v>1</v>
      </c>
      <c r="B44" t="s">
        <v>920</v>
      </c>
      <c r="C44" t="s">
        <v>166</v>
      </c>
      <c r="D44">
        <v>42</v>
      </c>
      <c r="E44" t="s">
        <v>212</v>
      </c>
      <c r="G44" t="s">
        <v>928</v>
      </c>
      <c r="H44">
        <v>22</v>
      </c>
      <c r="I44" t="s">
        <v>244</v>
      </c>
      <c r="J44">
        <v>90</v>
      </c>
      <c r="K44">
        <v>2</v>
      </c>
      <c r="X44" s="9"/>
    </row>
    <row r="45" spans="1:24" x14ac:dyDescent="0.25">
      <c r="A45">
        <f t="shared" si="1"/>
        <v>1</v>
      </c>
      <c r="B45" t="s">
        <v>921</v>
      </c>
      <c r="C45" t="s">
        <v>20</v>
      </c>
      <c r="D45">
        <v>59</v>
      </c>
      <c r="E45" t="s">
        <v>212</v>
      </c>
      <c r="F45">
        <v>10</v>
      </c>
      <c r="G45" t="s">
        <v>927</v>
      </c>
      <c r="H45">
        <v>33</v>
      </c>
      <c r="I45" t="s">
        <v>222</v>
      </c>
      <c r="J45">
        <v>100</v>
      </c>
      <c r="K45">
        <v>1.8</v>
      </c>
      <c r="X45" s="9"/>
    </row>
    <row r="46" spans="1:24" x14ac:dyDescent="0.25">
      <c r="A46">
        <f t="shared" si="1"/>
        <v>1</v>
      </c>
      <c r="B46" t="s">
        <v>922</v>
      </c>
      <c r="C46" t="s">
        <v>69</v>
      </c>
      <c r="D46">
        <v>3</v>
      </c>
      <c r="H46">
        <v>1</v>
      </c>
      <c r="I46" t="s">
        <v>321</v>
      </c>
      <c r="J46">
        <v>112</v>
      </c>
      <c r="K46">
        <v>3</v>
      </c>
      <c r="X46" s="9"/>
    </row>
    <row r="47" spans="1:24" x14ac:dyDescent="0.25">
      <c r="A47">
        <f t="shared" si="1"/>
        <v>1</v>
      </c>
      <c r="B47" t="s">
        <v>882</v>
      </c>
      <c r="C47" t="s">
        <v>142</v>
      </c>
      <c r="D47">
        <v>48</v>
      </c>
      <c r="E47" t="s">
        <v>212</v>
      </c>
      <c r="H47">
        <v>24</v>
      </c>
      <c r="I47" t="s">
        <v>244</v>
      </c>
      <c r="J47">
        <v>90</v>
      </c>
      <c r="K47">
        <v>2</v>
      </c>
      <c r="X47" s="9"/>
    </row>
    <row r="48" spans="1:24" x14ac:dyDescent="0.25">
      <c r="A48">
        <f t="shared" si="1"/>
        <v>1</v>
      </c>
      <c r="B48" t="s">
        <v>923</v>
      </c>
      <c r="C48" t="s">
        <v>144</v>
      </c>
      <c r="D48">
        <v>168</v>
      </c>
      <c r="E48" t="s">
        <v>212</v>
      </c>
      <c r="F48">
        <v>10</v>
      </c>
      <c r="G48" t="s">
        <v>883</v>
      </c>
      <c r="H48" s="1">
        <v>56</v>
      </c>
      <c r="I48" t="s">
        <v>233</v>
      </c>
      <c r="J48">
        <v>90</v>
      </c>
      <c r="K48">
        <v>3</v>
      </c>
      <c r="X48" s="9"/>
    </row>
    <row r="49" spans="1:25" x14ac:dyDescent="0.25">
      <c r="A49">
        <f t="shared" si="1"/>
        <v>1</v>
      </c>
      <c r="B49" t="s">
        <v>878</v>
      </c>
      <c r="C49" t="s">
        <v>140</v>
      </c>
      <c r="D49">
        <v>96</v>
      </c>
      <c r="E49" t="s">
        <v>212</v>
      </c>
      <c r="F49">
        <v>15</v>
      </c>
      <c r="G49" t="s">
        <v>879</v>
      </c>
      <c r="H49" s="1">
        <v>32</v>
      </c>
      <c r="I49" t="s">
        <v>321</v>
      </c>
      <c r="J49">
        <v>112</v>
      </c>
      <c r="K49">
        <v>3</v>
      </c>
      <c r="X49" s="9"/>
    </row>
    <row r="50" spans="1:25" x14ac:dyDescent="0.25">
      <c r="A50">
        <f t="shared" si="1"/>
        <v>1</v>
      </c>
      <c r="B50" t="s">
        <v>924</v>
      </c>
      <c r="C50" t="s">
        <v>166</v>
      </c>
      <c r="D50">
        <v>52</v>
      </c>
      <c r="E50" t="s">
        <v>212</v>
      </c>
      <c r="X50" s="9"/>
    </row>
    <row r="51" spans="1:25" x14ac:dyDescent="0.25">
      <c r="A51">
        <f t="shared" si="1"/>
        <v>1</v>
      </c>
      <c r="B51" t="s">
        <v>925</v>
      </c>
      <c r="C51" t="s">
        <v>141</v>
      </c>
      <c r="D51">
        <v>254</v>
      </c>
      <c r="E51" t="s">
        <v>212</v>
      </c>
      <c r="X51" s="9"/>
    </row>
    <row r="52" spans="1:25" x14ac:dyDescent="0.25">
      <c r="A52">
        <f t="shared" si="1"/>
        <v>1</v>
      </c>
      <c r="B52" t="s">
        <v>926</v>
      </c>
      <c r="C52" t="s">
        <v>140</v>
      </c>
      <c r="D52">
        <v>69</v>
      </c>
      <c r="E52" t="s">
        <v>212</v>
      </c>
      <c r="G52" t="s">
        <v>1063</v>
      </c>
      <c r="H52">
        <v>23</v>
      </c>
      <c r="I52" t="s">
        <v>321</v>
      </c>
      <c r="J52">
        <v>112</v>
      </c>
      <c r="K52">
        <v>3</v>
      </c>
      <c r="X52" s="9"/>
    </row>
    <row r="53" spans="1:25" x14ac:dyDescent="0.25">
      <c r="A53">
        <f t="shared" si="1"/>
        <v>1</v>
      </c>
      <c r="B53" t="s">
        <v>926</v>
      </c>
      <c r="C53" t="s">
        <v>206</v>
      </c>
      <c r="D53">
        <v>24</v>
      </c>
      <c r="E53" t="s">
        <v>212</v>
      </c>
      <c r="G53" t="s">
        <v>1064</v>
      </c>
      <c r="H53">
        <v>8</v>
      </c>
      <c r="I53" t="s">
        <v>321</v>
      </c>
      <c r="J53">
        <v>112</v>
      </c>
      <c r="K53">
        <v>3</v>
      </c>
      <c r="X53" s="9"/>
    </row>
    <row r="54" spans="1:25" x14ac:dyDescent="0.25">
      <c r="A54">
        <f t="shared" si="1"/>
        <v>1</v>
      </c>
      <c r="B54" t="s">
        <v>926</v>
      </c>
      <c r="C54" t="s">
        <v>916</v>
      </c>
      <c r="D54">
        <v>50</v>
      </c>
      <c r="E54" t="s">
        <v>212</v>
      </c>
      <c r="H54">
        <v>28</v>
      </c>
      <c r="I54" t="s">
        <v>806</v>
      </c>
      <c r="J54">
        <v>90</v>
      </c>
      <c r="K54">
        <v>1.8</v>
      </c>
      <c r="X54" s="9"/>
    </row>
    <row r="55" spans="1:25" x14ac:dyDescent="0.25">
      <c r="A55">
        <f t="shared" si="1"/>
        <v>1</v>
      </c>
      <c r="B55" t="s">
        <v>926</v>
      </c>
      <c r="C55" t="s">
        <v>165</v>
      </c>
      <c r="D55">
        <v>54</v>
      </c>
      <c r="E55" t="s">
        <v>212</v>
      </c>
      <c r="G55" t="s">
        <v>880</v>
      </c>
      <c r="H55">
        <v>18</v>
      </c>
      <c r="I55" t="s">
        <v>321</v>
      </c>
      <c r="J55">
        <v>112</v>
      </c>
      <c r="K55">
        <v>3</v>
      </c>
      <c r="X55" s="9"/>
    </row>
    <row r="56" spans="1:25" x14ac:dyDescent="0.25">
      <c r="A56">
        <f t="shared" si="1"/>
        <v>1</v>
      </c>
      <c r="B56" t="s">
        <v>926</v>
      </c>
      <c r="C56" t="s">
        <v>138</v>
      </c>
      <c r="D56">
        <v>62</v>
      </c>
      <c r="E56" t="s">
        <v>212</v>
      </c>
      <c r="G56" t="s">
        <v>220</v>
      </c>
      <c r="H56">
        <v>31</v>
      </c>
      <c r="I56" t="s">
        <v>244</v>
      </c>
      <c r="J56">
        <v>90</v>
      </c>
      <c r="K56">
        <v>2</v>
      </c>
      <c r="X56" s="9"/>
    </row>
    <row r="57" spans="1:25" x14ac:dyDescent="0.25">
      <c r="A57">
        <f t="shared" si="1"/>
        <v>1</v>
      </c>
      <c r="B57" t="s">
        <v>926</v>
      </c>
      <c r="C57" t="s">
        <v>161</v>
      </c>
      <c r="D57">
        <v>51</v>
      </c>
      <c r="E57" t="s">
        <v>212</v>
      </c>
      <c r="H57">
        <v>17</v>
      </c>
      <c r="I57" t="s">
        <v>321</v>
      </c>
      <c r="J57">
        <v>112</v>
      </c>
      <c r="K57">
        <v>3</v>
      </c>
      <c r="X57" s="9"/>
    </row>
    <row r="58" spans="1:25" x14ac:dyDescent="0.25">
      <c r="X58" s="9"/>
    </row>
    <row r="59" spans="1:25" hidden="1" x14ac:dyDescent="0.25">
      <c r="B59" s="8"/>
      <c r="H59" s="1"/>
      <c r="X59" s="9"/>
    </row>
    <row r="60" spans="1:25" hidden="1" x14ac:dyDescent="0.25">
      <c r="B60" s="8"/>
      <c r="X60" s="9"/>
    </row>
    <row r="61" spans="1:25" hidden="1" x14ac:dyDescent="0.25">
      <c r="B61" s="8"/>
      <c r="X61" s="9"/>
    </row>
    <row r="62" spans="1:25" hidden="1" x14ac:dyDescent="0.25">
      <c r="B62" s="8"/>
      <c r="H62" s="1"/>
      <c r="X62" s="9"/>
    </row>
    <row r="63" spans="1:25" hidden="1" x14ac:dyDescent="0.25">
      <c r="B63" s="8"/>
      <c r="H63" s="1"/>
      <c r="X63" s="9"/>
    </row>
    <row r="64" spans="1:25" hidden="1" x14ac:dyDescent="0.25">
      <c r="B64" s="8"/>
      <c r="H64" s="1"/>
      <c r="X64" s="9"/>
      <c r="Y64" t="s">
        <v>881</v>
      </c>
    </row>
    <row r="65" spans="2:24" hidden="1" x14ac:dyDescent="0.25">
      <c r="B65" s="8"/>
      <c r="X65" s="9"/>
    </row>
    <row r="66" spans="2:24" hidden="1" x14ac:dyDescent="0.25">
      <c r="B66" s="8"/>
      <c r="H66" s="1"/>
      <c r="X66" s="9"/>
    </row>
    <row r="67" spans="2:24" hidden="1" x14ac:dyDescent="0.25">
      <c r="B67" s="8"/>
      <c r="H67" s="1"/>
      <c r="X67" s="9"/>
    </row>
    <row r="68" spans="2:24" hidden="1" x14ac:dyDescent="0.25">
      <c r="B68" s="8"/>
      <c r="H68" s="1"/>
      <c r="X68" s="9"/>
    </row>
    <row r="69" spans="2:24" hidden="1" x14ac:dyDescent="0.25">
      <c r="B69" s="8"/>
      <c r="H69" s="1"/>
      <c r="X69" s="9"/>
    </row>
    <row r="70" spans="2:24" hidden="1" x14ac:dyDescent="0.25">
      <c r="B70" s="8"/>
      <c r="H70" s="1"/>
      <c r="X70" s="9"/>
    </row>
    <row r="71" spans="2:24" hidden="1" x14ac:dyDescent="0.25">
      <c r="B71" s="8"/>
      <c r="H71" s="1"/>
      <c r="X71" s="9"/>
    </row>
    <row r="72" spans="2:24" hidden="1" x14ac:dyDescent="0.25">
      <c r="B72" s="8"/>
      <c r="H72" s="1"/>
      <c r="K72" s="27"/>
      <c r="X72" s="9"/>
    </row>
    <row r="73" spans="2:24" hidden="1" x14ac:dyDescent="0.25">
      <c r="B73" s="8"/>
      <c r="H73" s="1"/>
      <c r="X73" s="9"/>
    </row>
    <row r="74" spans="2:24" hidden="1" x14ac:dyDescent="0.25">
      <c r="B74" s="8"/>
      <c r="H74" s="1"/>
      <c r="X74" s="9"/>
    </row>
    <row r="75" spans="2:24" hidden="1" x14ac:dyDescent="0.25">
      <c r="B75" s="8"/>
      <c r="H75" s="1"/>
      <c r="X75" s="9"/>
    </row>
    <row r="76" spans="2:24" hidden="1" x14ac:dyDescent="0.25">
      <c r="B76" s="8"/>
      <c r="H76" s="1"/>
      <c r="X76" s="9"/>
    </row>
    <row r="77" spans="2:24" hidden="1" x14ac:dyDescent="0.25">
      <c r="B77" s="8"/>
      <c r="H77" s="1"/>
      <c r="X77" s="9"/>
    </row>
    <row r="78" spans="2:24" hidden="1" x14ac:dyDescent="0.25">
      <c r="B78" s="8"/>
      <c r="H78" s="1"/>
      <c r="X78" s="9"/>
    </row>
    <row r="79" spans="2:24" hidden="1" x14ac:dyDescent="0.25">
      <c r="B79" s="8"/>
      <c r="H79" s="1"/>
      <c r="X79" s="9"/>
    </row>
    <row r="80" spans="2:24" hidden="1" x14ac:dyDescent="0.25">
      <c r="B80" s="10"/>
      <c r="C80" s="11"/>
      <c r="D80" s="11"/>
      <c r="E80" s="11"/>
      <c r="F80" s="11"/>
      <c r="G80" s="11"/>
      <c r="H80" s="28"/>
      <c r="I80" s="11"/>
      <c r="J80" s="11"/>
      <c r="K80" s="11"/>
      <c r="L80" s="11"/>
      <c r="M80" s="11"/>
      <c r="N80" s="11"/>
      <c r="O80" s="11"/>
      <c r="P80" s="11"/>
      <c r="Q80" s="11"/>
      <c r="R80" s="11"/>
      <c r="S80" s="11"/>
      <c r="T80" s="11"/>
      <c r="U80" s="11"/>
      <c r="V80" s="11"/>
      <c r="W80" s="11"/>
      <c r="X80" s="12"/>
    </row>
    <row r="81" spans="2:20" x14ac:dyDescent="0.25">
      <c r="H81" s="1"/>
    </row>
    <row r="82" spans="2:20" x14ac:dyDescent="0.25">
      <c r="B82" s="2"/>
      <c r="H82" s="1"/>
    </row>
    <row r="83" spans="2:20" x14ac:dyDescent="0.25">
      <c r="B83" s="2"/>
      <c r="H83" s="1"/>
    </row>
    <row r="85" spans="2:20" x14ac:dyDescent="0.25">
      <c r="C85" s="5" t="s">
        <v>150</v>
      </c>
      <c r="D85" s="6" t="s">
        <v>91</v>
      </c>
      <c r="E85" s="6" t="s">
        <v>130</v>
      </c>
      <c r="F85" s="6"/>
      <c r="G85" s="7" t="s">
        <v>395</v>
      </c>
      <c r="I85" s="13" t="s">
        <v>124</v>
      </c>
      <c r="J85" s="14"/>
      <c r="K85" s="14"/>
      <c r="L85" s="14" t="s">
        <v>135</v>
      </c>
      <c r="M85" s="14" t="s">
        <v>375</v>
      </c>
      <c r="N85" s="15" t="s">
        <v>130</v>
      </c>
      <c r="P85" s="13" t="s">
        <v>124</v>
      </c>
      <c r="Q85" s="14"/>
      <c r="R85" s="14"/>
      <c r="S85" s="14" t="s">
        <v>135</v>
      </c>
      <c r="T85" s="15" t="s">
        <v>375</v>
      </c>
    </row>
    <row r="86" spans="2:20" x14ac:dyDescent="0.25">
      <c r="C86" s="8" t="s">
        <v>392</v>
      </c>
      <c r="D86" s="1">
        <f>SUM(M86:M89,T86:T89)</f>
        <v>1695.7777777777778</v>
      </c>
      <c r="E86">
        <f>SUM(D2:D80)</f>
        <v>4588</v>
      </c>
      <c r="G86" s="23">
        <f>E86/D86</f>
        <v>2.7055431791377278</v>
      </c>
      <c r="I86" s="8" t="s">
        <v>255</v>
      </c>
      <c r="L86">
        <f>COUNTIF(K1:K82,"&lt;2")</f>
        <v>13</v>
      </c>
      <c r="M86" s="1">
        <f>SUMIF(K1:K82,"&lt;2",H1:H82)</f>
        <v>776.77777777777783</v>
      </c>
      <c r="N86" s="9">
        <f>SUMIF(K1:K82,"&lt;2",D1:D82)</f>
        <v>1344</v>
      </c>
      <c r="P86" s="8" t="s">
        <v>255</v>
      </c>
      <c r="S86">
        <f>COUNTIF(R1:R82,"&lt;2")</f>
        <v>0</v>
      </c>
      <c r="T86" s="9">
        <f>SUMIF(R1:R82,"&lt;2",K1:K82)</f>
        <v>0</v>
      </c>
    </row>
    <row r="87" spans="2:20" x14ac:dyDescent="0.25">
      <c r="C87" s="8" t="s">
        <v>125</v>
      </c>
      <c r="D87">
        <f>COUNT(D2:D80)</f>
        <v>56</v>
      </c>
      <c r="G87" s="9"/>
      <c r="I87" s="8" t="s">
        <v>133</v>
      </c>
      <c r="L87">
        <f>COUNTIF(K5:K83,"&lt;3")-L86</f>
        <v>15</v>
      </c>
      <c r="M87" s="1">
        <f>SUMIF(K1:K79,"&lt;3",H1:H79)-M86</f>
        <v>476</v>
      </c>
      <c r="N87" s="9">
        <f>SUMIF(K1:K79,"&lt;3",D1:D79)</f>
        <v>2313</v>
      </c>
      <c r="P87" s="8" t="s">
        <v>133</v>
      </c>
      <c r="S87">
        <f>COUNTIF(R5:R83,"&lt;3")-S86</f>
        <v>0</v>
      </c>
      <c r="T87" s="9">
        <f>SUMIF(R1:R79,"&lt;3",O1:O79)-T86</f>
        <v>0</v>
      </c>
    </row>
    <row r="88" spans="2:20" x14ac:dyDescent="0.25">
      <c r="C88" s="8" t="s">
        <v>386</v>
      </c>
      <c r="D88">
        <f>COUNTIF(E2:E80,"AOM5000")</f>
        <v>1</v>
      </c>
      <c r="E88">
        <f>SUMIF(E2:E77,"AOM5000",D2:D77)</f>
        <v>139</v>
      </c>
      <c r="F88" t="s">
        <v>396</v>
      </c>
      <c r="G88" s="21">
        <f>AVERAGEIF(E1:E79,"AOM5000",F1:F79)</f>
        <v>10</v>
      </c>
      <c r="I88" s="8" t="s">
        <v>132</v>
      </c>
      <c r="L88">
        <f>COUNTIF(K5:K83,"&lt;4")-L87-L86</f>
        <v>15</v>
      </c>
      <c r="M88" s="1">
        <f>SUMIF(K1:K79,"&lt;4",H1:H79)-M87-M86</f>
        <v>443</v>
      </c>
      <c r="N88" s="9">
        <f>SUMIF(K1:K79,"&lt;4",D1:D79)-N87</f>
        <v>1379</v>
      </c>
      <c r="P88" s="8" t="s">
        <v>132</v>
      </c>
      <c r="S88">
        <f>COUNTIF(R5:R83,"&lt;4")-S87-S86</f>
        <v>0</v>
      </c>
      <c r="T88" s="9">
        <f>SUMIF(R1:R79,"&lt;4",O1:O79)-T87</f>
        <v>0</v>
      </c>
    </row>
    <row r="89" spans="2:20" x14ac:dyDescent="0.25">
      <c r="C89" s="8" t="s">
        <v>387</v>
      </c>
      <c r="D89">
        <f>COUNTIF(E1:E79,"AOM4000")</f>
        <v>0</v>
      </c>
      <c r="E89">
        <f>SUMIF(E2:E77,"AOM4000",D2:D77)</f>
        <v>0</v>
      </c>
      <c r="F89" t="s">
        <v>397</v>
      </c>
      <c r="G89" s="21" t="e">
        <f>AVERAGEIF(E1:E79,"AOM4000",F1:F79)</f>
        <v>#DIV/0!</v>
      </c>
      <c r="I89" s="8" t="s">
        <v>134</v>
      </c>
      <c r="L89">
        <f>COUNTIF(K5:K83,"&lt;5")-L88-L87-L86</f>
        <v>0</v>
      </c>
      <c r="M89" s="1">
        <f>SUMIF(K1:K79,"&lt;6",H1:H79)-M88-M87-M86</f>
        <v>0</v>
      </c>
      <c r="N89" s="9">
        <f>SUMIF(K1:K79,"&lt;5",D1:D79)-N88-N87</f>
        <v>0</v>
      </c>
      <c r="P89" s="8" t="s">
        <v>134</v>
      </c>
      <c r="S89">
        <f>COUNTIF(R5:R83,"&lt;5")-S88-S87-S86</f>
        <v>0</v>
      </c>
      <c r="T89" s="9">
        <f>SUMIF(R5:R83,"&lt;5",O5:O83)-T88-T87</f>
        <v>0</v>
      </c>
    </row>
    <row r="90" spans="2:20" x14ac:dyDescent="0.25">
      <c r="C90" s="8" t="s">
        <v>390</v>
      </c>
      <c r="D90" s="18">
        <f>D88/(D89+D88)*100</f>
        <v>100</v>
      </c>
      <c r="E90" s="18">
        <f>E88/(E89+E88)*100</f>
        <v>100</v>
      </c>
      <c r="G90" s="9"/>
      <c r="I90" s="8"/>
      <c r="N90" s="9"/>
      <c r="P90" s="8"/>
      <c r="T90" s="9"/>
    </row>
    <row r="91" spans="2:20" x14ac:dyDescent="0.25">
      <c r="C91" s="16" t="s">
        <v>128</v>
      </c>
      <c r="D91" s="22">
        <f>D88/D87*100</f>
        <v>1.7857142857142856</v>
      </c>
      <c r="E91" s="22">
        <f>E88/E86*100</f>
        <v>3.0296425457715781</v>
      </c>
      <c r="F91" s="11"/>
      <c r="G91" s="12"/>
      <c r="I91" s="8" t="s">
        <v>136</v>
      </c>
      <c r="L91">
        <f>COUNTA(L1:L79)</f>
        <v>1</v>
      </c>
      <c r="N91" s="9"/>
      <c r="P91" s="10" t="s">
        <v>136</v>
      </c>
      <c r="Q91" s="11"/>
      <c r="R91" s="11"/>
      <c r="S91" s="11">
        <f>COUNTA(S5:S83)</f>
        <v>0</v>
      </c>
      <c r="T91" s="12"/>
    </row>
    <row r="92" spans="2:20" x14ac:dyDescent="0.25">
      <c r="F92" t="s">
        <v>388</v>
      </c>
      <c r="I92" s="10"/>
      <c r="J92" s="11"/>
      <c r="K92" s="11"/>
      <c r="L92" s="11"/>
      <c r="M92" s="11"/>
      <c r="N92" s="12"/>
    </row>
    <row r="93" spans="2:20" x14ac:dyDescent="0.25">
      <c r="C93" s="5" t="s">
        <v>149</v>
      </c>
      <c r="D93" s="6" t="s">
        <v>135</v>
      </c>
      <c r="E93" s="7" t="s">
        <v>130</v>
      </c>
      <c r="F93" s="5" t="s">
        <v>93</v>
      </c>
      <c r="G93" s="7" t="s">
        <v>94</v>
      </c>
    </row>
    <row r="94" spans="2:20" x14ac:dyDescent="0.25">
      <c r="B94" s="18">
        <f>E94/$E$86*100</f>
        <v>25.850043591979077</v>
      </c>
      <c r="C94" s="8" t="s">
        <v>20</v>
      </c>
      <c r="D94">
        <f t="shared" ref="D94:D116" si="2">COUNTIF(C$1:C$79,C94)</f>
        <v>9</v>
      </c>
      <c r="E94" s="9">
        <f t="shared" ref="E94:E116" si="3">SUMIF(C$1:C$79,C94,D$1:D$79)</f>
        <v>1186</v>
      </c>
      <c r="F94" s="8">
        <f t="shared" ref="F94:F116" si="4">SUMIFS($D$1:$D$77,$C$1:$C$77,C94,$E$1:$E$77,$F$93)</f>
        <v>0</v>
      </c>
      <c r="G94" s="9">
        <f t="shared" ref="G94:G116" si="5">SUMIFS($D$2:$D$78,$C$2:$C$78,C94,$E$2:$E$78,$G$93)</f>
        <v>139</v>
      </c>
      <c r="I94" s="5" t="s">
        <v>376</v>
      </c>
      <c r="J94" s="6"/>
      <c r="K94" s="6"/>
      <c r="L94" s="7" t="s">
        <v>377</v>
      </c>
    </row>
    <row r="95" spans="2:20" x14ac:dyDescent="0.25">
      <c r="B95" s="18">
        <f t="shared" ref="B95:B106" si="6">E95/$E$86*100</f>
        <v>8.5876198779424584</v>
      </c>
      <c r="C95" s="8" t="s">
        <v>142</v>
      </c>
      <c r="D95">
        <f t="shared" si="2"/>
        <v>7</v>
      </c>
      <c r="E95" s="9">
        <f t="shared" si="3"/>
        <v>394</v>
      </c>
      <c r="F95" s="8">
        <f t="shared" si="4"/>
        <v>0</v>
      </c>
      <c r="G95" s="9">
        <f t="shared" si="5"/>
        <v>0</v>
      </c>
      <c r="I95" t="s">
        <v>868</v>
      </c>
      <c r="L95" s="19">
        <f t="shared" ref="L95:L102" si="7">SUMIF(I$1:I$79,I95,H$1:H$79)+SUMIF(P$1:P$79,I95,O$1:O$79)</f>
        <v>58</v>
      </c>
    </row>
    <row r="96" spans="2:20" x14ac:dyDescent="0.25">
      <c r="B96" s="18">
        <f t="shared" si="6"/>
        <v>6.5387968613775063E-2</v>
      </c>
      <c r="C96" s="8" t="s">
        <v>69</v>
      </c>
      <c r="D96">
        <f t="shared" si="2"/>
        <v>1</v>
      </c>
      <c r="E96" s="9">
        <f t="shared" si="3"/>
        <v>3</v>
      </c>
      <c r="F96" s="8">
        <f t="shared" si="4"/>
        <v>0</v>
      </c>
      <c r="G96" s="9">
        <f t="shared" si="5"/>
        <v>0</v>
      </c>
      <c r="I96" s="8" t="s">
        <v>462</v>
      </c>
      <c r="L96" s="19">
        <f t="shared" si="7"/>
        <v>73</v>
      </c>
    </row>
    <row r="97" spans="2:12" x14ac:dyDescent="0.25">
      <c r="B97" s="18">
        <f t="shared" si="6"/>
        <v>9.8517872711421095</v>
      </c>
      <c r="C97" s="8" t="s">
        <v>140</v>
      </c>
      <c r="D97">
        <f t="shared" si="2"/>
        <v>6</v>
      </c>
      <c r="E97" s="9">
        <f t="shared" si="3"/>
        <v>452</v>
      </c>
      <c r="F97" s="8">
        <f t="shared" si="4"/>
        <v>0</v>
      </c>
      <c r="G97" s="9">
        <f t="shared" si="5"/>
        <v>0</v>
      </c>
      <c r="I97" s="8" t="s">
        <v>244</v>
      </c>
      <c r="L97" s="19">
        <f t="shared" si="7"/>
        <v>373</v>
      </c>
    </row>
    <row r="98" spans="2:12" x14ac:dyDescent="0.25">
      <c r="B98" s="18">
        <f t="shared" si="6"/>
        <v>3.6617262423714032</v>
      </c>
      <c r="C98" s="8" t="s">
        <v>144</v>
      </c>
      <c r="D98">
        <f t="shared" si="2"/>
        <v>1</v>
      </c>
      <c r="E98" s="9">
        <f t="shared" si="3"/>
        <v>168</v>
      </c>
      <c r="F98" s="8">
        <f t="shared" si="4"/>
        <v>0</v>
      </c>
      <c r="G98" s="9">
        <f t="shared" si="5"/>
        <v>0</v>
      </c>
      <c r="I98" s="8" t="s">
        <v>233</v>
      </c>
      <c r="L98" s="19">
        <f t="shared" si="7"/>
        <v>193</v>
      </c>
    </row>
    <row r="99" spans="2:12" x14ac:dyDescent="0.25">
      <c r="B99" s="18">
        <f t="shared" si="6"/>
        <v>0.9154315605928508</v>
      </c>
      <c r="C99" s="8" t="s">
        <v>318</v>
      </c>
      <c r="D99">
        <f t="shared" si="2"/>
        <v>2</v>
      </c>
      <c r="E99" s="9">
        <f t="shared" si="3"/>
        <v>42</v>
      </c>
      <c r="F99" s="8">
        <f t="shared" si="4"/>
        <v>0</v>
      </c>
      <c r="G99" s="9">
        <f t="shared" si="5"/>
        <v>0</v>
      </c>
      <c r="I99" s="8" t="s">
        <v>806</v>
      </c>
      <c r="L99" s="19">
        <f t="shared" si="7"/>
        <v>342.77777777777777</v>
      </c>
    </row>
    <row r="100" spans="2:12" x14ac:dyDescent="0.25">
      <c r="B100" s="18">
        <f t="shared" si="6"/>
        <v>9.3940714908456844</v>
      </c>
      <c r="C100" s="8" t="s">
        <v>45</v>
      </c>
      <c r="D100">
        <f t="shared" si="2"/>
        <v>3</v>
      </c>
      <c r="E100" s="9">
        <f t="shared" si="3"/>
        <v>431</v>
      </c>
      <c r="F100" s="8">
        <f t="shared" si="4"/>
        <v>0</v>
      </c>
      <c r="G100" s="9">
        <f t="shared" si="5"/>
        <v>0</v>
      </c>
      <c r="I100" s="8" t="s">
        <v>222</v>
      </c>
      <c r="L100" s="19">
        <f t="shared" si="7"/>
        <v>376</v>
      </c>
    </row>
    <row r="101" spans="2:12" x14ac:dyDescent="0.25">
      <c r="B101" s="18">
        <f t="shared" si="6"/>
        <v>3.225806451612903</v>
      </c>
      <c r="C101" s="8" t="s">
        <v>165</v>
      </c>
      <c r="D101">
        <f t="shared" si="2"/>
        <v>3</v>
      </c>
      <c r="E101" s="9">
        <f t="shared" si="3"/>
        <v>148</v>
      </c>
      <c r="F101" s="8">
        <f t="shared" si="4"/>
        <v>0</v>
      </c>
      <c r="G101" s="9">
        <f t="shared" si="5"/>
        <v>0</v>
      </c>
      <c r="I101" s="8" t="s">
        <v>778</v>
      </c>
      <c r="L101" s="19">
        <f t="shared" si="7"/>
        <v>30</v>
      </c>
    </row>
    <row r="102" spans="2:12" x14ac:dyDescent="0.25">
      <c r="B102" s="18">
        <f t="shared" si="6"/>
        <v>1.0897994768962511</v>
      </c>
      <c r="C102" s="8" t="s">
        <v>916</v>
      </c>
      <c r="D102">
        <f t="shared" si="2"/>
        <v>1</v>
      </c>
      <c r="E102" s="9">
        <f t="shared" si="3"/>
        <v>50</v>
      </c>
      <c r="F102" s="8">
        <f t="shared" si="4"/>
        <v>0</v>
      </c>
      <c r="G102" s="9">
        <f t="shared" si="5"/>
        <v>0</v>
      </c>
      <c r="I102" s="8" t="s">
        <v>321</v>
      </c>
      <c r="L102" s="19">
        <f t="shared" si="7"/>
        <v>250</v>
      </c>
    </row>
    <row r="103" spans="2:12" x14ac:dyDescent="0.25">
      <c r="B103" s="18">
        <f t="shared" si="6"/>
        <v>1.1115954664341761</v>
      </c>
      <c r="C103" s="8" t="s">
        <v>161</v>
      </c>
      <c r="D103">
        <f t="shared" si="2"/>
        <v>1</v>
      </c>
      <c r="E103" s="9">
        <f t="shared" si="3"/>
        <v>51</v>
      </c>
      <c r="F103" s="8">
        <f t="shared" si="4"/>
        <v>0</v>
      </c>
      <c r="G103" s="9">
        <f t="shared" si="5"/>
        <v>0</v>
      </c>
      <c r="I103" s="8"/>
      <c r="J103" s="11"/>
      <c r="K103" s="11"/>
      <c r="L103" s="19"/>
    </row>
    <row r="104" spans="2:12" x14ac:dyDescent="0.25">
      <c r="B104" s="18">
        <f t="shared" si="6"/>
        <v>2.1795989537925022</v>
      </c>
      <c r="C104" s="8" t="s">
        <v>138</v>
      </c>
      <c r="D104">
        <f t="shared" si="2"/>
        <v>2</v>
      </c>
      <c r="E104" s="9">
        <f t="shared" si="3"/>
        <v>100</v>
      </c>
      <c r="F104" s="8">
        <f t="shared" si="4"/>
        <v>0</v>
      </c>
      <c r="G104" s="9">
        <f t="shared" si="5"/>
        <v>0</v>
      </c>
      <c r="I104" s="8"/>
      <c r="J104" s="11"/>
      <c r="K104" s="11"/>
      <c r="L104" s="19"/>
    </row>
    <row r="105" spans="2:12" x14ac:dyDescent="0.25">
      <c r="B105" s="18">
        <f t="shared" si="6"/>
        <v>0.26155187445510025</v>
      </c>
      <c r="C105" s="8" t="s">
        <v>852</v>
      </c>
      <c r="D105">
        <f t="shared" si="2"/>
        <v>1</v>
      </c>
      <c r="E105" s="9">
        <f t="shared" si="3"/>
        <v>12</v>
      </c>
      <c r="F105" s="8">
        <f t="shared" si="4"/>
        <v>0</v>
      </c>
      <c r="G105" s="9">
        <f t="shared" si="5"/>
        <v>0</v>
      </c>
      <c r="L105" s="1"/>
    </row>
    <row r="106" spans="2:12" x14ac:dyDescent="0.25">
      <c r="B106" s="18">
        <f t="shared" si="6"/>
        <v>4.0540540540540544</v>
      </c>
      <c r="C106" s="8" t="s">
        <v>166</v>
      </c>
      <c r="D106">
        <f t="shared" si="2"/>
        <v>3</v>
      </c>
      <c r="E106" s="9">
        <f t="shared" si="3"/>
        <v>186</v>
      </c>
      <c r="F106" s="8">
        <f t="shared" si="4"/>
        <v>0</v>
      </c>
      <c r="G106" s="9">
        <f t="shared" si="5"/>
        <v>0</v>
      </c>
      <c r="L106" s="1"/>
    </row>
    <row r="107" spans="2:12" x14ac:dyDescent="0.25">
      <c r="B107" s="18">
        <f t="shared" ref="B107:B116" si="8">E107/$E$86*100</f>
        <v>0.63208369659982555</v>
      </c>
      <c r="C107" s="8" t="s">
        <v>34</v>
      </c>
      <c r="D107">
        <f t="shared" si="2"/>
        <v>1</v>
      </c>
      <c r="E107" s="9">
        <f t="shared" si="3"/>
        <v>29</v>
      </c>
      <c r="F107" s="8">
        <f t="shared" si="4"/>
        <v>0</v>
      </c>
      <c r="G107" s="9">
        <f t="shared" si="5"/>
        <v>0</v>
      </c>
      <c r="L107" s="1"/>
    </row>
    <row r="108" spans="2:12" x14ac:dyDescent="0.25">
      <c r="B108" s="18">
        <f t="shared" si="8"/>
        <v>0.87183958151700081</v>
      </c>
      <c r="C108" s="8" t="s">
        <v>835</v>
      </c>
      <c r="D108">
        <f t="shared" si="2"/>
        <v>1</v>
      </c>
      <c r="E108" s="9">
        <f t="shared" si="3"/>
        <v>40</v>
      </c>
      <c r="F108" s="8">
        <f t="shared" si="4"/>
        <v>0</v>
      </c>
      <c r="G108" s="9">
        <f t="shared" si="5"/>
        <v>0</v>
      </c>
      <c r="L108" s="1"/>
    </row>
    <row r="109" spans="2:12" x14ac:dyDescent="0.25">
      <c r="B109" s="18">
        <f t="shared" si="8"/>
        <v>1.5693112467306016</v>
      </c>
      <c r="C109" s="8" t="s">
        <v>176</v>
      </c>
      <c r="D109">
        <f t="shared" si="2"/>
        <v>1</v>
      </c>
      <c r="E109" s="9">
        <f t="shared" si="3"/>
        <v>72</v>
      </c>
      <c r="F109" s="8">
        <f t="shared" si="4"/>
        <v>0</v>
      </c>
      <c r="G109" s="9">
        <f t="shared" si="5"/>
        <v>0</v>
      </c>
      <c r="L109" s="1"/>
    </row>
    <row r="110" spans="2:12" x14ac:dyDescent="0.25">
      <c r="B110" s="18">
        <f t="shared" si="8"/>
        <v>0.50130775937227556</v>
      </c>
      <c r="C110" s="8" t="s">
        <v>901</v>
      </c>
      <c r="D110">
        <f t="shared" si="2"/>
        <v>1</v>
      </c>
      <c r="E110" s="9">
        <f t="shared" si="3"/>
        <v>23</v>
      </c>
      <c r="F110" s="8">
        <f t="shared" si="4"/>
        <v>0</v>
      </c>
      <c r="G110" s="9">
        <f t="shared" si="5"/>
        <v>0</v>
      </c>
    </row>
    <row r="111" spans="2:12" x14ac:dyDescent="0.25">
      <c r="B111" s="18">
        <f t="shared" si="8"/>
        <v>13.818657367044466</v>
      </c>
      <c r="C111" s="8" t="s">
        <v>141</v>
      </c>
      <c r="D111">
        <f t="shared" si="2"/>
        <v>5</v>
      </c>
      <c r="E111" s="9">
        <f t="shared" si="3"/>
        <v>634</v>
      </c>
      <c r="F111" s="8">
        <f t="shared" si="4"/>
        <v>0</v>
      </c>
      <c r="G111" s="9">
        <f t="shared" si="5"/>
        <v>0</v>
      </c>
    </row>
    <row r="112" spans="2:12" x14ac:dyDescent="0.25">
      <c r="B112" s="18">
        <f t="shared" si="8"/>
        <v>2.2667829119442024</v>
      </c>
      <c r="C112" s="8" t="s">
        <v>206</v>
      </c>
      <c r="D112">
        <f t="shared" si="2"/>
        <v>2</v>
      </c>
      <c r="E112" s="9">
        <f t="shared" si="3"/>
        <v>104</v>
      </c>
      <c r="F112" s="8">
        <f t="shared" si="4"/>
        <v>0</v>
      </c>
      <c r="G112" s="9">
        <f t="shared" si="5"/>
        <v>0</v>
      </c>
    </row>
    <row r="113" spans="2:7" x14ac:dyDescent="0.25">
      <c r="B113" s="18">
        <f t="shared" si="8"/>
        <v>0.56669572798605061</v>
      </c>
      <c r="C113" s="8" t="s">
        <v>146</v>
      </c>
      <c r="D113">
        <f t="shared" si="2"/>
        <v>1</v>
      </c>
      <c r="E113" s="9">
        <f t="shared" si="3"/>
        <v>26</v>
      </c>
      <c r="F113" s="8">
        <f t="shared" si="4"/>
        <v>0</v>
      </c>
      <c r="G113" s="9">
        <f t="shared" si="5"/>
        <v>0</v>
      </c>
    </row>
    <row r="114" spans="2:7" x14ac:dyDescent="0.25">
      <c r="B114" s="18">
        <f t="shared" si="8"/>
        <v>1.7000871839581517</v>
      </c>
      <c r="C114" s="8" t="s">
        <v>137</v>
      </c>
      <c r="D114">
        <f t="shared" si="2"/>
        <v>2</v>
      </c>
      <c r="E114" s="9">
        <f t="shared" si="3"/>
        <v>78</v>
      </c>
      <c r="F114" s="8">
        <f t="shared" si="4"/>
        <v>0</v>
      </c>
      <c r="G114" s="9">
        <f t="shared" si="5"/>
        <v>0</v>
      </c>
    </row>
    <row r="115" spans="2:7" x14ac:dyDescent="0.25">
      <c r="B115" s="18">
        <f t="shared" si="8"/>
        <v>5.8195292066259805</v>
      </c>
      <c r="C115" s="8" t="s">
        <v>320</v>
      </c>
      <c r="D115">
        <f t="shared" si="2"/>
        <v>1</v>
      </c>
      <c r="E115" s="9">
        <f t="shared" si="3"/>
        <v>267</v>
      </c>
      <c r="F115" s="8">
        <f t="shared" si="4"/>
        <v>0</v>
      </c>
      <c r="G115" s="9">
        <f t="shared" si="5"/>
        <v>0</v>
      </c>
    </row>
    <row r="116" spans="2:7" x14ac:dyDescent="0.25">
      <c r="B116" s="18">
        <f t="shared" si="8"/>
        <v>2.0052310374891023</v>
      </c>
      <c r="C116" s="10" t="s">
        <v>628</v>
      </c>
      <c r="D116">
        <f t="shared" si="2"/>
        <v>1</v>
      </c>
      <c r="E116" s="9">
        <f t="shared" si="3"/>
        <v>92</v>
      </c>
      <c r="F116" s="10">
        <f t="shared" si="4"/>
        <v>0</v>
      </c>
      <c r="G116" s="12">
        <f t="shared" si="5"/>
        <v>0</v>
      </c>
    </row>
    <row r="117" spans="2:7" x14ac:dyDescent="0.25">
      <c r="B117" s="18">
        <f>SUM(B94:B116)</f>
        <v>99.999999999999972</v>
      </c>
      <c r="E117" s="9">
        <f>SUM(E94:E116)</f>
        <v>4588</v>
      </c>
      <c r="F117" s="8">
        <f>SUM(F94:F114)</f>
        <v>0</v>
      </c>
      <c r="G117" s="9">
        <f>SUM(G94:G114)</f>
        <v>139</v>
      </c>
    </row>
    <row r="118" spans="2:7" x14ac:dyDescent="0.25">
      <c r="E118" s="9">
        <f>E86-E117</f>
        <v>0</v>
      </c>
      <c r="F118" s="10" t="s">
        <v>389</v>
      </c>
      <c r="G118" s="12">
        <f>E86-F117-G117</f>
        <v>4449</v>
      </c>
    </row>
    <row r="120" spans="2:7" x14ac:dyDescent="0.25">
      <c r="C120" s="13"/>
      <c r="D120" s="14" t="s">
        <v>93</v>
      </c>
      <c r="E120" s="15" t="s">
        <v>94</v>
      </c>
    </row>
    <row r="121" spans="2:7" x14ac:dyDescent="0.25">
      <c r="C121" s="8" t="s">
        <v>402</v>
      </c>
      <c r="D121">
        <f>SUMIFS($D$5:$D$82,$E$5:$E$82,D$120,$F$5:$F$82,"&lt;5.1")</f>
        <v>0</v>
      </c>
      <c r="E121" s="9">
        <f>SUMIFS($D$5:$D$82,$E$5:$E$82,E$120,$F$5:$F$82,"&lt;5.1")</f>
        <v>0</v>
      </c>
    </row>
    <row r="122" spans="2:7" x14ac:dyDescent="0.25">
      <c r="C122" s="29" t="s">
        <v>403</v>
      </c>
      <c r="D122">
        <f>SUMIFS($D$5:$D$82,$E$5:$E$82,D$120,$F$5:$F$82,"&lt;10.1")-D121</f>
        <v>0</v>
      </c>
      <c r="E122" s="9">
        <f>SUMIFS($D$5:$D$82,$E$5:$E$82,E$120,$F$5:$F$82,"&lt;10.1")-E121</f>
        <v>139</v>
      </c>
    </row>
    <row r="123" spans="2:7" x14ac:dyDescent="0.25">
      <c r="C123" s="29" t="s">
        <v>404</v>
      </c>
      <c r="D123">
        <f>SUMIFS($D$5:$D$82,$E$5:$E$82,D$120,$F$5:$F$82,"&lt;15.1")-D122-D121</f>
        <v>0</v>
      </c>
      <c r="E123" s="9">
        <f>SUMIFS($D$5:$D$82,$E$5:$E$82,E$120,$F$5:$F$82,"&lt;15.1")-E122-E121</f>
        <v>0</v>
      </c>
    </row>
    <row r="124" spans="2:7" x14ac:dyDescent="0.25">
      <c r="C124" s="29" t="s">
        <v>102</v>
      </c>
      <c r="D124">
        <f>SUMIFS($D$5:$D$82,$E$5:$E$82,D$120,$F$5:$F$82,"&lt;20.1")-D123-D122-D121</f>
        <v>0</v>
      </c>
      <c r="E124" s="9">
        <f>SUMIFS($D$5:$D$82,$E$5:$E$82,E$120,$F$5:$F$82,"&lt;20.1")-E123-E122-E121</f>
        <v>0</v>
      </c>
    </row>
    <row r="125" spans="2:7" x14ac:dyDescent="0.25">
      <c r="C125" s="8" t="s">
        <v>405</v>
      </c>
      <c r="D125">
        <f>SUMIFS($D$5:$D$82,$E$5:$E$82,D$120,$F$5:$F$82,"&lt;40.1")-D124-D123-D122-D121</f>
        <v>0</v>
      </c>
      <c r="E125" s="9">
        <f>SUMIFS($D$5:$D$82,$E$5:$E$82,E$120,$F$5:$F$82,"&lt;40.1")-E124-E123-E122-E121</f>
        <v>0</v>
      </c>
    </row>
    <row r="126" spans="2:7" x14ac:dyDescent="0.25">
      <c r="C126" s="10" t="s">
        <v>406</v>
      </c>
      <c r="D126" s="11">
        <f>E89-SUM(D121:D125)</f>
        <v>0</v>
      </c>
      <c r="E126" s="12">
        <f>E88-SUM(E121:E125)</f>
        <v>0</v>
      </c>
    </row>
  </sheetData>
  <pageMargins left="0.7" right="0.7" top="0.75" bottom="0.75" header="0.3" footer="0.3"/>
  <pageSetup paperSize="9" orientation="portrait" r:id="rId1"/>
  <headerFooter>
    <oddFooter>&amp;L&amp;1#&amp;"Arial"&amp;8&amp;KD5DAD9</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26"/>
  <sheetViews>
    <sheetView topLeftCell="C17" zoomScale="70" zoomScaleNormal="70" workbookViewId="0">
      <selection activeCell="B2" sqref="B2:Y66"/>
    </sheetView>
  </sheetViews>
  <sheetFormatPr defaultRowHeight="15" x14ac:dyDescent="0.25"/>
  <cols>
    <col min="2" max="9" width="13.7109375" customWidth="1"/>
    <col min="10" max="10" width="1.7109375" customWidth="1"/>
    <col min="11" max="11" width="2.140625" customWidth="1"/>
    <col min="12" max="13" width="12" bestFit="1" customWidth="1"/>
    <col min="14" max="14" width="12" customWidth="1"/>
    <col min="15" max="15" width="4.140625" customWidth="1"/>
    <col min="16" max="16" width="15.140625" customWidth="1"/>
    <col min="17" max="17" width="2.28515625" customWidth="1"/>
    <col min="18" max="18" width="2.5703125" customWidth="1"/>
    <col min="19" max="20" width="12" bestFit="1" customWidth="1"/>
    <col min="21" max="21" width="4.42578125" customWidth="1"/>
    <col min="22" max="22" width="13.28515625" bestFit="1" customWidth="1"/>
    <col min="23" max="24" width="12" bestFit="1" customWidth="1"/>
  </cols>
  <sheetData>
    <row r="1" spans="1:25" x14ac:dyDescent="0.25">
      <c r="B1" s="5" t="s">
        <v>86</v>
      </c>
      <c r="C1" s="6" t="s">
        <v>87</v>
      </c>
      <c r="D1" s="6" t="s">
        <v>88</v>
      </c>
      <c r="E1" s="6" t="s">
        <v>98</v>
      </c>
      <c r="F1" s="6" t="s">
        <v>100</v>
      </c>
      <c r="G1" s="6" t="s">
        <v>89</v>
      </c>
      <c r="H1" s="6" t="s">
        <v>91</v>
      </c>
      <c r="I1" s="6" t="s">
        <v>90</v>
      </c>
      <c r="J1" s="6" t="s">
        <v>131</v>
      </c>
      <c r="K1" s="6" t="s">
        <v>130</v>
      </c>
      <c r="L1" s="6" t="s">
        <v>103</v>
      </c>
      <c r="M1" s="6" t="s">
        <v>101</v>
      </c>
      <c r="N1" s="6" t="s">
        <v>107</v>
      </c>
      <c r="O1" s="6" t="s">
        <v>91</v>
      </c>
      <c r="P1" s="6" t="s">
        <v>105</v>
      </c>
      <c r="Q1" s="6" t="s">
        <v>131</v>
      </c>
      <c r="R1" s="6" t="s">
        <v>130</v>
      </c>
      <c r="S1" s="6" t="s">
        <v>103</v>
      </c>
      <c r="T1" s="6" t="s">
        <v>101</v>
      </c>
      <c r="U1" s="6" t="s">
        <v>91</v>
      </c>
      <c r="V1" s="6" t="s">
        <v>105</v>
      </c>
      <c r="W1" s="6" t="s">
        <v>103</v>
      </c>
      <c r="X1" s="7" t="s">
        <v>101</v>
      </c>
    </row>
    <row r="2" spans="1:25" x14ac:dyDescent="0.25">
      <c r="A2">
        <f>COUNTIF($I$95:$I$117,I2)</f>
        <v>0</v>
      </c>
      <c r="B2" t="s">
        <v>963</v>
      </c>
      <c r="C2" t="s">
        <v>138</v>
      </c>
      <c r="D2">
        <v>80</v>
      </c>
      <c r="E2" t="s">
        <v>212</v>
      </c>
      <c r="X2" s="9"/>
    </row>
    <row r="3" spans="1:25" x14ac:dyDescent="0.25">
      <c r="A3">
        <f t="shared" ref="A3:A65" si="0">COUNTIF($I$95:$I$117,I3)</f>
        <v>1</v>
      </c>
      <c r="B3" t="s">
        <v>964</v>
      </c>
      <c r="C3" t="s">
        <v>45</v>
      </c>
      <c r="D3">
        <v>54</v>
      </c>
      <c r="E3" t="s">
        <v>212</v>
      </c>
      <c r="G3" t="s">
        <v>960</v>
      </c>
      <c r="H3">
        <v>18</v>
      </c>
      <c r="I3" t="s">
        <v>233</v>
      </c>
      <c r="J3">
        <v>90</v>
      </c>
      <c r="K3">
        <v>3</v>
      </c>
      <c r="X3" s="9"/>
      <c r="Y3" t="s">
        <v>1023</v>
      </c>
    </row>
    <row r="4" spans="1:25" x14ac:dyDescent="0.25">
      <c r="A4">
        <f t="shared" si="0"/>
        <v>1</v>
      </c>
      <c r="B4" t="s">
        <v>965</v>
      </c>
      <c r="C4" t="s">
        <v>20</v>
      </c>
      <c r="D4">
        <v>99</v>
      </c>
      <c r="E4" t="s">
        <v>212</v>
      </c>
      <c r="G4" t="s">
        <v>1024</v>
      </c>
      <c r="H4">
        <v>33</v>
      </c>
      <c r="I4" t="s">
        <v>233</v>
      </c>
      <c r="J4">
        <v>90</v>
      </c>
      <c r="K4">
        <v>3</v>
      </c>
      <c r="X4" s="9"/>
    </row>
    <row r="5" spans="1:25" x14ac:dyDescent="0.25">
      <c r="A5">
        <f t="shared" si="0"/>
        <v>1</v>
      </c>
      <c r="B5" t="s">
        <v>966</v>
      </c>
      <c r="C5" t="s">
        <v>142</v>
      </c>
      <c r="D5">
        <v>48</v>
      </c>
      <c r="E5" t="s">
        <v>212</v>
      </c>
      <c r="G5" t="s">
        <v>972</v>
      </c>
      <c r="H5" s="1">
        <v>15</v>
      </c>
      <c r="I5" t="s">
        <v>244</v>
      </c>
      <c r="J5">
        <v>90</v>
      </c>
      <c r="K5">
        <v>2</v>
      </c>
      <c r="O5">
        <v>10</v>
      </c>
      <c r="P5" t="s">
        <v>806</v>
      </c>
      <c r="Q5">
        <v>90</v>
      </c>
      <c r="R5">
        <v>1.8</v>
      </c>
      <c r="X5" s="9"/>
    </row>
    <row r="6" spans="1:25" x14ac:dyDescent="0.25">
      <c r="A6">
        <f t="shared" si="0"/>
        <v>1</v>
      </c>
      <c r="B6" t="s">
        <v>967</v>
      </c>
      <c r="C6" t="s">
        <v>146</v>
      </c>
      <c r="D6">
        <v>34</v>
      </c>
      <c r="E6" t="s">
        <v>212</v>
      </c>
      <c r="G6" t="s">
        <v>1025</v>
      </c>
      <c r="H6" s="1">
        <f>34/2</f>
        <v>17</v>
      </c>
      <c r="I6" t="s">
        <v>244</v>
      </c>
      <c r="J6">
        <v>90</v>
      </c>
      <c r="K6">
        <v>2</v>
      </c>
      <c r="X6" s="9"/>
    </row>
    <row r="7" spans="1:25" x14ac:dyDescent="0.25">
      <c r="A7">
        <f t="shared" si="0"/>
        <v>0</v>
      </c>
      <c r="B7" t="s">
        <v>968</v>
      </c>
      <c r="C7" t="s">
        <v>206</v>
      </c>
      <c r="D7">
        <v>42</v>
      </c>
      <c r="E7" t="s">
        <v>212</v>
      </c>
      <c r="H7" s="1"/>
      <c r="S7" s="26"/>
      <c r="X7" s="9"/>
    </row>
    <row r="8" spans="1:25" x14ac:dyDescent="0.25">
      <c r="A8">
        <f t="shared" si="0"/>
        <v>0</v>
      </c>
      <c r="B8" t="s">
        <v>968</v>
      </c>
      <c r="C8" t="s">
        <v>449</v>
      </c>
      <c r="D8">
        <v>25</v>
      </c>
      <c r="E8" t="s">
        <v>212</v>
      </c>
      <c r="H8" s="1"/>
      <c r="X8" s="9"/>
    </row>
    <row r="9" spans="1:25" x14ac:dyDescent="0.25">
      <c r="A9">
        <f t="shared" si="0"/>
        <v>1</v>
      </c>
      <c r="B9" t="s">
        <v>969</v>
      </c>
      <c r="C9" t="s">
        <v>20</v>
      </c>
      <c r="D9">
        <v>145</v>
      </c>
      <c r="E9" t="s">
        <v>212</v>
      </c>
      <c r="G9" t="s">
        <v>1026</v>
      </c>
      <c r="H9">
        <v>81</v>
      </c>
      <c r="I9" t="s">
        <v>806</v>
      </c>
      <c r="J9">
        <v>90</v>
      </c>
      <c r="K9">
        <v>1.8</v>
      </c>
      <c r="X9" s="9"/>
    </row>
    <row r="10" spans="1:25" x14ac:dyDescent="0.25">
      <c r="A10">
        <f t="shared" si="0"/>
        <v>0</v>
      </c>
      <c r="B10" t="s">
        <v>970</v>
      </c>
      <c r="C10" t="s">
        <v>142</v>
      </c>
      <c r="D10">
        <v>50</v>
      </c>
      <c r="E10" t="s">
        <v>212</v>
      </c>
      <c r="X10" s="9"/>
    </row>
    <row r="11" spans="1:25" x14ac:dyDescent="0.25">
      <c r="A11">
        <f t="shared" si="0"/>
        <v>1</v>
      </c>
      <c r="B11" t="s">
        <v>971</v>
      </c>
      <c r="C11" t="s">
        <v>144</v>
      </c>
      <c r="D11">
        <v>206</v>
      </c>
      <c r="E11" t="s">
        <v>212</v>
      </c>
      <c r="F11">
        <v>10</v>
      </c>
      <c r="G11" t="s">
        <v>1027</v>
      </c>
      <c r="H11" s="1">
        <v>95</v>
      </c>
      <c r="I11" t="s">
        <v>244</v>
      </c>
      <c r="J11">
        <v>90</v>
      </c>
      <c r="K11">
        <v>1.8</v>
      </c>
      <c r="O11">
        <v>16</v>
      </c>
      <c r="P11" t="s">
        <v>806</v>
      </c>
      <c r="Q11">
        <v>90</v>
      </c>
      <c r="R11">
        <v>1.8</v>
      </c>
      <c r="X11" s="9"/>
    </row>
    <row r="12" spans="1:25" x14ac:dyDescent="0.25">
      <c r="A12">
        <f t="shared" si="0"/>
        <v>0</v>
      </c>
      <c r="B12" t="s">
        <v>973</v>
      </c>
      <c r="C12" t="s">
        <v>142</v>
      </c>
      <c r="D12">
        <v>50</v>
      </c>
      <c r="E12" t="s">
        <v>212</v>
      </c>
      <c r="X12" s="9"/>
    </row>
    <row r="13" spans="1:25" x14ac:dyDescent="0.25">
      <c r="A13">
        <f t="shared" si="0"/>
        <v>0</v>
      </c>
      <c r="B13" t="s">
        <v>974</v>
      </c>
      <c r="C13" t="s">
        <v>176</v>
      </c>
      <c r="D13">
        <v>93</v>
      </c>
      <c r="E13" t="s">
        <v>212</v>
      </c>
      <c r="O13" s="1"/>
      <c r="X13" s="9"/>
    </row>
    <row r="14" spans="1:25" x14ac:dyDescent="0.25">
      <c r="A14">
        <f t="shared" si="0"/>
        <v>1</v>
      </c>
      <c r="B14" t="s">
        <v>975</v>
      </c>
      <c r="C14" t="s">
        <v>142</v>
      </c>
      <c r="D14">
        <v>49</v>
      </c>
      <c r="E14" t="s">
        <v>212</v>
      </c>
      <c r="F14">
        <v>2</v>
      </c>
      <c r="H14">
        <v>58</v>
      </c>
      <c r="I14" t="s">
        <v>478</v>
      </c>
      <c r="J14">
        <v>52</v>
      </c>
      <c r="K14">
        <v>0.85</v>
      </c>
      <c r="X14" s="9"/>
    </row>
    <row r="15" spans="1:25" x14ac:dyDescent="0.25">
      <c r="A15">
        <f t="shared" si="0"/>
        <v>1</v>
      </c>
      <c r="B15" t="s">
        <v>976</v>
      </c>
      <c r="C15" t="s">
        <v>142</v>
      </c>
      <c r="D15">
        <v>49</v>
      </c>
      <c r="E15" t="s">
        <v>212</v>
      </c>
      <c r="H15">
        <v>25</v>
      </c>
      <c r="I15" t="s">
        <v>244</v>
      </c>
      <c r="J15">
        <v>90</v>
      </c>
      <c r="K15">
        <v>2</v>
      </c>
      <c r="X15" s="9"/>
    </row>
    <row r="16" spans="1:25" x14ac:dyDescent="0.25">
      <c r="A16">
        <f t="shared" si="0"/>
        <v>0</v>
      </c>
      <c r="B16" t="s">
        <v>977</v>
      </c>
      <c r="C16" t="s">
        <v>142</v>
      </c>
      <c r="D16">
        <v>49</v>
      </c>
      <c r="E16" t="s">
        <v>212</v>
      </c>
      <c r="X16" s="9"/>
    </row>
    <row r="17" spans="1:25" x14ac:dyDescent="0.25">
      <c r="A17">
        <f t="shared" si="0"/>
        <v>1</v>
      </c>
      <c r="B17" t="s">
        <v>978</v>
      </c>
      <c r="C17" t="s">
        <v>45</v>
      </c>
      <c r="D17">
        <v>26</v>
      </c>
      <c r="E17" t="s">
        <v>212</v>
      </c>
      <c r="H17">
        <v>16</v>
      </c>
      <c r="I17" t="s">
        <v>805</v>
      </c>
      <c r="J17">
        <v>82</v>
      </c>
      <c r="K17">
        <v>1.65</v>
      </c>
      <c r="X17" s="9"/>
    </row>
    <row r="18" spans="1:25" x14ac:dyDescent="0.25">
      <c r="A18">
        <f t="shared" si="0"/>
        <v>0</v>
      </c>
      <c r="B18" t="s">
        <v>979</v>
      </c>
      <c r="C18" t="s">
        <v>20</v>
      </c>
      <c r="D18" s="17">
        <v>1500</v>
      </c>
      <c r="E18" t="s">
        <v>212</v>
      </c>
      <c r="G18" t="s">
        <v>1028</v>
      </c>
      <c r="X18" s="9"/>
    </row>
    <row r="19" spans="1:25" x14ac:dyDescent="0.25">
      <c r="A19">
        <f t="shared" si="0"/>
        <v>0</v>
      </c>
      <c r="B19" t="s">
        <v>980</v>
      </c>
      <c r="C19" t="s">
        <v>142</v>
      </c>
      <c r="D19">
        <v>198</v>
      </c>
      <c r="E19" t="s">
        <v>212</v>
      </c>
      <c r="H19" s="1"/>
      <c r="X19" s="9"/>
    </row>
    <row r="20" spans="1:25" x14ac:dyDescent="0.25">
      <c r="A20">
        <f t="shared" si="0"/>
        <v>1</v>
      </c>
      <c r="B20" t="s">
        <v>981</v>
      </c>
      <c r="C20" t="s">
        <v>45</v>
      </c>
      <c r="D20">
        <v>49</v>
      </c>
      <c r="E20" t="s">
        <v>212</v>
      </c>
      <c r="G20" t="s">
        <v>1029</v>
      </c>
      <c r="H20" s="1">
        <v>27</v>
      </c>
      <c r="I20" t="s">
        <v>806</v>
      </c>
      <c r="J20">
        <v>90</v>
      </c>
      <c r="K20">
        <v>1.8</v>
      </c>
      <c r="X20" s="9"/>
    </row>
    <row r="21" spans="1:25" x14ac:dyDescent="0.25">
      <c r="A21">
        <f t="shared" si="0"/>
        <v>1</v>
      </c>
      <c r="B21" t="s">
        <v>982</v>
      </c>
      <c r="C21" t="s">
        <v>142</v>
      </c>
      <c r="D21">
        <v>50</v>
      </c>
      <c r="G21" t="s">
        <v>1030</v>
      </c>
      <c r="H21" s="1">
        <v>25</v>
      </c>
      <c r="I21" t="s">
        <v>462</v>
      </c>
      <c r="J21">
        <v>80</v>
      </c>
      <c r="K21">
        <v>2</v>
      </c>
      <c r="X21" s="9"/>
    </row>
    <row r="22" spans="1:25" x14ac:dyDescent="0.25">
      <c r="A22">
        <f t="shared" si="0"/>
        <v>0</v>
      </c>
      <c r="B22" t="s">
        <v>983</v>
      </c>
      <c r="C22" t="s">
        <v>142</v>
      </c>
      <c r="D22">
        <v>50</v>
      </c>
      <c r="X22" s="9"/>
    </row>
    <row r="23" spans="1:25" x14ac:dyDescent="0.25">
      <c r="A23">
        <f t="shared" si="0"/>
        <v>1</v>
      </c>
      <c r="B23" t="s">
        <v>984</v>
      </c>
      <c r="C23" t="s">
        <v>45</v>
      </c>
      <c r="D23">
        <v>142</v>
      </c>
      <c r="E23" t="s">
        <v>212</v>
      </c>
      <c r="H23">
        <v>44</v>
      </c>
      <c r="I23" t="s">
        <v>222</v>
      </c>
      <c r="J23">
        <v>100</v>
      </c>
      <c r="K23">
        <v>1.8</v>
      </c>
      <c r="O23">
        <v>35</v>
      </c>
      <c r="P23" t="s">
        <v>806</v>
      </c>
      <c r="Q23">
        <v>90</v>
      </c>
      <c r="R23">
        <v>1.8</v>
      </c>
      <c r="X23" s="9"/>
    </row>
    <row r="24" spans="1:25" x14ac:dyDescent="0.25">
      <c r="A24">
        <f t="shared" si="0"/>
        <v>0</v>
      </c>
      <c r="B24" t="s">
        <v>985</v>
      </c>
      <c r="C24" t="s">
        <v>142</v>
      </c>
      <c r="D24">
        <v>48</v>
      </c>
      <c r="X24" s="9"/>
    </row>
    <row r="25" spans="1:25" x14ac:dyDescent="0.25">
      <c r="A25">
        <f t="shared" si="0"/>
        <v>1</v>
      </c>
      <c r="B25" t="s">
        <v>986</v>
      </c>
      <c r="C25" t="s">
        <v>20</v>
      </c>
      <c r="D25">
        <v>250</v>
      </c>
      <c r="F25" s="17"/>
      <c r="G25" t="s">
        <v>1031</v>
      </c>
      <c r="H25">
        <v>139</v>
      </c>
      <c r="I25" t="s">
        <v>806</v>
      </c>
      <c r="J25">
        <v>90</v>
      </c>
      <c r="K25">
        <v>1.8</v>
      </c>
      <c r="X25" s="9"/>
      <c r="Y25" t="s">
        <v>1032</v>
      </c>
    </row>
    <row r="26" spans="1:25" x14ac:dyDescent="0.25">
      <c r="A26">
        <f t="shared" si="0"/>
        <v>1</v>
      </c>
      <c r="B26" t="s">
        <v>987</v>
      </c>
      <c r="C26" t="s">
        <v>166</v>
      </c>
      <c r="D26">
        <v>18</v>
      </c>
      <c r="E26" t="s">
        <v>212</v>
      </c>
      <c r="G26" t="s">
        <v>1033</v>
      </c>
      <c r="H26">
        <v>10</v>
      </c>
      <c r="I26" t="s">
        <v>222</v>
      </c>
      <c r="J26">
        <v>100</v>
      </c>
      <c r="K26">
        <v>1.8</v>
      </c>
      <c r="X26" s="9"/>
    </row>
    <row r="27" spans="1:25" x14ac:dyDescent="0.25">
      <c r="A27">
        <f t="shared" si="0"/>
        <v>1</v>
      </c>
      <c r="B27" t="s">
        <v>988</v>
      </c>
      <c r="C27" t="s">
        <v>138</v>
      </c>
      <c r="D27">
        <v>40</v>
      </c>
      <c r="E27" t="s">
        <v>212</v>
      </c>
      <c r="G27" t="s">
        <v>1034</v>
      </c>
      <c r="H27">
        <v>20</v>
      </c>
      <c r="I27" t="s">
        <v>244</v>
      </c>
      <c r="J27">
        <v>90</v>
      </c>
      <c r="K27">
        <v>1.8</v>
      </c>
      <c r="X27" s="9"/>
    </row>
    <row r="28" spans="1:25" x14ac:dyDescent="0.25">
      <c r="A28">
        <f t="shared" si="0"/>
        <v>1</v>
      </c>
      <c r="B28" t="s">
        <v>989</v>
      </c>
      <c r="C28" t="s">
        <v>146</v>
      </c>
      <c r="D28">
        <v>23</v>
      </c>
      <c r="E28" t="s">
        <v>212</v>
      </c>
      <c r="G28" t="s">
        <v>1036</v>
      </c>
      <c r="H28">
        <v>13</v>
      </c>
      <c r="I28" t="s">
        <v>806</v>
      </c>
      <c r="J28">
        <v>90</v>
      </c>
      <c r="K28">
        <v>1.8</v>
      </c>
      <c r="X28" s="9"/>
    </row>
    <row r="29" spans="1:25" x14ac:dyDescent="0.25">
      <c r="A29">
        <f t="shared" si="0"/>
        <v>1</v>
      </c>
      <c r="B29" t="s">
        <v>990</v>
      </c>
      <c r="C29" t="s">
        <v>140</v>
      </c>
      <c r="D29">
        <v>63</v>
      </c>
      <c r="E29" t="s">
        <v>212</v>
      </c>
      <c r="F29">
        <v>15</v>
      </c>
      <c r="G29" t="s">
        <v>1035</v>
      </c>
      <c r="H29">
        <v>21</v>
      </c>
      <c r="I29" t="s">
        <v>233</v>
      </c>
      <c r="J29">
        <v>90</v>
      </c>
      <c r="K29">
        <v>3</v>
      </c>
      <c r="X29" s="9"/>
    </row>
    <row r="30" spans="1:25" x14ac:dyDescent="0.25">
      <c r="A30">
        <f t="shared" si="0"/>
        <v>1</v>
      </c>
      <c r="B30" t="s">
        <v>991</v>
      </c>
      <c r="C30" t="s">
        <v>142</v>
      </c>
      <c r="D30">
        <v>49</v>
      </c>
      <c r="E30" t="s">
        <v>212</v>
      </c>
      <c r="H30">
        <v>20</v>
      </c>
      <c r="I30" t="s">
        <v>244</v>
      </c>
      <c r="J30">
        <v>90</v>
      </c>
      <c r="K30">
        <v>2</v>
      </c>
      <c r="X30" s="9"/>
    </row>
    <row r="31" spans="1:25" x14ac:dyDescent="0.25">
      <c r="A31">
        <f t="shared" si="0"/>
        <v>1</v>
      </c>
      <c r="B31" t="s">
        <v>992</v>
      </c>
      <c r="C31" t="s">
        <v>20</v>
      </c>
      <c r="D31">
        <v>570</v>
      </c>
      <c r="E31" t="s">
        <v>212</v>
      </c>
      <c r="G31" t="s">
        <v>934</v>
      </c>
      <c r="H31">
        <v>190</v>
      </c>
      <c r="I31" t="s">
        <v>233</v>
      </c>
      <c r="J31">
        <v>90</v>
      </c>
      <c r="K31">
        <v>3</v>
      </c>
      <c r="O31">
        <v>5</v>
      </c>
      <c r="P31" t="s">
        <v>806</v>
      </c>
      <c r="Q31">
        <v>90</v>
      </c>
      <c r="R31">
        <v>1.8</v>
      </c>
      <c r="X31" s="9"/>
      <c r="Y31" t="s">
        <v>1037</v>
      </c>
    </row>
    <row r="32" spans="1:25" x14ac:dyDescent="0.25">
      <c r="A32">
        <f t="shared" si="0"/>
        <v>1</v>
      </c>
      <c r="B32" t="s">
        <v>993</v>
      </c>
      <c r="C32" t="s">
        <v>140</v>
      </c>
      <c r="D32">
        <v>32</v>
      </c>
      <c r="E32" t="s">
        <v>212</v>
      </c>
      <c r="F32">
        <v>2</v>
      </c>
      <c r="G32" t="s">
        <v>234</v>
      </c>
      <c r="H32">
        <f>D32/K32</f>
        <v>16</v>
      </c>
      <c r="I32" t="s">
        <v>244</v>
      </c>
      <c r="J32">
        <v>90</v>
      </c>
      <c r="K32">
        <v>2</v>
      </c>
      <c r="X32" s="9"/>
    </row>
    <row r="33" spans="1:25" x14ac:dyDescent="0.25">
      <c r="A33">
        <f t="shared" si="0"/>
        <v>1</v>
      </c>
      <c r="B33" t="s">
        <v>994</v>
      </c>
      <c r="C33" t="s">
        <v>142</v>
      </c>
      <c r="D33">
        <v>36</v>
      </c>
      <c r="E33" t="s">
        <v>212</v>
      </c>
      <c r="G33" t="s">
        <v>225</v>
      </c>
      <c r="H33">
        <v>18</v>
      </c>
      <c r="I33" t="s">
        <v>462</v>
      </c>
      <c r="J33">
        <v>80</v>
      </c>
      <c r="K33">
        <v>2</v>
      </c>
      <c r="X33" s="9"/>
    </row>
    <row r="34" spans="1:25" x14ac:dyDescent="0.25">
      <c r="A34">
        <f t="shared" si="0"/>
        <v>1</v>
      </c>
      <c r="B34" t="s">
        <v>995</v>
      </c>
      <c r="C34" t="s">
        <v>165</v>
      </c>
      <c r="D34">
        <v>66</v>
      </c>
      <c r="E34" t="s">
        <v>212</v>
      </c>
      <c r="G34" t="s">
        <v>1040</v>
      </c>
      <c r="H34">
        <f>D34/K34</f>
        <v>22</v>
      </c>
      <c r="I34" t="s">
        <v>233</v>
      </c>
      <c r="J34">
        <v>90</v>
      </c>
      <c r="K34">
        <v>3</v>
      </c>
      <c r="X34" s="9"/>
    </row>
    <row r="35" spans="1:25" x14ac:dyDescent="0.25">
      <c r="A35">
        <f t="shared" si="0"/>
        <v>1</v>
      </c>
      <c r="B35" t="s">
        <v>996</v>
      </c>
      <c r="C35" t="s">
        <v>144</v>
      </c>
      <c r="D35">
        <v>420</v>
      </c>
      <c r="E35" t="s">
        <v>212</v>
      </c>
      <c r="G35" t="s">
        <v>1041</v>
      </c>
      <c r="H35">
        <f>D35/K35</f>
        <v>140</v>
      </c>
      <c r="I35" t="s">
        <v>321</v>
      </c>
      <c r="J35">
        <v>112</v>
      </c>
      <c r="K35">
        <v>3</v>
      </c>
      <c r="X35" s="9"/>
      <c r="Y35" t="s">
        <v>1042</v>
      </c>
    </row>
    <row r="36" spans="1:25" x14ac:dyDescent="0.25">
      <c r="A36">
        <f t="shared" si="0"/>
        <v>0</v>
      </c>
      <c r="B36" t="s">
        <v>997</v>
      </c>
      <c r="C36" t="s">
        <v>628</v>
      </c>
      <c r="D36">
        <v>74</v>
      </c>
      <c r="E36" t="s">
        <v>212</v>
      </c>
      <c r="X36" s="9"/>
    </row>
    <row r="37" spans="1:25" x14ac:dyDescent="0.25">
      <c r="A37">
        <f t="shared" si="0"/>
        <v>0</v>
      </c>
      <c r="B37" t="s">
        <v>998</v>
      </c>
      <c r="C37" t="s">
        <v>628</v>
      </c>
      <c r="D37">
        <v>74</v>
      </c>
      <c r="E37" t="s">
        <v>212</v>
      </c>
      <c r="X37" s="9"/>
    </row>
    <row r="38" spans="1:25" x14ac:dyDescent="0.25">
      <c r="A38">
        <f t="shared" si="0"/>
        <v>1</v>
      </c>
      <c r="B38" t="s">
        <v>999</v>
      </c>
      <c r="C38" t="s">
        <v>137</v>
      </c>
      <c r="D38">
        <v>40</v>
      </c>
      <c r="E38" t="s">
        <v>212</v>
      </c>
      <c r="F38">
        <v>10</v>
      </c>
      <c r="G38" t="s">
        <v>1043</v>
      </c>
      <c r="H38">
        <v>24</v>
      </c>
      <c r="I38" t="s">
        <v>805</v>
      </c>
      <c r="J38">
        <v>82</v>
      </c>
      <c r="K38">
        <v>1.65</v>
      </c>
      <c r="X38" s="9"/>
    </row>
    <row r="39" spans="1:25" x14ac:dyDescent="0.25">
      <c r="A39">
        <f t="shared" si="0"/>
        <v>0</v>
      </c>
      <c r="B39" t="s">
        <v>1000</v>
      </c>
      <c r="C39" t="s">
        <v>628</v>
      </c>
      <c r="D39">
        <v>400</v>
      </c>
      <c r="E39" t="s">
        <v>212</v>
      </c>
      <c r="X39" s="9"/>
    </row>
    <row r="40" spans="1:25" x14ac:dyDescent="0.25">
      <c r="A40">
        <f t="shared" si="0"/>
        <v>1</v>
      </c>
      <c r="B40" t="s">
        <v>1001</v>
      </c>
      <c r="C40" t="s">
        <v>146</v>
      </c>
      <c r="D40">
        <v>54</v>
      </c>
      <c r="E40" t="s">
        <v>212</v>
      </c>
      <c r="G40" t="s">
        <v>1044</v>
      </c>
      <c r="H40">
        <f>D40/K40</f>
        <v>27</v>
      </c>
      <c r="I40" t="s">
        <v>244</v>
      </c>
      <c r="J40">
        <v>90</v>
      </c>
      <c r="K40">
        <v>2</v>
      </c>
      <c r="X40" s="9"/>
    </row>
    <row r="41" spans="1:25" x14ac:dyDescent="0.25">
      <c r="A41">
        <f t="shared" si="0"/>
        <v>1</v>
      </c>
      <c r="B41" t="s">
        <v>1001</v>
      </c>
      <c r="C41" t="s">
        <v>161</v>
      </c>
      <c r="D41">
        <v>58</v>
      </c>
      <c r="E41" t="s">
        <v>212</v>
      </c>
      <c r="G41" t="s">
        <v>1045</v>
      </c>
      <c r="H41">
        <f>D41/K41</f>
        <v>29</v>
      </c>
      <c r="I41" t="s">
        <v>244</v>
      </c>
      <c r="J41">
        <v>90</v>
      </c>
      <c r="K41">
        <v>2</v>
      </c>
      <c r="X41" s="9"/>
    </row>
    <row r="42" spans="1:25" x14ac:dyDescent="0.25">
      <c r="A42">
        <f t="shared" si="0"/>
        <v>1</v>
      </c>
      <c r="B42" t="s">
        <v>1002</v>
      </c>
      <c r="C42" t="s">
        <v>138</v>
      </c>
      <c r="D42">
        <v>51</v>
      </c>
      <c r="G42" t="s">
        <v>1046</v>
      </c>
      <c r="H42">
        <f>D42/K42</f>
        <v>17</v>
      </c>
      <c r="I42" t="s">
        <v>321</v>
      </c>
      <c r="J42">
        <v>112</v>
      </c>
      <c r="K42">
        <v>3</v>
      </c>
      <c r="X42" s="9"/>
    </row>
    <row r="43" spans="1:25" x14ac:dyDescent="0.25">
      <c r="A43">
        <f t="shared" si="0"/>
        <v>1</v>
      </c>
      <c r="B43" t="s">
        <v>1003</v>
      </c>
      <c r="C43" t="s">
        <v>138</v>
      </c>
      <c r="D43">
        <v>21</v>
      </c>
      <c r="G43" t="s">
        <v>1038</v>
      </c>
      <c r="H43">
        <v>7</v>
      </c>
      <c r="I43" t="s">
        <v>321</v>
      </c>
      <c r="J43">
        <v>112</v>
      </c>
      <c r="K43">
        <v>3</v>
      </c>
      <c r="X43" s="9"/>
    </row>
    <row r="44" spans="1:25" x14ac:dyDescent="0.25">
      <c r="A44">
        <f t="shared" si="0"/>
        <v>1</v>
      </c>
      <c r="B44" t="s">
        <v>1004</v>
      </c>
      <c r="C44" t="s">
        <v>20</v>
      </c>
      <c r="D44">
        <v>128</v>
      </c>
      <c r="E44" t="s">
        <v>212</v>
      </c>
      <c r="G44" t="s">
        <v>1047</v>
      </c>
      <c r="H44">
        <v>24</v>
      </c>
      <c r="I44" t="s">
        <v>233</v>
      </c>
      <c r="J44">
        <v>90</v>
      </c>
      <c r="K44">
        <v>3</v>
      </c>
      <c r="O44">
        <v>31</v>
      </c>
      <c r="P44" t="s">
        <v>806</v>
      </c>
      <c r="Q44">
        <v>90</v>
      </c>
      <c r="R44">
        <v>1.8</v>
      </c>
      <c r="X44" s="9"/>
    </row>
    <row r="45" spans="1:25" x14ac:dyDescent="0.25">
      <c r="A45">
        <f t="shared" si="0"/>
        <v>1</v>
      </c>
      <c r="B45" t="s">
        <v>1005</v>
      </c>
      <c r="C45" t="s">
        <v>165</v>
      </c>
      <c r="D45">
        <v>28</v>
      </c>
      <c r="E45" t="s">
        <v>212</v>
      </c>
      <c r="F45">
        <v>10</v>
      </c>
      <c r="G45" t="s">
        <v>372</v>
      </c>
      <c r="H45">
        <v>14</v>
      </c>
      <c r="I45" t="s">
        <v>462</v>
      </c>
      <c r="J45">
        <v>80</v>
      </c>
      <c r="K45">
        <v>2</v>
      </c>
      <c r="X45" s="9"/>
    </row>
    <row r="46" spans="1:25" x14ac:dyDescent="0.25">
      <c r="A46">
        <f t="shared" si="0"/>
        <v>1</v>
      </c>
      <c r="B46" t="s">
        <v>1005</v>
      </c>
      <c r="C46" t="s">
        <v>20</v>
      </c>
      <c r="D46">
        <v>58</v>
      </c>
      <c r="E46" t="s">
        <v>212</v>
      </c>
      <c r="G46" t="s">
        <v>1048</v>
      </c>
      <c r="H46">
        <v>32</v>
      </c>
      <c r="I46" t="s">
        <v>222</v>
      </c>
      <c r="J46">
        <v>100</v>
      </c>
      <c r="K46">
        <v>1.8</v>
      </c>
      <c r="X46" s="9"/>
    </row>
    <row r="47" spans="1:25" x14ac:dyDescent="0.25">
      <c r="A47">
        <f t="shared" si="0"/>
        <v>1</v>
      </c>
      <c r="B47" t="s">
        <v>1006</v>
      </c>
      <c r="C47" t="s">
        <v>141</v>
      </c>
      <c r="D47">
        <v>86</v>
      </c>
      <c r="E47" t="s">
        <v>212</v>
      </c>
      <c r="F47">
        <v>5</v>
      </c>
      <c r="G47" t="s">
        <v>1049</v>
      </c>
      <c r="H47">
        <v>21</v>
      </c>
      <c r="I47" t="s">
        <v>222</v>
      </c>
      <c r="J47">
        <v>100</v>
      </c>
      <c r="K47">
        <v>1.8</v>
      </c>
      <c r="O47">
        <v>16</v>
      </c>
      <c r="P47" t="s">
        <v>233</v>
      </c>
      <c r="Q47">
        <v>90</v>
      </c>
      <c r="R47">
        <v>3</v>
      </c>
      <c r="X47" s="9"/>
    </row>
    <row r="48" spans="1:25" x14ac:dyDescent="0.25">
      <c r="A48">
        <f t="shared" si="0"/>
        <v>0</v>
      </c>
      <c r="B48" t="s">
        <v>1007</v>
      </c>
      <c r="C48" t="s">
        <v>628</v>
      </c>
      <c r="D48" s="1">
        <v>100</v>
      </c>
      <c r="H48" s="1"/>
      <c r="X48" s="9"/>
    </row>
    <row r="49" spans="1:25" x14ac:dyDescent="0.25">
      <c r="A49">
        <f t="shared" si="0"/>
        <v>1</v>
      </c>
      <c r="B49" t="s">
        <v>1008</v>
      </c>
      <c r="C49" t="s">
        <v>137</v>
      </c>
      <c r="D49" s="1">
        <v>56</v>
      </c>
      <c r="E49" t="s">
        <v>212</v>
      </c>
      <c r="G49" t="s">
        <v>1052</v>
      </c>
      <c r="H49" s="1">
        <v>34</v>
      </c>
      <c r="I49" t="s">
        <v>805</v>
      </c>
      <c r="J49">
        <v>82</v>
      </c>
      <c r="K49">
        <v>1.65</v>
      </c>
      <c r="X49" s="9"/>
    </row>
    <row r="50" spans="1:25" x14ac:dyDescent="0.25">
      <c r="A50">
        <f t="shared" si="0"/>
        <v>1</v>
      </c>
      <c r="B50" t="s">
        <v>1009</v>
      </c>
      <c r="C50" t="s">
        <v>20</v>
      </c>
      <c r="D50">
        <v>90</v>
      </c>
      <c r="E50" t="s">
        <v>212</v>
      </c>
      <c r="F50">
        <v>10</v>
      </c>
      <c r="G50" t="s">
        <v>1050</v>
      </c>
      <c r="H50">
        <v>50</v>
      </c>
      <c r="I50" t="s">
        <v>222</v>
      </c>
      <c r="J50">
        <v>100</v>
      </c>
      <c r="K50">
        <v>1.8</v>
      </c>
      <c r="X50" s="9"/>
    </row>
    <row r="51" spans="1:25" x14ac:dyDescent="0.25">
      <c r="A51">
        <f t="shared" si="0"/>
        <v>1</v>
      </c>
      <c r="B51" t="s">
        <v>1010</v>
      </c>
      <c r="C51" t="s">
        <v>27</v>
      </c>
      <c r="D51">
        <v>77</v>
      </c>
      <c r="E51" t="s">
        <v>212</v>
      </c>
      <c r="G51" t="s">
        <v>1051</v>
      </c>
      <c r="H51">
        <v>43</v>
      </c>
      <c r="I51" t="s">
        <v>806</v>
      </c>
      <c r="J51">
        <v>90</v>
      </c>
      <c r="K51">
        <v>1.8</v>
      </c>
      <c r="X51" s="9"/>
    </row>
    <row r="52" spans="1:25" x14ac:dyDescent="0.25">
      <c r="A52">
        <f t="shared" si="0"/>
        <v>1</v>
      </c>
      <c r="B52" t="s">
        <v>1011</v>
      </c>
      <c r="C52" t="s">
        <v>137</v>
      </c>
      <c r="D52">
        <v>33</v>
      </c>
      <c r="E52" t="s">
        <v>212</v>
      </c>
      <c r="G52" t="s">
        <v>933</v>
      </c>
      <c r="H52">
        <v>20</v>
      </c>
      <c r="I52" t="s">
        <v>805</v>
      </c>
      <c r="J52">
        <v>82</v>
      </c>
      <c r="K52">
        <v>1.65</v>
      </c>
      <c r="X52" s="9"/>
    </row>
    <row r="53" spans="1:25" x14ac:dyDescent="0.25">
      <c r="A53">
        <f t="shared" si="0"/>
        <v>1</v>
      </c>
      <c r="B53" t="s">
        <v>1012</v>
      </c>
      <c r="C53" t="s">
        <v>20</v>
      </c>
      <c r="D53">
        <v>43</v>
      </c>
      <c r="E53" t="s">
        <v>212</v>
      </c>
      <c r="G53" t="s">
        <v>1053</v>
      </c>
      <c r="H53">
        <v>24</v>
      </c>
      <c r="I53" t="s">
        <v>806</v>
      </c>
      <c r="J53">
        <v>90</v>
      </c>
      <c r="K53">
        <v>1.8</v>
      </c>
      <c r="X53" s="9"/>
    </row>
    <row r="54" spans="1:25" x14ac:dyDescent="0.25">
      <c r="A54">
        <f t="shared" si="0"/>
        <v>1</v>
      </c>
      <c r="B54" t="s">
        <v>1013</v>
      </c>
      <c r="C54" t="s">
        <v>1022</v>
      </c>
      <c r="D54">
        <v>26</v>
      </c>
      <c r="E54" t="s">
        <v>212</v>
      </c>
      <c r="G54" t="s">
        <v>1054</v>
      </c>
      <c r="H54">
        <v>30</v>
      </c>
      <c r="I54" t="s">
        <v>478</v>
      </c>
      <c r="J54">
        <v>52</v>
      </c>
      <c r="K54">
        <v>0.85</v>
      </c>
      <c r="X54" s="9"/>
    </row>
    <row r="55" spans="1:25" x14ac:dyDescent="0.25">
      <c r="A55">
        <f t="shared" si="0"/>
        <v>1</v>
      </c>
      <c r="B55" t="s">
        <v>1014</v>
      </c>
      <c r="C55" t="s">
        <v>142</v>
      </c>
      <c r="D55">
        <v>49</v>
      </c>
      <c r="E55" t="s">
        <v>212</v>
      </c>
      <c r="G55" t="s">
        <v>1039</v>
      </c>
      <c r="H55">
        <v>22</v>
      </c>
      <c r="I55" t="s">
        <v>244</v>
      </c>
      <c r="J55">
        <v>90</v>
      </c>
      <c r="K55">
        <v>2</v>
      </c>
      <c r="O55">
        <v>3</v>
      </c>
      <c r="P55" t="s">
        <v>806</v>
      </c>
      <c r="Q55">
        <v>90</v>
      </c>
      <c r="R55">
        <v>1.8</v>
      </c>
      <c r="X55" s="9"/>
    </row>
    <row r="56" spans="1:25" x14ac:dyDescent="0.25">
      <c r="A56">
        <f t="shared" si="0"/>
        <v>1</v>
      </c>
      <c r="B56" t="s">
        <v>1015</v>
      </c>
      <c r="C56" t="s">
        <v>20</v>
      </c>
      <c r="D56">
        <v>79</v>
      </c>
      <c r="E56" t="s">
        <v>212</v>
      </c>
      <c r="G56" t="s">
        <v>1055</v>
      </c>
      <c r="H56">
        <v>44</v>
      </c>
      <c r="I56" t="s">
        <v>222</v>
      </c>
      <c r="J56">
        <v>100</v>
      </c>
      <c r="K56">
        <v>1.8</v>
      </c>
      <c r="X56" s="9"/>
    </row>
    <row r="57" spans="1:25" x14ac:dyDescent="0.25">
      <c r="A57">
        <f t="shared" si="0"/>
        <v>1</v>
      </c>
      <c r="B57" t="s">
        <v>1016</v>
      </c>
      <c r="C57" t="s">
        <v>20</v>
      </c>
      <c r="D57">
        <v>50</v>
      </c>
      <c r="E57" t="s">
        <v>212</v>
      </c>
      <c r="G57" t="s">
        <v>1056</v>
      </c>
      <c r="H57">
        <v>28</v>
      </c>
      <c r="I57" t="s">
        <v>222</v>
      </c>
      <c r="J57">
        <v>100</v>
      </c>
      <c r="K57">
        <v>1.8</v>
      </c>
      <c r="X57" s="9"/>
    </row>
    <row r="58" spans="1:25" x14ac:dyDescent="0.25">
      <c r="A58">
        <f t="shared" si="0"/>
        <v>0</v>
      </c>
      <c r="B58" t="s">
        <v>1017</v>
      </c>
      <c r="C58" t="s">
        <v>45</v>
      </c>
      <c r="D58">
        <v>99</v>
      </c>
      <c r="E58" t="s">
        <v>212</v>
      </c>
      <c r="X58" s="9"/>
    </row>
    <row r="59" spans="1:25" x14ac:dyDescent="0.25">
      <c r="A59">
        <f t="shared" si="0"/>
        <v>1</v>
      </c>
      <c r="B59" t="s">
        <v>1018</v>
      </c>
      <c r="C59" t="s">
        <v>140</v>
      </c>
      <c r="D59" s="1">
        <v>41</v>
      </c>
      <c r="E59" t="s">
        <v>212</v>
      </c>
      <c r="G59" t="s">
        <v>1057</v>
      </c>
      <c r="H59" s="1">
        <v>23</v>
      </c>
      <c r="I59" t="s">
        <v>222</v>
      </c>
      <c r="J59">
        <v>100</v>
      </c>
      <c r="K59">
        <v>1.8</v>
      </c>
      <c r="X59" s="9"/>
    </row>
    <row r="60" spans="1:25" x14ac:dyDescent="0.25">
      <c r="A60">
        <f t="shared" si="0"/>
        <v>1</v>
      </c>
      <c r="B60" t="s">
        <v>1019</v>
      </c>
      <c r="C60" t="s">
        <v>138</v>
      </c>
      <c r="D60">
        <v>21</v>
      </c>
      <c r="E60" t="s">
        <v>212</v>
      </c>
      <c r="G60" t="s">
        <v>1060</v>
      </c>
      <c r="H60">
        <v>7</v>
      </c>
      <c r="I60" t="s">
        <v>321</v>
      </c>
      <c r="J60">
        <v>112</v>
      </c>
      <c r="K60">
        <v>3</v>
      </c>
      <c r="X60" s="9"/>
    </row>
    <row r="61" spans="1:25" x14ac:dyDescent="0.25">
      <c r="A61">
        <f t="shared" si="0"/>
        <v>1</v>
      </c>
      <c r="B61" t="s">
        <v>1019</v>
      </c>
      <c r="C61" t="s">
        <v>142</v>
      </c>
      <c r="D61">
        <v>49</v>
      </c>
      <c r="E61" t="s">
        <v>212</v>
      </c>
      <c r="G61" t="s">
        <v>1059</v>
      </c>
      <c r="H61">
        <v>27</v>
      </c>
      <c r="I61" t="s">
        <v>478</v>
      </c>
      <c r="J61">
        <v>52</v>
      </c>
      <c r="K61">
        <v>0.85</v>
      </c>
      <c r="O61">
        <v>27</v>
      </c>
      <c r="P61" t="s">
        <v>868</v>
      </c>
      <c r="Q61">
        <v>60</v>
      </c>
      <c r="R61">
        <v>0.85</v>
      </c>
      <c r="X61" s="9"/>
    </row>
    <row r="62" spans="1:25" x14ac:dyDescent="0.25">
      <c r="A62">
        <f t="shared" si="0"/>
        <v>1</v>
      </c>
      <c r="B62" t="s">
        <v>1020</v>
      </c>
      <c r="C62" t="s">
        <v>138</v>
      </c>
      <c r="D62" s="1">
        <v>100</v>
      </c>
      <c r="H62" s="1">
        <v>12</v>
      </c>
      <c r="I62" t="s">
        <v>321</v>
      </c>
      <c r="J62">
        <v>112</v>
      </c>
      <c r="K62">
        <v>3</v>
      </c>
      <c r="O62">
        <v>32</v>
      </c>
      <c r="P62" t="s">
        <v>244</v>
      </c>
      <c r="Q62">
        <v>90</v>
      </c>
      <c r="R62">
        <v>2</v>
      </c>
      <c r="X62" s="9"/>
    </row>
    <row r="63" spans="1:25" x14ac:dyDescent="0.25">
      <c r="A63">
        <f t="shared" si="0"/>
        <v>1</v>
      </c>
      <c r="B63" t="s">
        <v>1020</v>
      </c>
      <c r="C63" t="s">
        <v>161</v>
      </c>
      <c r="D63" s="1">
        <v>140</v>
      </c>
      <c r="G63" t="s">
        <v>1046</v>
      </c>
      <c r="H63" s="1">
        <v>70</v>
      </c>
      <c r="I63" t="s">
        <v>244</v>
      </c>
      <c r="J63">
        <v>90</v>
      </c>
      <c r="K63">
        <v>2</v>
      </c>
      <c r="X63" s="9"/>
    </row>
    <row r="64" spans="1:25" x14ac:dyDescent="0.25">
      <c r="A64">
        <f t="shared" si="0"/>
        <v>1</v>
      </c>
      <c r="B64" t="s">
        <v>1020</v>
      </c>
      <c r="C64" t="s">
        <v>139</v>
      </c>
      <c r="D64" s="1">
        <v>54</v>
      </c>
      <c r="E64" t="s">
        <v>212</v>
      </c>
      <c r="G64" t="s">
        <v>1062</v>
      </c>
      <c r="H64" s="1">
        <v>18</v>
      </c>
      <c r="I64" t="s">
        <v>233</v>
      </c>
      <c r="J64">
        <v>90</v>
      </c>
      <c r="K64">
        <v>3</v>
      </c>
      <c r="X64" s="9"/>
      <c r="Y64" t="s">
        <v>881</v>
      </c>
    </row>
    <row r="65" spans="1:24" x14ac:dyDescent="0.25">
      <c r="A65">
        <f t="shared" si="0"/>
        <v>1</v>
      </c>
      <c r="B65" t="s">
        <v>1021</v>
      </c>
      <c r="C65" t="s">
        <v>138</v>
      </c>
      <c r="D65">
        <v>51</v>
      </c>
      <c r="G65" t="s">
        <v>1061</v>
      </c>
      <c r="H65">
        <v>17</v>
      </c>
      <c r="I65" t="s">
        <v>321</v>
      </c>
      <c r="J65">
        <v>112</v>
      </c>
      <c r="K65">
        <v>3</v>
      </c>
      <c r="X65" s="9"/>
    </row>
    <row r="66" spans="1:24" x14ac:dyDescent="0.25">
      <c r="A66">
        <f>COUNTIF($I$95:$I$117,I66)</f>
        <v>1</v>
      </c>
      <c r="B66" t="s">
        <v>1021</v>
      </c>
      <c r="C66" t="s">
        <v>146</v>
      </c>
      <c r="D66" s="1">
        <v>66</v>
      </c>
      <c r="G66" t="s">
        <v>1058</v>
      </c>
      <c r="H66" s="1">
        <v>27</v>
      </c>
      <c r="I66" t="s">
        <v>244</v>
      </c>
      <c r="J66">
        <v>90</v>
      </c>
      <c r="K66">
        <v>2</v>
      </c>
      <c r="X66" s="9"/>
    </row>
    <row r="67" spans="1:24" x14ac:dyDescent="0.25">
      <c r="B67" s="8"/>
      <c r="H67" s="1"/>
      <c r="X67" s="9"/>
    </row>
    <row r="68" spans="1:24" hidden="1" x14ac:dyDescent="0.25">
      <c r="B68" s="8"/>
      <c r="H68" s="1"/>
      <c r="X68" s="9"/>
    </row>
    <row r="69" spans="1:24" hidden="1" x14ac:dyDescent="0.25">
      <c r="B69" s="8"/>
      <c r="H69" s="1"/>
      <c r="X69" s="9"/>
    </row>
    <row r="70" spans="1:24" hidden="1" x14ac:dyDescent="0.25">
      <c r="B70" s="8"/>
      <c r="H70" s="1"/>
      <c r="X70" s="9"/>
    </row>
    <row r="71" spans="1:24" hidden="1" x14ac:dyDescent="0.25">
      <c r="B71" s="8"/>
      <c r="H71" s="1"/>
      <c r="X71" s="9"/>
    </row>
    <row r="72" spans="1:24" hidden="1" x14ac:dyDescent="0.25">
      <c r="B72" s="8"/>
      <c r="H72" s="1"/>
      <c r="K72" s="27"/>
      <c r="X72" s="9"/>
    </row>
    <row r="73" spans="1:24" hidden="1" x14ac:dyDescent="0.25">
      <c r="B73" s="8"/>
      <c r="H73" s="1"/>
      <c r="X73" s="9"/>
    </row>
    <row r="74" spans="1:24" hidden="1" x14ac:dyDescent="0.25">
      <c r="B74" s="8"/>
      <c r="H74" s="1"/>
      <c r="X74" s="9"/>
    </row>
    <row r="75" spans="1:24" hidden="1" x14ac:dyDescent="0.25">
      <c r="B75" s="8"/>
      <c r="H75" s="1"/>
      <c r="X75" s="9"/>
    </row>
    <row r="76" spans="1:24" hidden="1" x14ac:dyDescent="0.25">
      <c r="B76" s="8"/>
      <c r="H76" s="1"/>
      <c r="X76" s="9"/>
    </row>
    <row r="77" spans="1:24" hidden="1" x14ac:dyDescent="0.25">
      <c r="B77" s="8"/>
      <c r="H77" s="1"/>
      <c r="X77" s="9"/>
    </row>
    <row r="78" spans="1:24" hidden="1" x14ac:dyDescent="0.25">
      <c r="B78" s="8"/>
      <c r="H78" s="1"/>
      <c r="X78" s="9"/>
    </row>
    <row r="79" spans="1:24" hidden="1" x14ac:dyDescent="0.25">
      <c r="B79" s="8"/>
      <c r="H79" s="1"/>
      <c r="X79" s="9"/>
    </row>
    <row r="80" spans="1:24" x14ac:dyDescent="0.25">
      <c r="B80" s="10"/>
      <c r="C80" s="11"/>
      <c r="D80" s="11"/>
      <c r="E80" s="11"/>
      <c r="F80" s="11"/>
      <c r="G80" s="11"/>
      <c r="H80" s="28"/>
      <c r="I80" s="11"/>
      <c r="J80" s="11"/>
      <c r="K80" s="11"/>
      <c r="L80" s="11"/>
      <c r="M80" s="11"/>
      <c r="N80" s="11"/>
      <c r="O80" s="11"/>
      <c r="P80" s="11"/>
      <c r="Q80" s="11"/>
      <c r="R80" s="11"/>
      <c r="S80" s="11"/>
      <c r="T80" s="11"/>
      <c r="U80" s="11"/>
      <c r="V80" s="11"/>
      <c r="W80" s="11"/>
      <c r="X80" s="12"/>
    </row>
    <row r="81" spans="2:20" x14ac:dyDescent="0.25">
      <c r="H81" s="1"/>
    </row>
    <row r="82" spans="2:20" x14ac:dyDescent="0.25">
      <c r="B82" s="2"/>
      <c r="H82" s="1"/>
    </row>
    <row r="83" spans="2:20" x14ac:dyDescent="0.25">
      <c r="B83" s="2"/>
      <c r="H83" s="1"/>
    </row>
    <row r="85" spans="2:20" x14ac:dyDescent="0.25">
      <c r="C85" s="5" t="s">
        <v>150</v>
      </c>
      <c r="D85" s="6" t="s">
        <v>91</v>
      </c>
      <c r="E85" s="6" t="s">
        <v>130</v>
      </c>
      <c r="F85" s="6"/>
      <c r="G85" s="7" t="s">
        <v>395</v>
      </c>
      <c r="I85" s="13" t="s">
        <v>124</v>
      </c>
      <c r="J85" s="14"/>
      <c r="K85" s="14"/>
      <c r="L85" s="14" t="s">
        <v>135</v>
      </c>
      <c r="M85" s="14" t="s">
        <v>375</v>
      </c>
      <c r="N85" s="15" t="s">
        <v>130</v>
      </c>
      <c r="P85" s="13"/>
      <c r="Q85" s="14"/>
      <c r="R85" s="14"/>
      <c r="S85" s="14"/>
      <c r="T85" s="15"/>
    </row>
    <row r="86" spans="2:20" x14ac:dyDescent="0.25">
      <c r="C86" s="8" t="s">
        <v>392</v>
      </c>
      <c r="D86" s="1">
        <f>SUM(M86:M89,T86:T89)</f>
        <v>1929</v>
      </c>
      <c r="E86">
        <f>SUM(D2:D80)</f>
        <v>6999</v>
      </c>
      <c r="G86" s="23">
        <f>E86/D86</f>
        <v>3.6283048211508553</v>
      </c>
      <c r="I86" s="8" t="s">
        <v>255</v>
      </c>
      <c r="L86">
        <f>COUNTIF(K1:K82,"&lt;2")</f>
        <v>23</v>
      </c>
      <c r="M86" s="1">
        <f>SUMIF(K1:K82,"&lt;2",H1:H82)+SUMIF(R1:R82,"&lt;2",O1:O82)</f>
        <v>1030</v>
      </c>
      <c r="N86" s="9">
        <f>SUMIF(K1:K82,"&lt;2",D1:D82)</f>
        <v>1676</v>
      </c>
      <c r="P86" s="8"/>
      <c r="T86" s="9"/>
    </row>
    <row r="87" spans="2:20" x14ac:dyDescent="0.25">
      <c r="C87" s="8" t="s">
        <v>125</v>
      </c>
      <c r="D87">
        <f>COUNT(D2:D80)</f>
        <v>65</v>
      </c>
      <c r="G87" s="9"/>
      <c r="I87" s="8" t="s">
        <v>133</v>
      </c>
      <c r="L87">
        <f>COUNTIF(K5:K83,"&lt;3")-L86</f>
        <v>13</v>
      </c>
      <c r="M87" s="1">
        <f>SUMIF(K1:K79,"&lt;3",H1:H79)+SUMIF(R1:R82,"&lt;3",O1:O82)-M86</f>
        <v>357</v>
      </c>
      <c r="N87" s="9">
        <f>SUMIF(K1:K79,"&lt;3",D1:D79)</f>
        <v>2369</v>
      </c>
      <c r="P87" s="8"/>
      <c r="T87" s="9"/>
    </row>
    <row r="88" spans="2:20" x14ac:dyDescent="0.25">
      <c r="C88" s="8" t="s">
        <v>386</v>
      </c>
      <c r="D88">
        <f>COUNTIF(E2:E80,"AOM5000")</f>
        <v>0</v>
      </c>
      <c r="E88">
        <f>SUMIF(E2:E77,"AOM5000",D2:D77)</f>
        <v>0</v>
      </c>
      <c r="F88" t="s">
        <v>396</v>
      </c>
      <c r="G88" s="21" t="e">
        <f>AVERAGEIF(E1:E79,"AOM5000",F1:F79)</f>
        <v>#DIV/0!</v>
      </c>
      <c r="I88" s="8" t="s">
        <v>132</v>
      </c>
      <c r="L88">
        <f>COUNTIF(K5:K83,"&lt;4")-L87-L86</f>
        <v>11</v>
      </c>
      <c r="M88" s="1">
        <f>SUMIF(K1:K79,"&lt;4",H1:H79)+SUMIF(R1:R82,"&lt;4",O1:O82)-M87-M86</f>
        <v>542</v>
      </c>
      <c r="N88" s="9">
        <f>SUMIF(K1:K79,"&lt;4",D1:D79)-N87</f>
        <v>1698</v>
      </c>
      <c r="P88" s="8"/>
      <c r="T88" s="9"/>
    </row>
    <row r="89" spans="2:20" x14ac:dyDescent="0.25">
      <c r="C89" s="8" t="s">
        <v>387</v>
      </c>
      <c r="D89">
        <f>COUNTIF(E1:E79,"AOM4000")</f>
        <v>0</v>
      </c>
      <c r="E89">
        <f>SUMIF(E2:E77,"AOM4000",D2:D77)</f>
        <v>0</v>
      </c>
      <c r="F89" t="s">
        <v>397</v>
      </c>
      <c r="G89" s="21" t="e">
        <f>AVERAGEIF(E1:E79,"AOM4000",F1:F79)</f>
        <v>#DIV/0!</v>
      </c>
      <c r="I89" s="8" t="s">
        <v>134</v>
      </c>
      <c r="L89">
        <f>COUNTIF(K5:K83,"&lt;5")-L88-L87-L86</f>
        <v>0</v>
      </c>
      <c r="M89" s="1">
        <f>SUMIF(R1:R79,"&lt;6",O1:O79)+SUMIF(K1:K79,"&lt;6",H1:H79)-M88-M87-M86</f>
        <v>0</v>
      </c>
      <c r="N89" s="9">
        <f>SUMIF(K1:K79,"&lt;5",D1:D79)-N88-N87</f>
        <v>0</v>
      </c>
      <c r="P89" s="8"/>
      <c r="T89" s="9"/>
    </row>
    <row r="90" spans="2:20" x14ac:dyDescent="0.25">
      <c r="C90" s="8" t="s">
        <v>390</v>
      </c>
      <c r="D90" s="18" t="e">
        <f>D88/(D89+D88)*100</f>
        <v>#DIV/0!</v>
      </c>
      <c r="E90" s="18" t="e">
        <f>E88/(E89+E88)*100</f>
        <v>#DIV/0!</v>
      </c>
      <c r="G90" s="9"/>
      <c r="I90" s="8"/>
      <c r="N90" s="9"/>
      <c r="P90" s="8"/>
      <c r="T90" s="9"/>
    </row>
    <row r="91" spans="2:20" x14ac:dyDescent="0.25">
      <c r="C91" s="16" t="s">
        <v>128</v>
      </c>
      <c r="D91" s="22">
        <f>D88/D87*100</f>
        <v>0</v>
      </c>
      <c r="E91" s="22">
        <f>E88/E86*100</f>
        <v>0</v>
      </c>
      <c r="F91" s="11"/>
      <c r="G91" s="12"/>
      <c r="I91" s="8" t="s">
        <v>136</v>
      </c>
      <c r="L91">
        <f>COUNTA(L1:L79)</f>
        <v>1</v>
      </c>
      <c r="N91" s="9"/>
      <c r="P91" s="10"/>
      <c r="Q91" s="11"/>
      <c r="R91" s="11"/>
      <c r="S91" s="11"/>
      <c r="T91" s="12"/>
    </row>
    <row r="92" spans="2:20" x14ac:dyDescent="0.25">
      <c r="F92" t="s">
        <v>388</v>
      </c>
      <c r="I92" s="10"/>
      <c r="J92" s="11"/>
      <c r="K92" s="11"/>
      <c r="L92" s="11"/>
      <c r="M92" s="11"/>
      <c r="N92" s="12"/>
    </row>
    <row r="93" spans="2:20" x14ac:dyDescent="0.25">
      <c r="C93" s="5" t="s">
        <v>149</v>
      </c>
      <c r="D93" s="6" t="s">
        <v>135</v>
      </c>
      <c r="E93" s="7" t="s">
        <v>130</v>
      </c>
      <c r="F93" s="5" t="s">
        <v>93</v>
      </c>
      <c r="G93" s="7" t="s">
        <v>94</v>
      </c>
    </row>
    <row r="94" spans="2:20" x14ac:dyDescent="0.25">
      <c r="B94" s="18">
        <f>E94/$E$86*100</f>
        <v>43.034719245606517</v>
      </c>
      <c r="C94" s="8" t="s">
        <v>20</v>
      </c>
      <c r="D94">
        <f t="shared" ref="D94:D116" si="1">COUNTIF(C$1:C$79,C94)</f>
        <v>11</v>
      </c>
      <c r="E94" s="9">
        <f t="shared" ref="E94:E116" si="2">SUMIF(C$1:C$79,C94,D$1:D$79)</f>
        <v>3012</v>
      </c>
      <c r="F94" s="8">
        <f t="shared" ref="F94:F116" si="3">SUMIFS($D$1:$D$77,$C$1:$C$77,C94,$E$1:$E$77,$F$93)</f>
        <v>0</v>
      </c>
      <c r="G94" s="9">
        <f t="shared" ref="G94:G116" si="4">SUMIFS($D$2:$D$78,$C$2:$C$78,C94,$E$2:$E$78,$G$93)</f>
        <v>0</v>
      </c>
      <c r="I94" s="5" t="s">
        <v>376</v>
      </c>
      <c r="J94" s="6"/>
      <c r="K94" s="6"/>
      <c r="L94" s="7" t="s">
        <v>377</v>
      </c>
    </row>
    <row r="95" spans="2:20" x14ac:dyDescent="0.25">
      <c r="B95" s="18">
        <f t="shared" ref="B95:B116" si="5">E95/$E$86*100</f>
        <v>11.773110444349193</v>
      </c>
      <c r="C95" s="8" t="s">
        <v>142</v>
      </c>
      <c r="D95">
        <f t="shared" si="1"/>
        <v>14</v>
      </c>
      <c r="E95" s="9">
        <f t="shared" si="2"/>
        <v>824</v>
      </c>
      <c r="F95" s="8">
        <f t="shared" si="3"/>
        <v>0</v>
      </c>
      <c r="G95" s="9">
        <f t="shared" si="4"/>
        <v>0</v>
      </c>
      <c r="I95" t="s">
        <v>868</v>
      </c>
      <c r="L95" s="19">
        <f t="shared" ref="L95:L107" si="6">SUMIF(I$1:I$79,I95,H$1:H$79)+SUMIF(P$1:P$79,I95,O$1:O$79)</f>
        <v>27</v>
      </c>
    </row>
    <row r="96" spans="2:20" x14ac:dyDescent="0.25">
      <c r="B96" s="18">
        <f t="shared" si="5"/>
        <v>0</v>
      </c>
      <c r="C96" s="8" t="s">
        <v>69</v>
      </c>
      <c r="D96">
        <f t="shared" si="1"/>
        <v>0</v>
      </c>
      <c r="E96" s="9">
        <f t="shared" si="2"/>
        <v>0</v>
      </c>
      <c r="F96" s="8">
        <f t="shared" si="3"/>
        <v>0</v>
      </c>
      <c r="G96" s="9">
        <f t="shared" si="4"/>
        <v>0</v>
      </c>
      <c r="I96" s="8" t="s">
        <v>462</v>
      </c>
      <c r="L96" s="19">
        <f t="shared" si="6"/>
        <v>57</v>
      </c>
    </row>
    <row r="97" spans="2:12" x14ac:dyDescent="0.25">
      <c r="B97" s="18">
        <f t="shared" si="5"/>
        <v>1.943134733533362</v>
      </c>
      <c r="C97" s="8" t="s">
        <v>140</v>
      </c>
      <c r="D97">
        <f t="shared" si="1"/>
        <v>3</v>
      </c>
      <c r="E97" s="9">
        <f t="shared" si="2"/>
        <v>136</v>
      </c>
      <c r="F97" s="8">
        <f t="shared" si="3"/>
        <v>0</v>
      </c>
      <c r="G97" s="9">
        <f t="shared" si="4"/>
        <v>0</v>
      </c>
      <c r="I97" s="8" t="s">
        <v>244</v>
      </c>
      <c r="L97" s="19">
        <f t="shared" si="6"/>
        <v>415</v>
      </c>
    </row>
    <row r="98" spans="2:12" x14ac:dyDescent="0.25">
      <c r="B98" s="18">
        <f t="shared" si="5"/>
        <v>8.9441348764109154</v>
      </c>
      <c r="C98" s="8" t="s">
        <v>144</v>
      </c>
      <c r="D98">
        <f t="shared" si="1"/>
        <v>2</v>
      </c>
      <c r="E98" s="9">
        <f t="shared" si="2"/>
        <v>626</v>
      </c>
      <c r="F98" s="8">
        <f t="shared" si="3"/>
        <v>0</v>
      </c>
      <c r="G98" s="9">
        <f t="shared" si="4"/>
        <v>0</v>
      </c>
      <c r="I98" s="8" t="s">
        <v>233</v>
      </c>
      <c r="L98" s="19">
        <f t="shared" si="6"/>
        <v>342</v>
      </c>
    </row>
    <row r="99" spans="2:12" x14ac:dyDescent="0.25">
      <c r="B99" s="18">
        <f t="shared" si="5"/>
        <v>1.1001571653093301</v>
      </c>
      <c r="C99" s="8" t="s">
        <v>27</v>
      </c>
      <c r="D99">
        <f t="shared" si="1"/>
        <v>1</v>
      </c>
      <c r="E99" s="9">
        <f t="shared" si="2"/>
        <v>77</v>
      </c>
      <c r="F99" s="8">
        <f t="shared" si="3"/>
        <v>0</v>
      </c>
      <c r="G99" s="9">
        <f t="shared" si="4"/>
        <v>0</v>
      </c>
      <c r="I99" s="8" t="s">
        <v>806</v>
      </c>
      <c r="L99" s="19">
        <f t="shared" si="6"/>
        <v>427</v>
      </c>
    </row>
    <row r="100" spans="2:12" x14ac:dyDescent="0.25">
      <c r="B100" s="18">
        <f t="shared" si="5"/>
        <v>5.2864694956422351</v>
      </c>
      <c r="C100" s="8" t="s">
        <v>45</v>
      </c>
      <c r="D100">
        <f t="shared" si="1"/>
        <v>5</v>
      </c>
      <c r="E100" s="9">
        <f t="shared" si="2"/>
        <v>370</v>
      </c>
      <c r="F100" s="8">
        <f t="shared" si="3"/>
        <v>0</v>
      </c>
      <c r="G100" s="9">
        <f t="shared" si="4"/>
        <v>0</v>
      </c>
      <c r="I100" s="8" t="s">
        <v>222</v>
      </c>
      <c r="L100" s="19">
        <f t="shared" si="6"/>
        <v>252</v>
      </c>
    </row>
    <row r="101" spans="2:12" x14ac:dyDescent="0.25">
      <c r="B101" s="18">
        <f t="shared" si="5"/>
        <v>1.3430490070010002</v>
      </c>
      <c r="C101" s="8" t="s">
        <v>165</v>
      </c>
      <c r="D101">
        <f t="shared" si="1"/>
        <v>2</v>
      </c>
      <c r="E101" s="9">
        <f t="shared" si="2"/>
        <v>94</v>
      </c>
      <c r="F101" s="8">
        <f t="shared" si="3"/>
        <v>0</v>
      </c>
      <c r="G101" s="9">
        <f t="shared" si="4"/>
        <v>0</v>
      </c>
      <c r="I101" s="8" t="s">
        <v>805</v>
      </c>
      <c r="L101" s="19">
        <f t="shared" si="6"/>
        <v>94</v>
      </c>
    </row>
    <row r="102" spans="2:12" x14ac:dyDescent="0.25">
      <c r="B102" s="18">
        <f t="shared" si="5"/>
        <v>0.77153879125589375</v>
      </c>
      <c r="C102" s="8" t="s">
        <v>139</v>
      </c>
      <c r="D102">
        <f t="shared" si="1"/>
        <v>1</v>
      </c>
      <c r="E102" s="9">
        <f t="shared" si="2"/>
        <v>54</v>
      </c>
      <c r="F102" s="8">
        <f t="shared" si="3"/>
        <v>0</v>
      </c>
      <c r="G102" s="9">
        <f t="shared" si="4"/>
        <v>0</v>
      </c>
      <c r="I102" s="8" t="s">
        <v>321</v>
      </c>
      <c r="L102" s="19">
        <f t="shared" si="6"/>
        <v>200</v>
      </c>
    </row>
    <row r="103" spans="2:12" x14ac:dyDescent="0.25">
      <c r="B103" s="18">
        <f t="shared" si="5"/>
        <v>2.8289755679382766</v>
      </c>
      <c r="C103" s="8" t="s">
        <v>161</v>
      </c>
      <c r="D103">
        <f t="shared" si="1"/>
        <v>2</v>
      </c>
      <c r="E103" s="9">
        <f t="shared" si="2"/>
        <v>198</v>
      </c>
      <c r="F103" s="8">
        <f t="shared" si="3"/>
        <v>0</v>
      </c>
      <c r="G103" s="9">
        <f t="shared" si="4"/>
        <v>0</v>
      </c>
      <c r="I103" s="8" t="s">
        <v>809</v>
      </c>
      <c r="J103" s="11"/>
      <c r="K103" s="11"/>
      <c r="L103" s="19">
        <f t="shared" si="6"/>
        <v>0</v>
      </c>
    </row>
    <row r="104" spans="2:12" x14ac:dyDescent="0.25">
      <c r="B104" s="18">
        <f t="shared" si="5"/>
        <v>5.2007429632804687</v>
      </c>
      <c r="C104" s="8" t="s">
        <v>138</v>
      </c>
      <c r="D104">
        <f t="shared" si="1"/>
        <v>7</v>
      </c>
      <c r="E104" s="9">
        <f t="shared" si="2"/>
        <v>364</v>
      </c>
      <c r="F104" s="8">
        <f t="shared" si="3"/>
        <v>0</v>
      </c>
      <c r="G104" s="9">
        <f t="shared" si="4"/>
        <v>0</v>
      </c>
      <c r="I104" s="8" t="s">
        <v>92</v>
      </c>
      <c r="J104" s="11"/>
      <c r="K104" s="11"/>
      <c r="L104" s="19">
        <f t="shared" si="6"/>
        <v>0</v>
      </c>
    </row>
    <row r="105" spans="2:12" x14ac:dyDescent="0.25">
      <c r="B105" s="18">
        <f t="shared" si="5"/>
        <v>0</v>
      </c>
      <c r="C105" s="8" t="s">
        <v>852</v>
      </c>
      <c r="D105">
        <f t="shared" si="1"/>
        <v>0</v>
      </c>
      <c r="E105" s="9">
        <f t="shared" si="2"/>
        <v>0</v>
      </c>
      <c r="F105" s="8">
        <f t="shared" si="3"/>
        <v>0</v>
      </c>
      <c r="G105" s="9">
        <f t="shared" si="4"/>
        <v>0</v>
      </c>
      <c r="I105" t="s">
        <v>478</v>
      </c>
      <c r="L105" s="19">
        <f t="shared" si="6"/>
        <v>115</v>
      </c>
    </row>
    <row r="106" spans="2:12" x14ac:dyDescent="0.25">
      <c r="B106" s="18">
        <f t="shared" si="5"/>
        <v>0.25717959708529792</v>
      </c>
      <c r="C106" s="8" t="s">
        <v>166</v>
      </c>
      <c r="D106">
        <f t="shared" si="1"/>
        <v>1</v>
      </c>
      <c r="E106" s="9">
        <f t="shared" si="2"/>
        <v>18</v>
      </c>
      <c r="F106" s="8">
        <f t="shared" si="3"/>
        <v>0</v>
      </c>
      <c r="G106" s="9">
        <f t="shared" si="4"/>
        <v>0</v>
      </c>
      <c r="L106" s="19">
        <f t="shared" si="6"/>
        <v>0</v>
      </c>
    </row>
    <row r="107" spans="2:12" x14ac:dyDescent="0.25">
      <c r="B107" s="18">
        <f t="shared" si="5"/>
        <v>0</v>
      </c>
      <c r="C107" s="8" t="s">
        <v>34</v>
      </c>
      <c r="D107">
        <f t="shared" si="1"/>
        <v>0</v>
      </c>
      <c r="E107" s="9">
        <f t="shared" si="2"/>
        <v>0</v>
      </c>
      <c r="F107" s="8">
        <f t="shared" si="3"/>
        <v>0</v>
      </c>
      <c r="G107" s="9">
        <f t="shared" si="4"/>
        <v>0</v>
      </c>
      <c r="L107" s="19">
        <f t="shared" si="6"/>
        <v>0</v>
      </c>
    </row>
    <row r="108" spans="2:12" x14ac:dyDescent="0.25">
      <c r="B108" s="18">
        <f t="shared" si="5"/>
        <v>0.37148164023431918</v>
      </c>
      <c r="C108" s="8" t="s">
        <v>1022</v>
      </c>
      <c r="D108">
        <f t="shared" si="1"/>
        <v>1</v>
      </c>
      <c r="E108" s="9">
        <f t="shared" si="2"/>
        <v>26</v>
      </c>
      <c r="F108" s="8">
        <f t="shared" si="3"/>
        <v>0</v>
      </c>
      <c r="G108" s="9">
        <f t="shared" si="4"/>
        <v>0</v>
      </c>
      <c r="L108" s="1"/>
    </row>
    <row r="109" spans="2:12" x14ac:dyDescent="0.25">
      <c r="B109" s="18">
        <f t="shared" si="5"/>
        <v>1.3287612516073724</v>
      </c>
      <c r="C109" s="8" t="s">
        <v>176</v>
      </c>
      <c r="D109">
        <f t="shared" si="1"/>
        <v>1</v>
      </c>
      <c r="E109" s="9">
        <f t="shared" si="2"/>
        <v>93</v>
      </c>
      <c r="F109" s="8">
        <f t="shared" si="3"/>
        <v>0</v>
      </c>
      <c r="G109" s="9">
        <f t="shared" si="4"/>
        <v>0</v>
      </c>
      <c r="L109" s="1"/>
    </row>
    <row r="110" spans="2:12" x14ac:dyDescent="0.25">
      <c r="B110" s="18">
        <f t="shared" si="5"/>
        <v>0.35719388484069153</v>
      </c>
      <c r="C110" s="8" t="s">
        <v>449</v>
      </c>
      <c r="D110">
        <f t="shared" si="1"/>
        <v>1</v>
      </c>
      <c r="E110" s="9">
        <f t="shared" si="2"/>
        <v>25</v>
      </c>
      <c r="F110" s="8">
        <f t="shared" si="3"/>
        <v>0</v>
      </c>
      <c r="G110" s="9">
        <f t="shared" si="4"/>
        <v>0</v>
      </c>
    </row>
    <row r="111" spans="2:12" x14ac:dyDescent="0.25">
      <c r="B111" s="18">
        <f t="shared" si="5"/>
        <v>1.2287469638519788</v>
      </c>
      <c r="C111" s="8" t="s">
        <v>141</v>
      </c>
      <c r="D111">
        <f t="shared" si="1"/>
        <v>1</v>
      </c>
      <c r="E111" s="9">
        <f t="shared" si="2"/>
        <v>86</v>
      </c>
      <c r="F111" s="8">
        <f t="shared" si="3"/>
        <v>0</v>
      </c>
      <c r="G111" s="9">
        <f t="shared" si="4"/>
        <v>0</v>
      </c>
    </row>
    <row r="112" spans="2:12" x14ac:dyDescent="0.25">
      <c r="B112" s="18">
        <f t="shared" si="5"/>
        <v>0.6000857265323617</v>
      </c>
      <c r="C112" s="8" t="s">
        <v>206</v>
      </c>
      <c r="D112">
        <f t="shared" si="1"/>
        <v>1</v>
      </c>
      <c r="E112" s="9">
        <f t="shared" si="2"/>
        <v>42</v>
      </c>
      <c r="F112" s="8">
        <f t="shared" si="3"/>
        <v>0</v>
      </c>
      <c r="G112" s="9">
        <f t="shared" si="4"/>
        <v>0</v>
      </c>
    </row>
    <row r="113" spans="2:7" x14ac:dyDescent="0.25">
      <c r="B113" s="18">
        <f t="shared" si="5"/>
        <v>2.528932704672096</v>
      </c>
      <c r="C113" s="8" t="s">
        <v>146</v>
      </c>
      <c r="D113">
        <f t="shared" si="1"/>
        <v>4</v>
      </c>
      <c r="E113" s="9">
        <f t="shared" si="2"/>
        <v>177</v>
      </c>
      <c r="F113" s="8">
        <f t="shared" si="3"/>
        <v>0</v>
      </c>
      <c r="G113" s="9">
        <f t="shared" si="4"/>
        <v>0</v>
      </c>
    </row>
    <row r="114" spans="2:7" x14ac:dyDescent="0.25">
      <c r="B114" s="18">
        <f t="shared" si="5"/>
        <v>1.8431204457779682</v>
      </c>
      <c r="C114" s="8" t="s">
        <v>137</v>
      </c>
      <c r="D114">
        <f t="shared" si="1"/>
        <v>3</v>
      </c>
      <c r="E114" s="9">
        <f t="shared" si="2"/>
        <v>129</v>
      </c>
      <c r="F114" s="8">
        <f t="shared" si="3"/>
        <v>0</v>
      </c>
      <c r="G114" s="9">
        <f t="shared" si="4"/>
        <v>0</v>
      </c>
    </row>
    <row r="115" spans="2:7" x14ac:dyDescent="0.25">
      <c r="B115" s="18">
        <f t="shared" si="5"/>
        <v>0</v>
      </c>
      <c r="C115" s="8" t="s">
        <v>320</v>
      </c>
      <c r="D115">
        <f t="shared" si="1"/>
        <v>0</v>
      </c>
      <c r="E115" s="9">
        <f t="shared" si="2"/>
        <v>0</v>
      </c>
      <c r="F115" s="8">
        <f t="shared" si="3"/>
        <v>0</v>
      </c>
      <c r="G115" s="9">
        <f t="shared" si="4"/>
        <v>0</v>
      </c>
    </row>
    <row r="116" spans="2:7" x14ac:dyDescent="0.25">
      <c r="B116" s="18">
        <f t="shared" si="5"/>
        <v>9.2584654950707233</v>
      </c>
      <c r="C116" s="10" t="s">
        <v>628</v>
      </c>
      <c r="D116">
        <f t="shared" si="1"/>
        <v>4</v>
      </c>
      <c r="E116" s="9">
        <f t="shared" si="2"/>
        <v>648</v>
      </c>
      <c r="F116" s="10">
        <f t="shared" si="3"/>
        <v>0</v>
      </c>
      <c r="G116" s="12">
        <f t="shared" si="4"/>
        <v>0</v>
      </c>
    </row>
    <row r="117" spans="2:7" x14ac:dyDescent="0.25">
      <c r="B117" s="18">
        <f>SUM(B94:B116)</f>
        <v>100.00000000000001</v>
      </c>
      <c r="E117" s="9">
        <f>SUM(E94:E116)</f>
        <v>6999</v>
      </c>
      <c r="F117" s="8">
        <f>SUM(F94:F114)</f>
        <v>0</v>
      </c>
      <c r="G117" s="9">
        <f>SUM(G94:G114)</f>
        <v>0</v>
      </c>
    </row>
    <row r="118" spans="2:7" x14ac:dyDescent="0.25">
      <c r="E118" s="9">
        <f>E86-E117</f>
        <v>0</v>
      </c>
      <c r="F118" s="10" t="s">
        <v>389</v>
      </c>
      <c r="G118" s="12">
        <f>E86-F117-G117</f>
        <v>6999</v>
      </c>
    </row>
    <row r="120" spans="2:7" x14ac:dyDescent="0.25">
      <c r="C120" s="13"/>
      <c r="D120" s="14" t="s">
        <v>93</v>
      </c>
      <c r="E120" s="15" t="s">
        <v>94</v>
      </c>
    </row>
    <row r="121" spans="2:7" x14ac:dyDescent="0.25">
      <c r="C121" s="8" t="s">
        <v>402</v>
      </c>
      <c r="D121">
        <f>SUMIFS($D$5:$D$82,$E$5:$E$82,D$120,$F$5:$F$82,"&lt;5.1")</f>
        <v>0</v>
      </c>
      <c r="E121" s="9">
        <f>SUMIFS($D$5:$D$82,$E$5:$E$82,E$120,$F$5:$F$82,"&lt;5.1")</f>
        <v>0</v>
      </c>
    </row>
    <row r="122" spans="2:7" x14ac:dyDescent="0.25">
      <c r="C122" s="29" t="s">
        <v>403</v>
      </c>
      <c r="D122">
        <f>SUMIFS($D$5:$D$82,$E$5:$E$82,D$120,$F$5:$F$82,"&lt;10.1")-D121</f>
        <v>0</v>
      </c>
      <c r="E122" s="9">
        <f>SUMIFS($D$5:$D$82,$E$5:$E$82,E$120,$F$5:$F$82,"&lt;10.1")-E121</f>
        <v>0</v>
      </c>
    </row>
    <row r="123" spans="2:7" x14ac:dyDescent="0.25">
      <c r="C123" s="29" t="s">
        <v>404</v>
      </c>
      <c r="D123">
        <f>SUMIFS($D$5:$D$82,$E$5:$E$82,D$120,$F$5:$F$82,"&lt;15.1")-D122-D121</f>
        <v>0</v>
      </c>
      <c r="E123" s="9">
        <f>SUMIFS($D$5:$D$82,$E$5:$E$82,E$120,$F$5:$F$82,"&lt;15.1")-E122-E121</f>
        <v>0</v>
      </c>
    </row>
    <row r="124" spans="2:7" x14ac:dyDescent="0.25">
      <c r="C124" s="29" t="s">
        <v>102</v>
      </c>
      <c r="D124">
        <f>SUMIFS($D$5:$D$82,$E$5:$E$82,D$120,$F$5:$F$82,"&lt;20.1")-D123-D122-D121</f>
        <v>0</v>
      </c>
      <c r="E124" s="9">
        <f>SUMIFS($D$5:$D$82,$E$5:$E$82,E$120,$F$5:$F$82,"&lt;20.1")-E123-E122-E121</f>
        <v>0</v>
      </c>
    </row>
    <row r="125" spans="2:7" x14ac:dyDescent="0.25">
      <c r="C125" s="8" t="s">
        <v>405</v>
      </c>
      <c r="D125">
        <f>SUMIFS($D$5:$D$82,$E$5:$E$82,D$120,$F$5:$F$82,"&lt;40.1")-D124-D123-D122-D121</f>
        <v>0</v>
      </c>
      <c r="E125" s="9">
        <f>SUMIFS($D$5:$D$82,$E$5:$E$82,E$120,$F$5:$F$82,"&lt;40.1")-E124-E123-E122-E121</f>
        <v>0</v>
      </c>
    </row>
    <row r="126" spans="2:7" x14ac:dyDescent="0.25">
      <c r="C126" s="10" t="s">
        <v>406</v>
      </c>
      <c r="D126" s="11">
        <f>E89-SUM(D121:D125)</f>
        <v>0</v>
      </c>
      <c r="E126" s="12">
        <f>E88-SUM(E121:E125)</f>
        <v>0</v>
      </c>
    </row>
  </sheetData>
  <pageMargins left="0.7" right="0.7" top="0.75" bottom="0.75" header="0.3" footer="0.3"/>
  <pageSetup paperSize="9" orientation="portrait" r:id="rId1"/>
  <headerFooter>
    <oddFooter>&amp;L&amp;1#&amp;"Arial"&amp;8&amp;KD5DAD9</oddFoot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126"/>
  <sheetViews>
    <sheetView topLeftCell="C1" zoomScale="70" zoomScaleNormal="70" workbookViewId="0">
      <selection activeCell="B2" sqref="B2:Y28"/>
    </sheetView>
  </sheetViews>
  <sheetFormatPr defaultRowHeight="15" x14ac:dyDescent="0.25"/>
  <cols>
    <col min="2" max="9" width="13.7109375" customWidth="1"/>
    <col min="10" max="10" width="1.7109375" customWidth="1"/>
    <col min="11" max="11" width="2.140625" customWidth="1"/>
    <col min="12" max="13" width="12" bestFit="1" customWidth="1"/>
    <col min="14" max="14" width="12" customWidth="1"/>
    <col min="15" max="15" width="4.140625" customWidth="1"/>
    <col min="16" max="16" width="15.140625" customWidth="1"/>
    <col min="17" max="17" width="2.28515625" customWidth="1"/>
    <col min="18" max="18" width="2.5703125" customWidth="1"/>
    <col min="19" max="20" width="12" bestFit="1" customWidth="1"/>
    <col min="21" max="21" width="4.42578125" customWidth="1"/>
    <col min="22" max="22" width="13.28515625" bestFit="1" customWidth="1"/>
    <col min="23" max="24" width="12" bestFit="1" customWidth="1"/>
  </cols>
  <sheetData>
    <row r="1" spans="1:25" x14ac:dyDescent="0.25">
      <c r="B1" s="5" t="s">
        <v>86</v>
      </c>
      <c r="C1" s="6" t="s">
        <v>87</v>
      </c>
      <c r="D1" s="6" t="s">
        <v>88</v>
      </c>
      <c r="E1" s="6" t="s">
        <v>98</v>
      </c>
      <c r="F1" s="6" t="s">
        <v>100</v>
      </c>
      <c r="G1" s="6" t="s">
        <v>89</v>
      </c>
      <c r="H1" s="6" t="s">
        <v>91</v>
      </c>
      <c r="I1" s="6" t="s">
        <v>90</v>
      </c>
      <c r="J1" s="6" t="s">
        <v>131</v>
      </c>
      <c r="K1" s="6" t="s">
        <v>130</v>
      </c>
      <c r="L1" s="6" t="s">
        <v>103</v>
      </c>
      <c r="M1" s="6" t="s">
        <v>101</v>
      </c>
      <c r="N1" s="6" t="s">
        <v>107</v>
      </c>
      <c r="O1" s="6" t="s">
        <v>91</v>
      </c>
      <c r="P1" s="6" t="s">
        <v>105</v>
      </c>
      <c r="Q1" s="6" t="s">
        <v>131</v>
      </c>
      <c r="R1" s="6" t="s">
        <v>130</v>
      </c>
      <c r="S1" s="6" t="s">
        <v>103</v>
      </c>
      <c r="T1" s="6" t="s">
        <v>101</v>
      </c>
      <c r="U1" s="6" t="s">
        <v>91</v>
      </c>
      <c r="V1" s="6" t="s">
        <v>105</v>
      </c>
      <c r="W1" s="6" t="s">
        <v>103</v>
      </c>
      <c r="X1" s="7" t="s">
        <v>101</v>
      </c>
    </row>
    <row r="2" spans="1:25" x14ac:dyDescent="0.25">
      <c r="A2">
        <f t="shared" ref="A2:A65" si="0">COUNTIF($C$94:$C$116,C2)</f>
        <v>1</v>
      </c>
      <c r="B2" t="s">
        <v>1070</v>
      </c>
      <c r="C2" t="s">
        <v>526</v>
      </c>
      <c r="D2">
        <v>201</v>
      </c>
      <c r="H2">
        <f>D2/K2</f>
        <v>67</v>
      </c>
      <c r="I2" t="s">
        <v>233</v>
      </c>
      <c r="J2">
        <v>90</v>
      </c>
      <c r="K2">
        <v>3</v>
      </c>
      <c r="X2" s="9"/>
      <c r="Y2" t="s">
        <v>962</v>
      </c>
    </row>
    <row r="3" spans="1:25" x14ac:dyDescent="0.25">
      <c r="A3">
        <f t="shared" si="0"/>
        <v>1</v>
      </c>
      <c r="B3" t="s">
        <v>1071</v>
      </c>
      <c r="C3" t="s">
        <v>146</v>
      </c>
      <c r="D3">
        <v>26</v>
      </c>
      <c r="X3" s="9"/>
      <c r="Y3" t="s">
        <v>961</v>
      </c>
    </row>
    <row r="4" spans="1:25" x14ac:dyDescent="0.25">
      <c r="A4">
        <f t="shared" si="0"/>
        <v>1</v>
      </c>
      <c r="B4" t="s">
        <v>1072</v>
      </c>
      <c r="C4" t="s">
        <v>206</v>
      </c>
      <c r="D4">
        <v>24</v>
      </c>
      <c r="X4" s="9"/>
    </row>
    <row r="5" spans="1:25" x14ac:dyDescent="0.25">
      <c r="A5">
        <f t="shared" si="0"/>
        <v>1</v>
      </c>
      <c r="B5" t="s">
        <v>1073</v>
      </c>
      <c r="C5" t="s">
        <v>176</v>
      </c>
      <c r="D5">
        <v>33</v>
      </c>
      <c r="E5" t="s">
        <v>212</v>
      </c>
      <c r="F5">
        <v>5</v>
      </c>
      <c r="G5" t="s">
        <v>1096</v>
      </c>
      <c r="H5">
        <v>11</v>
      </c>
      <c r="I5" t="s">
        <v>233</v>
      </c>
      <c r="J5">
        <v>90</v>
      </c>
      <c r="K5">
        <v>3</v>
      </c>
      <c r="X5" s="9"/>
    </row>
    <row r="6" spans="1:25" x14ac:dyDescent="0.25">
      <c r="A6">
        <f t="shared" si="0"/>
        <v>1</v>
      </c>
      <c r="B6" t="s">
        <v>1074</v>
      </c>
      <c r="C6" t="s">
        <v>146</v>
      </c>
      <c r="D6">
        <v>74</v>
      </c>
      <c r="G6" t="s">
        <v>1097</v>
      </c>
      <c r="H6">
        <f>D6/K6</f>
        <v>37</v>
      </c>
      <c r="I6" t="s">
        <v>462</v>
      </c>
      <c r="J6">
        <v>80</v>
      </c>
      <c r="K6">
        <v>2</v>
      </c>
      <c r="X6" s="9"/>
    </row>
    <row r="7" spans="1:25" x14ac:dyDescent="0.25">
      <c r="A7">
        <f t="shared" si="0"/>
        <v>1</v>
      </c>
      <c r="B7" t="s">
        <v>1075</v>
      </c>
      <c r="C7" t="s">
        <v>526</v>
      </c>
      <c r="D7">
        <v>228</v>
      </c>
      <c r="G7" t="s">
        <v>1098</v>
      </c>
      <c r="H7" s="1">
        <f>D7/K7</f>
        <v>76</v>
      </c>
      <c r="I7" t="s">
        <v>233</v>
      </c>
      <c r="J7">
        <v>90</v>
      </c>
      <c r="K7">
        <v>3</v>
      </c>
      <c r="S7" s="26"/>
      <c r="X7" s="9"/>
    </row>
    <row r="8" spans="1:25" x14ac:dyDescent="0.25">
      <c r="A8">
        <f t="shared" si="0"/>
        <v>1</v>
      </c>
      <c r="B8" t="s">
        <v>1076</v>
      </c>
      <c r="C8" t="s">
        <v>142</v>
      </c>
      <c r="D8">
        <v>50</v>
      </c>
      <c r="X8" s="9"/>
    </row>
    <row r="9" spans="1:25" x14ac:dyDescent="0.25">
      <c r="A9">
        <f t="shared" si="0"/>
        <v>1</v>
      </c>
      <c r="B9" t="s">
        <v>1077</v>
      </c>
      <c r="C9" t="s">
        <v>45</v>
      </c>
      <c r="D9">
        <v>69</v>
      </c>
      <c r="H9">
        <f>D9/K9</f>
        <v>23</v>
      </c>
      <c r="I9" t="s">
        <v>233</v>
      </c>
      <c r="J9">
        <v>90</v>
      </c>
      <c r="K9">
        <v>3</v>
      </c>
      <c r="X9" s="9"/>
    </row>
    <row r="10" spans="1:25" x14ac:dyDescent="0.25">
      <c r="A10">
        <f t="shared" si="0"/>
        <v>1</v>
      </c>
      <c r="B10" t="s">
        <v>1078</v>
      </c>
      <c r="C10" t="s">
        <v>161</v>
      </c>
      <c r="D10">
        <v>51</v>
      </c>
      <c r="H10">
        <v>17</v>
      </c>
      <c r="I10" t="s">
        <v>233</v>
      </c>
      <c r="J10">
        <v>90</v>
      </c>
      <c r="K10">
        <v>3</v>
      </c>
      <c r="X10" s="9"/>
    </row>
    <row r="11" spans="1:25" x14ac:dyDescent="0.25">
      <c r="A11">
        <f t="shared" si="0"/>
        <v>1</v>
      </c>
      <c r="B11" t="s">
        <v>1079</v>
      </c>
      <c r="C11" t="s">
        <v>1094</v>
      </c>
      <c r="D11">
        <v>24</v>
      </c>
      <c r="H11" s="1"/>
      <c r="X11" s="9"/>
    </row>
    <row r="12" spans="1:25" x14ac:dyDescent="0.25">
      <c r="A12">
        <f t="shared" si="0"/>
        <v>1</v>
      </c>
      <c r="B12" t="s">
        <v>1080</v>
      </c>
      <c r="C12" t="s">
        <v>142</v>
      </c>
      <c r="D12">
        <v>34</v>
      </c>
      <c r="X12" s="9"/>
    </row>
    <row r="13" spans="1:25" x14ac:dyDescent="0.25">
      <c r="A13">
        <f>COUNTIF($C$94:$C$116,C13)</f>
        <v>1</v>
      </c>
      <c r="B13" t="s">
        <v>1081</v>
      </c>
      <c r="C13" t="s">
        <v>142</v>
      </c>
      <c r="D13">
        <v>75</v>
      </c>
      <c r="O13" s="1"/>
      <c r="X13" s="9"/>
    </row>
    <row r="14" spans="1:25" x14ac:dyDescent="0.25">
      <c r="A14">
        <f t="shared" si="0"/>
        <v>1</v>
      </c>
      <c r="B14" t="s">
        <v>1082</v>
      </c>
      <c r="C14" t="s">
        <v>320</v>
      </c>
      <c r="D14">
        <v>165</v>
      </c>
      <c r="H14">
        <f>D14/K14</f>
        <v>55</v>
      </c>
      <c r="I14" t="s">
        <v>233</v>
      </c>
      <c r="J14">
        <v>90</v>
      </c>
      <c r="K14">
        <v>3</v>
      </c>
      <c r="X14" s="9"/>
      <c r="Y14" t="s">
        <v>881</v>
      </c>
    </row>
    <row r="15" spans="1:25" x14ac:dyDescent="0.25">
      <c r="A15">
        <f t="shared" si="0"/>
        <v>1</v>
      </c>
      <c r="B15" t="s">
        <v>1083</v>
      </c>
      <c r="C15" t="s">
        <v>1095</v>
      </c>
      <c r="D15">
        <v>82</v>
      </c>
      <c r="G15" t="s">
        <v>1106</v>
      </c>
      <c r="H15">
        <v>41</v>
      </c>
      <c r="I15" t="s">
        <v>244</v>
      </c>
      <c r="J15">
        <v>90</v>
      </c>
      <c r="K15">
        <v>2</v>
      </c>
      <c r="X15" s="9"/>
    </row>
    <row r="16" spans="1:25" x14ac:dyDescent="0.25">
      <c r="A16">
        <f t="shared" si="0"/>
        <v>1</v>
      </c>
      <c r="B16" t="s">
        <v>1084</v>
      </c>
      <c r="C16" t="s">
        <v>144</v>
      </c>
      <c r="D16">
        <v>111</v>
      </c>
      <c r="G16" t="s">
        <v>1105</v>
      </c>
      <c r="H16">
        <v>37</v>
      </c>
      <c r="I16" t="s">
        <v>233</v>
      </c>
      <c r="J16">
        <v>90</v>
      </c>
      <c r="K16">
        <v>3</v>
      </c>
      <c r="X16" s="9"/>
    </row>
    <row r="17" spans="1:24" x14ac:dyDescent="0.25">
      <c r="A17">
        <f t="shared" si="0"/>
        <v>1</v>
      </c>
      <c r="B17" t="s">
        <v>1085</v>
      </c>
      <c r="C17" t="s">
        <v>166</v>
      </c>
      <c r="D17">
        <v>77</v>
      </c>
      <c r="E17" t="s">
        <v>212</v>
      </c>
      <c r="F17">
        <v>5</v>
      </c>
      <c r="H17">
        <v>16</v>
      </c>
      <c r="I17" t="s">
        <v>244</v>
      </c>
      <c r="J17">
        <v>90</v>
      </c>
      <c r="K17">
        <v>2</v>
      </c>
      <c r="X17" s="9"/>
    </row>
    <row r="18" spans="1:24" x14ac:dyDescent="0.25">
      <c r="A18">
        <f t="shared" si="0"/>
        <v>1</v>
      </c>
      <c r="B18" t="s">
        <v>1086</v>
      </c>
      <c r="C18" t="s">
        <v>137</v>
      </c>
      <c r="D18">
        <v>99</v>
      </c>
      <c r="E18" t="s">
        <v>212</v>
      </c>
      <c r="F18">
        <v>10</v>
      </c>
      <c r="H18">
        <v>60</v>
      </c>
      <c r="I18" t="s">
        <v>805</v>
      </c>
      <c r="J18">
        <v>82</v>
      </c>
      <c r="K18">
        <v>1.65</v>
      </c>
      <c r="X18" s="9"/>
    </row>
    <row r="19" spans="1:24" x14ac:dyDescent="0.25">
      <c r="A19">
        <f t="shared" si="0"/>
        <v>1</v>
      </c>
      <c r="B19" t="s">
        <v>1087</v>
      </c>
      <c r="C19" t="s">
        <v>146</v>
      </c>
      <c r="D19">
        <v>58</v>
      </c>
      <c r="H19" s="1"/>
      <c r="X19" s="9"/>
    </row>
    <row r="20" spans="1:24" x14ac:dyDescent="0.25">
      <c r="A20">
        <f t="shared" si="0"/>
        <v>1</v>
      </c>
      <c r="B20" t="s">
        <v>1088</v>
      </c>
      <c r="C20" t="s">
        <v>34</v>
      </c>
      <c r="D20">
        <v>102</v>
      </c>
      <c r="E20" t="s">
        <v>212</v>
      </c>
      <c r="F20">
        <v>10</v>
      </c>
      <c r="H20" s="1">
        <v>51</v>
      </c>
      <c r="I20" t="s">
        <v>462</v>
      </c>
      <c r="J20">
        <v>80</v>
      </c>
      <c r="K20">
        <v>2</v>
      </c>
      <c r="X20" s="9"/>
    </row>
    <row r="21" spans="1:24" x14ac:dyDescent="0.25">
      <c r="A21">
        <f t="shared" si="0"/>
        <v>1</v>
      </c>
      <c r="B21" t="s">
        <v>1089</v>
      </c>
      <c r="C21" t="s">
        <v>142</v>
      </c>
      <c r="D21">
        <v>49</v>
      </c>
      <c r="H21" s="1"/>
      <c r="X21" s="9"/>
    </row>
    <row r="22" spans="1:24" x14ac:dyDescent="0.25">
      <c r="A22">
        <f t="shared" si="0"/>
        <v>1</v>
      </c>
      <c r="B22" t="s">
        <v>1090</v>
      </c>
      <c r="C22" t="s">
        <v>526</v>
      </c>
      <c r="D22">
        <v>50</v>
      </c>
      <c r="H22">
        <v>50</v>
      </c>
      <c r="I22" t="s">
        <v>222</v>
      </c>
      <c r="J22">
        <v>100</v>
      </c>
      <c r="K22">
        <v>1.8</v>
      </c>
      <c r="X22" s="9"/>
    </row>
    <row r="23" spans="1:24" x14ac:dyDescent="0.25">
      <c r="A23">
        <f t="shared" si="0"/>
        <v>1</v>
      </c>
      <c r="B23" t="s">
        <v>1090</v>
      </c>
      <c r="C23" t="s">
        <v>959</v>
      </c>
      <c r="D23">
        <v>90</v>
      </c>
      <c r="H23" s="1">
        <v>25</v>
      </c>
      <c r="I23" t="s">
        <v>244</v>
      </c>
      <c r="J23">
        <v>90</v>
      </c>
      <c r="K23">
        <v>2</v>
      </c>
      <c r="X23" s="9"/>
    </row>
    <row r="24" spans="1:24" x14ac:dyDescent="0.25">
      <c r="A24">
        <f t="shared" si="0"/>
        <v>1</v>
      </c>
      <c r="B24" t="s">
        <v>1091</v>
      </c>
      <c r="C24" t="s">
        <v>142</v>
      </c>
      <c r="D24">
        <v>40</v>
      </c>
      <c r="X24" s="9"/>
    </row>
    <row r="25" spans="1:24" x14ac:dyDescent="0.25">
      <c r="A25">
        <f>COUNTIF($C$94:$C$116,C25)</f>
        <v>1</v>
      </c>
      <c r="B25" t="s">
        <v>1092</v>
      </c>
      <c r="C25" t="s">
        <v>140</v>
      </c>
      <c r="D25">
        <v>34</v>
      </c>
      <c r="E25" t="s">
        <v>212</v>
      </c>
      <c r="F25">
        <v>3</v>
      </c>
      <c r="X25" s="9"/>
    </row>
    <row r="26" spans="1:24" x14ac:dyDescent="0.25">
      <c r="A26">
        <f t="shared" si="0"/>
        <v>1</v>
      </c>
      <c r="B26" t="s">
        <v>1093</v>
      </c>
      <c r="C26" t="s">
        <v>161</v>
      </c>
      <c r="D26">
        <v>96</v>
      </c>
      <c r="E26" t="s">
        <v>212</v>
      </c>
      <c r="G26" t="s">
        <v>1046</v>
      </c>
      <c r="H26">
        <v>48</v>
      </c>
      <c r="I26" t="s">
        <v>244</v>
      </c>
      <c r="J26">
        <v>90</v>
      </c>
      <c r="K26">
        <v>2</v>
      </c>
      <c r="X26" s="9"/>
    </row>
    <row r="27" spans="1:24" x14ac:dyDescent="0.25">
      <c r="A27">
        <f t="shared" si="0"/>
        <v>1</v>
      </c>
      <c r="B27" t="s">
        <v>1093</v>
      </c>
      <c r="C27" t="s">
        <v>166</v>
      </c>
      <c r="D27">
        <v>48</v>
      </c>
      <c r="X27" s="9"/>
    </row>
    <row r="28" spans="1:24" x14ac:dyDescent="0.25">
      <c r="A28">
        <f t="shared" si="0"/>
        <v>0</v>
      </c>
      <c r="X28" s="9"/>
    </row>
    <row r="29" spans="1:24" x14ac:dyDescent="0.25">
      <c r="A29">
        <f t="shared" si="0"/>
        <v>0</v>
      </c>
      <c r="X29" s="9"/>
    </row>
    <row r="30" spans="1:24" hidden="1" x14ac:dyDescent="0.25">
      <c r="A30">
        <f t="shared" si="0"/>
        <v>0</v>
      </c>
      <c r="X30" s="9"/>
    </row>
    <row r="31" spans="1:24" hidden="1" x14ac:dyDescent="0.25">
      <c r="A31">
        <f t="shared" si="0"/>
        <v>0</v>
      </c>
      <c r="X31" s="9"/>
    </row>
    <row r="32" spans="1:24" hidden="1" x14ac:dyDescent="0.25">
      <c r="A32">
        <f t="shared" si="0"/>
        <v>0</v>
      </c>
      <c r="X32" s="9"/>
    </row>
    <row r="33" spans="1:24" hidden="1" x14ac:dyDescent="0.25">
      <c r="A33">
        <f t="shared" si="0"/>
        <v>0</v>
      </c>
      <c r="X33" s="9"/>
    </row>
    <row r="34" spans="1:24" hidden="1" x14ac:dyDescent="0.25">
      <c r="A34">
        <f t="shared" si="0"/>
        <v>0</v>
      </c>
      <c r="X34" s="9"/>
    </row>
    <row r="35" spans="1:24" hidden="1" x14ac:dyDescent="0.25">
      <c r="A35">
        <f t="shared" si="0"/>
        <v>0</v>
      </c>
      <c r="X35" s="9"/>
    </row>
    <row r="36" spans="1:24" hidden="1" x14ac:dyDescent="0.25">
      <c r="A36">
        <f t="shared" si="0"/>
        <v>0</v>
      </c>
      <c r="X36" s="9"/>
    </row>
    <row r="37" spans="1:24" hidden="1" x14ac:dyDescent="0.25">
      <c r="A37">
        <f>COUNTIF($C$94:$C$116,C37)</f>
        <v>0</v>
      </c>
      <c r="X37" s="9"/>
    </row>
    <row r="38" spans="1:24" hidden="1" x14ac:dyDescent="0.25">
      <c r="A38">
        <f t="shared" si="0"/>
        <v>0</v>
      </c>
      <c r="X38" s="9"/>
    </row>
    <row r="39" spans="1:24" hidden="1" x14ac:dyDescent="0.25">
      <c r="A39">
        <f t="shared" si="0"/>
        <v>0</v>
      </c>
      <c r="X39" s="9"/>
    </row>
    <row r="40" spans="1:24" hidden="1" x14ac:dyDescent="0.25">
      <c r="A40">
        <f t="shared" si="0"/>
        <v>0</v>
      </c>
      <c r="X40" s="9"/>
    </row>
    <row r="41" spans="1:24" hidden="1" x14ac:dyDescent="0.25">
      <c r="A41">
        <f t="shared" si="0"/>
        <v>0</v>
      </c>
      <c r="X41" s="9"/>
    </row>
    <row r="42" spans="1:24" hidden="1" x14ac:dyDescent="0.25">
      <c r="A42">
        <f t="shared" si="0"/>
        <v>0</v>
      </c>
      <c r="X42" s="9"/>
    </row>
    <row r="43" spans="1:24" hidden="1" x14ac:dyDescent="0.25">
      <c r="A43">
        <f t="shared" si="0"/>
        <v>0</v>
      </c>
      <c r="X43" s="9"/>
    </row>
    <row r="44" spans="1:24" hidden="1" x14ac:dyDescent="0.25">
      <c r="A44">
        <f t="shared" si="0"/>
        <v>0</v>
      </c>
      <c r="X44" s="9"/>
    </row>
    <row r="45" spans="1:24" hidden="1" x14ac:dyDescent="0.25">
      <c r="A45">
        <f t="shared" si="0"/>
        <v>0</v>
      </c>
      <c r="X45" s="9"/>
    </row>
    <row r="46" spans="1:24" hidden="1" x14ac:dyDescent="0.25">
      <c r="A46">
        <f t="shared" si="0"/>
        <v>0</v>
      </c>
      <c r="X46" s="9"/>
    </row>
    <row r="47" spans="1:24" hidden="1" x14ac:dyDescent="0.25">
      <c r="A47">
        <f t="shared" si="0"/>
        <v>0</v>
      </c>
      <c r="X47" s="9"/>
    </row>
    <row r="48" spans="1:24" hidden="1" x14ac:dyDescent="0.25">
      <c r="A48">
        <f t="shared" si="0"/>
        <v>0</v>
      </c>
      <c r="X48" s="9"/>
    </row>
    <row r="49" spans="1:25" hidden="1" x14ac:dyDescent="0.25">
      <c r="A49">
        <f>COUNTIF($C$94:$C$116,C49)</f>
        <v>0</v>
      </c>
      <c r="B49" s="8"/>
      <c r="H49" s="1"/>
      <c r="X49" s="9"/>
    </row>
    <row r="50" spans="1:25" hidden="1" x14ac:dyDescent="0.25">
      <c r="A50">
        <f t="shared" si="0"/>
        <v>0</v>
      </c>
      <c r="B50" s="8"/>
      <c r="H50" s="1"/>
      <c r="X50" s="9"/>
    </row>
    <row r="51" spans="1:25" hidden="1" x14ac:dyDescent="0.25">
      <c r="A51">
        <f t="shared" si="0"/>
        <v>0</v>
      </c>
      <c r="X51" s="9"/>
    </row>
    <row r="52" spans="1:25" hidden="1" x14ac:dyDescent="0.25">
      <c r="A52">
        <f t="shared" si="0"/>
        <v>0</v>
      </c>
      <c r="X52" s="9"/>
    </row>
    <row r="53" spans="1:25" hidden="1" x14ac:dyDescent="0.25">
      <c r="A53">
        <f t="shared" si="0"/>
        <v>0</v>
      </c>
      <c r="X53" s="9"/>
    </row>
    <row r="54" spans="1:25" hidden="1" x14ac:dyDescent="0.25">
      <c r="A54">
        <f t="shared" si="0"/>
        <v>0</v>
      </c>
      <c r="X54" s="9"/>
    </row>
    <row r="55" spans="1:25" hidden="1" x14ac:dyDescent="0.25">
      <c r="A55">
        <f t="shared" si="0"/>
        <v>0</v>
      </c>
      <c r="X55" s="9"/>
    </row>
    <row r="56" spans="1:25" hidden="1" x14ac:dyDescent="0.25">
      <c r="A56">
        <f t="shared" si="0"/>
        <v>0</v>
      </c>
      <c r="X56" s="9"/>
    </row>
    <row r="57" spans="1:25" hidden="1" x14ac:dyDescent="0.25">
      <c r="A57">
        <f t="shared" si="0"/>
        <v>0</v>
      </c>
      <c r="X57" s="9"/>
    </row>
    <row r="58" spans="1:25" hidden="1" x14ac:dyDescent="0.25">
      <c r="A58">
        <f t="shared" si="0"/>
        <v>0</v>
      </c>
      <c r="X58" s="9"/>
    </row>
    <row r="59" spans="1:25" hidden="1" x14ac:dyDescent="0.25">
      <c r="A59">
        <f t="shared" si="0"/>
        <v>0</v>
      </c>
      <c r="B59" s="8"/>
      <c r="H59" s="1"/>
      <c r="X59" s="9"/>
    </row>
    <row r="60" spans="1:25" hidden="1" x14ac:dyDescent="0.25">
      <c r="A60">
        <f t="shared" si="0"/>
        <v>0</v>
      </c>
      <c r="B60" s="8"/>
      <c r="X60" s="9"/>
    </row>
    <row r="61" spans="1:25" hidden="1" x14ac:dyDescent="0.25">
      <c r="A61">
        <f>COUNTIF($C$94:$C$116,C61)</f>
        <v>0</v>
      </c>
      <c r="B61" s="8"/>
      <c r="X61" s="9"/>
    </row>
    <row r="62" spans="1:25" hidden="1" x14ac:dyDescent="0.25">
      <c r="A62">
        <f t="shared" si="0"/>
        <v>0</v>
      </c>
      <c r="B62" s="8"/>
      <c r="H62" s="1"/>
      <c r="X62" s="9"/>
    </row>
    <row r="63" spans="1:25" hidden="1" x14ac:dyDescent="0.25">
      <c r="A63">
        <f t="shared" si="0"/>
        <v>0</v>
      </c>
      <c r="B63" s="8"/>
      <c r="H63" s="1"/>
      <c r="X63" s="9"/>
    </row>
    <row r="64" spans="1:25" hidden="1" x14ac:dyDescent="0.25">
      <c r="A64">
        <f t="shared" si="0"/>
        <v>0</v>
      </c>
      <c r="B64" s="8"/>
      <c r="H64" s="1"/>
      <c r="X64" s="9"/>
      <c r="Y64" t="s">
        <v>881</v>
      </c>
    </row>
    <row r="65" spans="1:24" hidden="1" x14ac:dyDescent="0.25">
      <c r="A65">
        <f t="shared" si="0"/>
        <v>0</v>
      </c>
      <c r="B65" s="8"/>
      <c r="X65" s="9"/>
    </row>
    <row r="66" spans="1:24" hidden="1" x14ac:dyDescent="0.25">
      <c r="A66">
        <f t="shared" ref="A66:A76" si="1">COUNTIF($C$94:$C$116,C66)</f>
        <v>0</v>
      </c>
      <c r="B66" s="8"/>
      <c r="H66" s="1"/>
      <c r="X66" s="9"/>
    </row>
    <row r="67" spans="1:24" hidden="1" x14ac:dyDescent="0.25">
      <c r="A67">
        <f t="shared" si="1"/>
        <v>0</v>
      </c>
      <c r="B67" s="8"/>
      <c r="H67" s="1"/>
      <c r="X67" s="9"/>
    </row>
    <row r="68" spans="1:24" hidden="1" x14ac:dyDescent="0.25">
      <c r="A68">
        <f t="shared" si="1"/>
        <v>0</v>
      </c>
      <c r="B68" s="8"/>
      <c r="H68" s="1"/>
      <c r="X68" s="9"/>
    </row>
    <row r="69" spans="1:24" hidden="1" x14ac:dyDescent="0.25">
      <c r="A69">
        <f t="shared" si="1"/>
        <v>0</v>
      </c>
      <c r="B69" s="8"/>
      <c r="H69" s="1"/>
      <c r="X69" s="9"/>
    </row>
    <row r="70" spans="1:24" hidden="1" x14ac:dyDescent="0.25">
      <c r="A70">
        <f t="shared" si="1"/>
        <v>0</v>
      </c>
      <c r="B70" s="8"/>
      <c r="H70" s="1"/>
      <c r="X70" s="9"/>
    </row>
    <row r="71" spans="1:24" hidden="1" x14ac:dyDescent="0.25">
      <c r="A71">
        <f t="shared" si="1"/>
        <v>0</v>
      </c>
      <c r="B71" s="8"/>
      <c r="H71" s="1"/>
      <c r="X71" s="9"/>
    </row>
    <row r="72" spans="1:24" hidden="1" x14ac:dyDescent="0.25">
      <c r="A72">
        <f t="shared" si="1"/>
        <v>0</v>
      </c>
      <c r="B72" s="8"/>
      <c r="H72" s="1"/>
      <c r="K72" s="27"/>
      <c r="X72" s="9"/>
    </row>
    <row r="73" spans="1:24" hidden="1" x14ac:dyDescent="0.25">
      <c r="A73">
        <f t="shared" si="1"/>
        <v>0</v>
      </c>
      <c r="B73" s="8"/>
      <c r="H73" s="1"/>
      <c r="X73" s="9"/>
    </row>
    <row r="74" spans="1:24" hidden="1" x14ac:dyDescent="0.25">
      <c r="A74">
        <f t="shared" si="1"/>
        <v>0</v>
      </c>
      <c r="B74" s="8"/>
      <c r="H74" s="1"/>
      <c r="X74" s="9"/>
    </row>
    <row r="75" spans="1:24" hidden="1" x14ac:dyDescent="0.25">
      <c r="A75">
        <f t="shared" si="1"/>
        <v>0</v>
      </c>
      <c r="B75" s="8"/>
      <c r="H75" s="1"/>
      <c r="X75" s="9"/>
    </row>
    <row r="76" spans="1:24" hidden="1" x14ac:dyDescent="0.25">
      <c r="A76">
        <f t="shared" si="1"/>
        <v>0</v>
      </c>
      <c r="B76" s="8"/>
      <c r="H76" s="1"/>
      <c r="X76" s="9"/>
    </row>
    <row r="77" spans="1:24" x14ac:dyDescent="0.25">
      <c r="B77" s="8"/>
      <c r="H77" s="1"/>
      <c r="X77" s="9"/>
    </row>
    <row r="78" spans="1:24" x14ac:dyDescent="0.25">
      <c r="B78" s="8"/>
      <c r="H78" s="1"/>
      <c r="X78" s="9"/>
    </row>
    <row r="79" spans="1:24" x14ac:dyDescent="0.25">
      <c r="B79" s="8"/>
      <c r="H79" s="1"/>
      <c r="X79" s="9"/>
    </row>
    <row r="80" spans="1:24" x14ac:dyDescent="0.25">
      <c r="B80" s="10"/>
      <c r="C80" s="11"/>
      <c r="D80" s="11"/>
      <c r="E80" s="11"/>
      <c r="F80" s="11"/>
      <c r="G80" s="11"/>
      <c r="H80" s="28"/>
      <c r="I80" s="11"/>
      <c r="J80" s="11"/>
      <c r="K80" s="11"/>
      <c r="L80" s="11"/>
      <c r="M80" s="11"/>
      <c r="N80" s="11"/>
      <c r="O80" s="11"/>
      <c r="P80" s="11"/>
      <c r="Q80" s="11"/>
      <c r="R80" s="11"/>
      <c r="S80" s="11"/>
      <c r="T80" s="11"/>
      <c r="U80" s="11"/>
      <c r="V80" s="11"/>
      <c r="W80" s="11"/>
      <c r="X80" s="12"/>
    </row>
    <row r="81" spans="2:20" x14ac:dyDescent="0.25">
      <c r="H81" s="1"/>
    </row>
    <row r="82" spans="2:20" x14ac:dyDescent="0.25">
      <c r="B82" s="2"/>
      <c r="H82" s="1"/>
    </row>
    <row r="83" spans="2:20" x14ac:dyDescent="0.25">
      <c r="B83" s="2"/>
      <c r="H83" s="1"/>
    </row>
    <row r="85" spans="2:20" x14ac:dyDescent="0.25">
      <c r="C85" s="5" t="s">
        <v>150</v>
      </c>
      <c r="D85" s="6" t="s">
        <v>91</v>
      </c>
      <c r="E85" s="6" t="s">
        <v>130</v>
      </c>
      <c r="F85" s="6"/>
      <c r="G85" s="7" t="s">
        <v>395</v>
      </c>
      <c r="I85" s="13" t="s">
        <v>124</v>
      </c>
      <c r="J85" s="14"/>
      <c r="K85" s="14"/>
      <c r="L85" s="14" t="s">
        <v>135</v>
      </c>
      <c r="M85" s="14" t="s">
        <v>375</v>
      </c>
      <c r="N85" s="15" t="s">
        <v>130</v>
      </c>
      <c r="P85" s="13" t="s">
        <v>124</v>
      </c>
      <c r="Q85" s="14"/>
      <c r="R85" s="14"/>
      <c r="S85" s="14" t="s">
        <v>135</v>
      </c>
      <c r="T85" s="15" t="s">
        <v>375</v>
      </c>
    </row>
    <row r="86" spans="2:20" x14ac:dyDescent="0.25">
      <c r="C86" s="8" t="s">
        <v>392</v>
      </c>
      <c r="D86" s="1">
        <f>SUM(M86:M89,T86:T89)</f>
        <v>614</v>
      </c>
      <c r="E86">
        <f>SUM(D2:D80)</f>
        <v>1990</v>
      </c>
      <c r="G86" s="23">
        <f>E86/D86</f>
        <v>3.2410423452768731</v>
      </c>
      <c r="I86" s="8" t="s">
        <v>255</v>
      </c>
      <c r="L86">
        <f>COUNTIF(K1:K82,"&lt;2")</f>
        <v>2</v>
      </c>
      <c r="M86" s="1">
        <f>SUMIF(K1:K82,"&lt;2",H1:H82)</f>
        <v>110</v>
      </c>
      <c r="N86" s="9">
        <f>SUMIF(K1:K82,"&lt;2",D1:D82)</f>
        <v>149</v>
      </c>
      <c r="P86" s="8" t="s">
        <v>255</v>
      </c>
      <c r="S86">
        <f>COUNTIF(R1:R82,"&lt;2")</f>
        <v>0</v>
      </c>
      <c r="T86" s="9">
        <f>SUMIF(R1:R82,"&lt;2",K1:K82)</f>
        <v>0</v>
      </c>
    </row>
    <row r="87" spans="2:20" x14ac:dyDescent="0.25">
      <c r="C87" s="8" t="s">
        <v>125</v>
      </c>
      <c r="D87">
        <f>COUNT(D28:D80)</f>
        <v>0</v>
      </c>
      <c r="G87" s="9"/>
      <c r="I87" s="8" t="s">
        <v>133</v>
      </c>
      <c r="L87">
        <f>COUNTIF(K49:K83,"&lt;3")-L86</f>
        <v>-2</v>
      </c>
      <c r="M87" s="1">
        <f>SUMIF(K1:K79,"&lt;3",H1:H79)-M86</f>
        <v>218</v>
      </c>
      <c r="N87" s="9">
        <f>SUMIF(K1:K79,"&lt;3",D1:D79)</f>
        <v>670</v>
      </c>
      <c r="P87" s="8" t="s">
        <v>133</v>
      </c>
      <c r="S87">
        <f>COUNTIF(R5:R83,"&lt;3")-S86</f>
        <v>0</v>
      </c>
      <c r="T87" s="9">
        <f>SUMIF(R1:R79,"&lt;3",O1:O79)-T86</f>
        <v>0</v>
      </c>
    </row>
    <row r="88" spans="2:20" x14ac:dyDescent="0.25">
      <c r="C88" s="8" t="s">
        <v>386</v>
      </c>
      <c r="D88">
        <f>COUNTIF(E28:E80,"AOM5000")</f>
        <v>0</v>
      </c>
      <c r="E88">
        <f>SUMIF(E28:E77,"AOM5000",D28:D77)</f>
        <v>0</v>
      </c>
      <c r="F88" t="s">
        <v>396</v>
      </c>
      <c r="G88" s="21" t="e">
        <f>AVERAGEIF(E1:E79,"AOM5000",F1:F79)</f>
        <v>#DIV/0!</v>
      </c>
      <c r="I88" s="8" t="s">
        <v>132</v>
      </c>
      <c r="L88">
        <f>COUNTIF(K49:K83,"&lt;4")-L87-L86</f>
        <v>0</v>
      </c>
      <c r="M88" s="1">
        <f>SUMIF(K1:K79,"&lt;4",H1:H79)-M87-M86</f>
        <v>286</v>
      </c>
      <c r="N88" s="9">
        <f>SUMIF(K1:K79,"&lt;4",D1:D79)-N87</f>
        <v>858</v>
      </c>
      <c r="P88" s="8" t="s">
        <v>132</v>
      </c>
      <c r="S88">
        <f>COUNTIF(R5:R83,"&lt;4")-S87-S86</f>
        <v>0</v>
      </c>
      <c r="T88" s="9">
        <f>SUMIF(R1:R79,"&lt;4",O1:O79)-T87</f>
        <v>0</v>
      </c>
    </row>
    <row r="89" spans="2:20" x14ac:dyDescent="0.25">
      <c r="C89" s="8" t="s">
        <v>387</v>
      </c>
      <c r="D89">
        <f>COUNTIF(E1:E79,"AOM4000")</f>
        <v>0</v>
      </c>
      <c r="E89">
        <f>SUMIF(E28:E77,"AOM4000",D28:D77)</f>
        <v>0</v>
      </c>
      <c r="F89" t="s">
        <v>397</v>
      </c>
      <c r="G89" s="21" t="e">
        <f>AVERAGEIF(E1:E79,"AOM4000",F1:F79)</f>
        <v>#DIV/0!</v>
      </c>
      <c r="I89" s="8" t="s">
        <v>134</v>
      </c>
      <c r="L89">
        <f>COUNTIF(K49:K83,"&lt;5")-L88-L87-L86</f>
        <v>0</v>
      </c>
      <c r="M89" s="1">
        <f>SUMIF(K1:K79,"&lt;6",H1:H79)-M88-M87-M86</f>
        <v>0</v>
      </c>
      <c r="N89" s="9">
        <f>SUMIF(K1:K79,"&lt;5",D1:D79)-N88-N87</f>
        <v>0</v>
      </c>
      <c r="P89" s="8" t="s">
        <v>134</v>
      </c>
      <c r="S89">
        <f>COUNTIF(R5:R83,"&lt;5")-S88-S87-S86</f>
        <v>0</v>
      </c>
      <c r="T89" s="9">
        <f>SUMIF(R5:R83,"&lt;5",O5:O83)-T88-T87</f>
        <v>0</v>
      </c>
    </row>
    <row r="90" spans="2:20" x14ac:dyDescent="0.25">
      <c r="C90" s="8" t="s">
        <v>390</v>
      </c>
      <c r="D90" s="18" t="e">
        <f>D88/(D89+D88)*100</f>
        <v>#DIV/0!</v>
      </c>
      <c r="E90" s="18" t="e">
        <f>E88/(E89+E88)*100</f>
        <v>#DIV/0!</v>
      </c>
      <c r="G90" s="9"/>
      <c r="I90" s="8"/>
      <c r="N90" s="9"/>
      <c r="P90" s="8"/>
      <c r="T90" s="9"/>
    </row>
    <row r="91" spans="2:20" x14ac:dyDescent="0.25">
      <c r="C91" s="16" t="s">
        <v>128</v>
      </c>
      <c r="D91" s="22" t="e">
        <f>D88/D87*100</f>
        <v>#DIV/0!</v>
      </c>
      <c r="E91" s="22">
        <f>E88/E86*100</f>
        <v>0</v>
      </c>
      <c r="F91" s="11"/>
      <c r="G91" s="12"/>
      <c r="I91" s="8" t="s">
        <v>136</v>
      </c>
      <c r="L91">
        <f>COUNTA(L1:L79)</f>
        <v>1</v>
      </c>
      <c r="N91" s="9"/>
      <c r="P91" s="10" t="s">
        <v>136</v>
      </c>
      <c r="Q91" s="11"/>
      <c r="R91" s="11"/>
      <c r="S91" s="11">
        <f>COUNTA(S5:S83)</f>
        <v>0</v>
      </c>
      <c r="T91" s="12"/>
    </row>
    <row r="92" spans="2:20" x14ac:dyDescent="0.25">
      <c r="F92" t="s">
        <v>388</v>
      </c>
      <c r="I92" s="10"/>
      <c r="J92" s="11"/>
      <c r="K92" s="11"/>
      <c r="L92" s="11"/>
      <c r="M92" s="11"/>
      <c r="N92" s="12"/>
    </row>
    <row r="93" spans="2:20" x14ac:dyDescent="0.25">
      <c r="C93" s="5" t="s">
        <v>149</v>
      </c>
      <c r="D93" s="6" t="s">
        <v>135</v>
      </c>
      <c r="E93" s="7" t="s">
        <v>130</v>
      </c>
      <c r="F93" s="5" t="s">
        <v>93</v>
      </c>
      <c r="G93" s="7" t="s">
        <v>94</v>
      </c>
    </row>
    <row r="94" spans="2:20" x14ac:dyDescent="0.25">
      <c r="B94" s="18">
        <f>E94/$E$86*100</f>
        <v>0</v>
      </c>
      <c r="C94" s="8" t="s">
        <v>20</v>
      </c>
      <c r="D94">
        <f t="shared" ref="D94:D116" si="2">COUNTIF(C$1:C$79,C94)</f>
        <v>0</v>
      </c>
      <c r="E94" s="9">
        <f t="shared" ref="E94:E116" si="3">SUMIF(C$1:C$79,C94,D$1:D$79)</f>
        <v>0</v>
      </c>
      <c r="F94" s="8">
        <f t="shared" ref="F94:F116" si="4">SUMIFS($D$1:$D$77,$C$1:$C$77,C94,$E$1:$E$77,$F$93)</f>
        <v>0</v>
      </c>
      <c r="G94" s="9" t="e">
        <f t="shared" ref="G94:G116" si="5">SUMIFS($D$28:$D$78,$C$7:$C$78,C94,$E$28:$E$78,$G$93)</f>
        <v>#VALUE!</v>
      </c>
      <c r="I94" s="5" t="s">
        <v>376</v>
      </c>
      <c r="J94" s="6"/>
      <c r="K94" s="6"/>
      <c r="L94" s="7" t="s">
        <v>377</v>
      </c>
    </row>
    <row r="95" spans="2:20" x14ac:dyDescent="0.25">
      <c r="B95" s="18">
        <f t="shared" ref="B95:B116" si="6">E95/$E$86*100</f>
        <v>12.462311557788945</v>
      </c>
      <c r="C95" s="8" t="s">
        <v>142</v>
      </c>
      <c r="D95">
        <f t="shared" si="2"/>
        <v>5</v>
      </c>
      <c r="E95" s="9">
        <f t="shared" si="3"/>
        <v>248</v>
      </c>
      <c r="F95" s="8">
        <f t="shared" si="4"/>
        <v>0</v>
      </c>
      <c r="G95" s="9" t="e">
        <f t="shared" si="5"/>
        <v>#VALUE!</v>
      </c>
      <c r="I95" t="s">
        <v>868</v>
      </c>
      <c r="L95" s="19">
        <f t="shared" ref="L95:L104" si="7">SUMIF(I$1:I$79,I95,H$1:H$79)+SUMIF(P$1:P$79,I95,O$1:O$79)</f>
        <v>0</v>
      </c>
    </row>
    <row r="96" spans="2:20" x14ac:dyDescent="0.25">
      <c r="B96" s="18">
        <f t="shared" si="6"/>
        <v>4.1206030150753765</v>
      </c>
      <c r="C96" s="8" t="s">
        <v>1095</v>
      </c>
      <c r="D96">
        <f t="shared" si="2"/>
        <v>1</v>
      </c>
      <c r="E96" s="9">
        <f t="shared" si="3"/>
        <v>82</v>
      </c>
      <c r="F96" s="8">
        <f t="shared" si="4"/>
        <v>0</v>
      </c>
      <c r="G96" s="9" t="e">
        <f t="shared" si="5"/>
        <v>#VALUE!</v>
      </c>
      <c r="I96" s="8" t="s">
        <v>462</v>
      </c>
      <c r="L96" s="19">
        <f t="shared" si="7"/>
        <v>88</v>
      </c>
    </row>
    <row r="97" spans="2:12" x14ac:dyDescent="0.25">
      <c r="B97" s="18">
        <f t="shared" si="6"/>
        <v>1.7085427135678393</v>
      </c>
      <c r="C97" s="8" t="s">
        <v>140</v>
      </c>
      <c r="D97">
        <f t="shared" si="2"/>
        <v>1</v>
      </c>
      <c r="E97" s="9">
        <f t="shared" si="3"/>
        <v>34</v>
      </c>
      <c r="F97" s="8">
        <f t="shared" si="4"/>
        <v>0</v>
      </c>
      <c r="G97" s="9" t="e">
        <f t="shared" si="5"/>
        <v>#VALUE!</v>
      </c>
      <c r="I97" s="8" t="s">
        <v>244</v>
      </c>
      <c r="L97" s="19">
        <f t="shared" si="7"/>
        <v>130</v>
      </c>
    </row>
    <row r="98" spans="2:12" x14ac:dyDescent="0.25">
      <c r="B98" s="18">
        <f t="shared" si="6"/>
        <v>5.5778894472361813</v>
      </c>
      <c r="C98" s="8" t="s">
        <v>144</v>
      </c>
      <c r="D98">
        <f t="shared" si="2"/>
        <v>1</v>
      </c>
      <c r="E98" s="9">
        <f t="shared" si="3"/>
        <v>111</v>
      </c>
      <c r="F98" s="8">
        <f t="shared" si="4"/>
        <v>0</v>
      </c>
      <c r="G98" s="9" t="e">
        <f t="shared" si="5"/>
        <v>#VALUE!</v>
      </c>
      <c r="I98" s="8" t="s">
        <v>233</v>
      </c>
      <c r="L98" s="19">
        <f t="shared" si="7"/>
        <v>286</v>
      </c>
    </row>
    <row r="99" spans="2:12" x14ac:dyDescent="0.25">
      <c r="B99" s="18">
        <f t="shared" si="6"/>
        <v>24.070351758793969</v>
      </c>
      <c r="C99" s="8" t="s">
        <v>526</v>
      </c>
      <c r="D99">
        <f t="shared" si="2"/>
        <v>3</v>
      </c>
      <c r="E99" s="9">
        <f t="shared" si="3"/>
        <v>479</v>
      </c>
      <c r="F99" s="8">
        <f t="shared" si="4"/>
        <v>0</v>
      </c>
      <c r="G99" s="9" t="e">
        <f t="shared" si="5"/>
        <v>#VALUE!</v>
      </c>
      <c r="I99" s="8" t="s">
        <v>806</v>
      </c>
      <c r="L99" s="19">
        <f t="shared" si="7"/>
        <v>0</v>
      </c>
    </row>
    <row r="100" spans="2:12" x14ac:dyDescent="0.25">
      <c r="B100" s="18">
        <f t="shared" si="6"/>
        <v>3.4673366834170856</v>
      </c>
      <c r="C100" s="8" t="s">
        <v>45</v>
      </c>
      <c r="D100">
        <f t="shared" si="2"/>
        <v>1</v>
      </c>
      <c r="E100" s="9">
        <f t="shared" si="3"/>
        <v>69</v>
      </c>
      <c r="F100" s="8">
        <f t="shared" si="4"/>
        <v>0</v>
      </c>
      <c r="G100" s="9" t="e">
        <f t="shared" si="5"/>
        <v>#VALUE!</v>
      </c>
      <c r="I100" s="8" t="s">
        <v>222</v>
      </c>
      <c r="L100" s="19">
        <f t="shared" si="7"/>
        <v>50</v>
      </c>
    </row>
    <row r="101" spans="2:12" x14ac:dyDescent="0.25">
      <c r="B101" s="18">
        <f t="shared" si="6"/>
        <v>0</v>
      </c>
      <c r="C101" s="8" t="s">
        <v>165</v>
      </c>
      <c r="D101">
        <f t="shared" si="2"/>
        <v>0</v>
      </c>
      <c r="E101" s="9">
        <f t="shared" si="3"/>
        <v>0</v>
      </c>
      <c r="F101" s="8">
        <f t="shared" si="4"/>
        <v>0</v>
      </c>
      <c r="G101" s="9" t="e">
        <f t="shared" si="5"/>
        <v>#VALUE!</v>
      </c>
      <c r="I101" s="8" t="s">
        <v>113</v>
      </c>
      <c r="L101" s="19">
        <f t="shared" si="7"/>
        <v>0</v>
      </c>
    </row>
    <row r="102" spans="2:12" x14ac:dyDescent="0.25">
      <c r="B102" s="18">
        <f t="shared" si="6"/>
        <v>4.5226130653266337</v>
      </c>
      <c r="C102" s="8" t="s">
        <v>959</v>
      </c>
      <c r="D102">
        <f t="shared" si="2"/>
        <v>1</v>
      </c>
      <c r="E102" s="9">
        <f t="shared" si="3"/>
        <v>90</v>
      </c>
      <c r="F102" s="8">
        <f t="shared" si="4"/>
        <v>0</v>
      </c>
      <c r="G102" s="9" t="e">
        <f t="shared" si="5"/>
        <v>#VALUE!</v>
      </c>
      <c r="I102" s="8" t="s">
        <v>321</v>
      </c>
      <c r="L102" s="19">
        <f t="shared" si="7"/>
        <v>0</v>
      </c>
    </row>
    <row r="103" spans="2:12" x14ac:dyDescent="0.25">
      <c r="B103" s="18">
        <f t="shared" si="6"/>
        <v>7.3869346733668335</v>
      </c>
      <c r="C103" s="8" t="s">
        <v>161</v>
      </c>
      <c r="D103">
        <f t="shared" si="2"/>
        <v>2</v>
      </c>
      <c r="E103" s="9">
        <f t="shared" si="3"/>
        <v>147</v>
      </c>
      <c r="F103" s="8">
        <f t="shared" si="4"/>
        <v>0</v>
      </c>
      <c r="G103" s="9" t="e">
        <f t="shared" si="5"/>
        <v>#VALUE!</v>
      </c>
      <c r="I103" s="8" t="s">
        <v>805</v>
      </c>
      <c r="J103" s="11"/>
      <c r="K103" s="11"/>
      <c r="L103" s="19">
        <f t="shared" si="7"/>
        <v>60</v>
      </c>
    </row>
    <row r="104" spans="2:12" x14ac:dyDescent="0.25">
      <c r="B104" s="18">
        <f t="shared" si="6"/>
        <v>1.2060301507537687</v>
      </c>
      <c r="C104" s="8" t="s">
        <v>1094</v>
      </c>
      <c r="D104">
        <f t="shared" si="2"/>
        <v>1</v>
      </c>
      <c r="E104" s="9">
        <f t="shared" si="3"/>
        <v>24</v>
      </c>
      <c r="F104" s="8">
        <f t="shared" si="4"/>
        <v>0</v>
      </c>
      <c r="G104" s="9" t="e">
        <f t="shared" si="5"/>
        <v>#VALUE!</v>
      </c>
      <c r="I104" s="8" t="s">
        <v>92</v>
      </c>
      <c r="J104" s="11"/>
      <c r="K104" s="11"/>
      <c r="L104" s="19">
        <f t="shared" si="7"/>
        <v>0</v>
      </c>
    </row>
    <row r="105" spans="2:12" x14ac:dyDescent="0.25">
      <c r="B105" s="18">
        <f t="shared" si="6"/>
        <v>0</v>
      </c>
      <c r="C105" s="8" t="s">
        <v>852</v>
      </c>
      <c r="D105">
        <f t="shared" si="2"/>
        <v>0</v>
      </c>
      <c r="E105" s="9">
        <f t="shared" si="3"/>
        <v>0</v>
      </c>
      <c r="F105" s="8">
        <f t="shared" si="4"/>
        <v>0</v>
      </c>
      <c r="G105" s="9" t="e">
        <f t="shared" si="5"/>
        <v>#VALUE!</v>
      </c>
      <c r="L105" s="1"/>
    </row>
    <row r="106" spans="2:12" x14ac:dyDescent="0.25">
      <c r="B106" s="18">
        <f t="shared" si="6"/>
        <v>6.2814070351758788</v>
      </c>
      <c r="C106" s="8" t="s">
        <v>166</v>
      </c>
      <c r="D106">
        <f t="shared" si="2"/>
        <v>2</v>
      </c>
      <c r="E106" s="9">
        <f t="shared" si="3"/>
        <v>125</v>
      </c>
      <c r="F106" s="8">
        <f t="shared" si="4"/>
        <v>0</v>
      </c>
      <c r="G106" s="9" t="e">
        <f t="shared" si="5"/>
        <v>#VALUE!</v>
      </c>
      <c r="L106" s="1"/>
    </row>
    <row r="107" spans="2:12" x14ac:dyDescent="0.25">
      <c r="B107" s="18">
        <f t="shared" si="6"/>
        <v>5.125628140703518</v>
      </c>
      <c r="C107" s="8" t="s">
        <v>34</v>
      </c>
      <c r="D107">
        <f t="shared" si="2"/>
        <v>1</v>
      </c>
      <c r="E107" s="9">
        <f t="shared" si="3"/>
        <v>102</v>
      </c>
      <c r="F107" s="8">
        <f t="shared" si="4"/>
        <v>0</v>
      </c>
      <c r="G107" s="9" t="e">
        <f t="shared" si="5"/>
        <v>#VALUE!</v>
      </c>
      <c r="L107" s="1"/>
    </row>
    <row r="108" spans="2:12" x14ac:dyDescent="0.25">
      <c r="B108" s="18">
        <f t="shared" si="6"/>
        <v>0</v>
      </c>
      <c r="C108" s="8" t="s">
        <v>835</v>
      </c>
      <c r="D108">
        <f t="shared" si="2"/>
        <v>0</v>
      </c>
      <c r="E108" s="9">
        <f t="shared" si="3"/>
        <v>0</v>
      </c>
      <c r="F108" s="8">
        <f t="shared" si="4"/>
        <v>0</v>
      </c>
      <c r="G108" s="9" t="e">
        <f t="shared" si="5"/>
        <v>#VALUE!</v>
      </c>
      <c r="L108" s="1"/>
    </row>
    <row r="109" spans="2:12" x14ac:dyDescent="0.25">
      <c r="B109" s="18">
        <f t="shared" si="6"/>
        <v>1.6582914572864322</v>
      </c>
      <c r="C109" s="8" t="s">
        <v>176</v>
      </c>
      <c r="D109">
        <f t="shared" si="2"/>
        <v>1</v>
      </c>
      <c r="E109" s="9">
        <f t="shared" si="3"/>
        <v>33</v>
      </c>
      <c r="F109" s="8">
        <f t="shared" si="4"/>
        <v>0</v>
      </c>
      <c r="G109" s="9" t="e">
        <f t="shared" si="5"/>
        <v>#VALUE!</v>
      </c>
      <c r="L109" s="1"/>
    </row>
    <row r="110" spans="2:12" x14ac:dyDescent="0.25">
      <c r="B110" s="18">
        <f t="shared" si="6"/>
        <v>0</v>
      </c>
      <c r="C110" s="8" t="s">
        <v>901</v>
      </c>
      <c r="D110">
        <f t="shared" si="2"/>
        <v>0</v>
      </c>
      <c r="E110" s="9">
        <f t="shared" si="3"/>
        <v>0</v>
      </c>
      <c r="F110" s="8">
        <f t="shared" si="4"/>
        <v>0</v>
      </c>
      <c r="G110" s="9" t="e">
        <f t="shared" si="5"/>
        <v>#VALUE!</v>
      </c>
    </row>
    <row r="111" spans="2:12" x14ac:dyDescent="0.25">
      <c r="B111" s="18">
        <f t="shared" si="6"/>
        <v>0</v>
      </c>
      <c r="C111" s="8" t="s">
        <v>141</v>
      </c>
      <c r="D111">
        <f t="shared" si="2"/>
        <v>0</v>
      </c>
      <c r="E111" s="9">
        <f t="shared" si="3"/>
        <v>0</v>
      </c>
      <c r="F111" s="8">
        <f t="shared" si="4"/>
        <v>0</v>
      </c>
      <c r="G111" s="9" t="e">
        <f t="shared" si="5"/>
        <v>#VALUE!</v>
      </c>
    </row>
    <row r="112" spans="2:12" x14ac:dyDescent="0.25">
      <c r="B112" s="18">
        <f t="shared" si="6"/>
        <v>1.2060301507537687</v>
      </c>
      <c r="C112" s="8" t="s">
        <v>206</v>
      </c>
      <c r="D112">
        <f t="shared" si="2"/>
        <v>1</v>
      </c>
      <c r="E112" s="9">
        <f t="shared" si="3"/>
        <v>24</v>
      </c>
      <c r="F112" s="8">
        <f t="shared" si="4"/>
        <v>0</v>
      </c>
      <c r="G112" s="9" t="e">
        <f t="shared" si="5"/>
        <v>#VALUE!</v>
      </c>
    </row>
    <row r="113" spans="2:7" x14ac:dyDescent="0.25">
      <c r="B113" s="18">
        <f t="shared" si="6"/>
        <v>7.9396984924623117</v>
      </c>
      <c r="C113" s="8" t="s">
        <v>146</v>
      </c>
      <c r="D113">
        <f t="shared" si="2"/>
        <v>3</v>
      </c>
      <c r="E113" s="9">
        <f t="shared" si="3"/>
        <v>158</v>
      </c>
      <c r="F113" s="8">
        <f t="shared" si="4"/>
        <v>0</v>
      </c>
      <c r="G113" s="9" t="e">
        <f t="shared" si="5"/>
        <v>#VALUE!</v>
      </c>
    </row>
    <row r="114" spans="2:7" x14ac:dyDescent="0.25">
      <c r="B114" s="18">
        <f t="shared" si="6"/>
        <v>4.9748743718592969</v>
      </c>
      <c r="C114" s="8" t="s">
        <v>137</v>
      </c>
      <c r="D114">
        <f t="shared" si="2"/>
        <v>1</v>
      </c>
      <c r="E114" s="9">
        <f t="shared" si="3"/>
        <v>99</v>
      </c>
      <c r="F114" s="8">
        <f t="shared" si="4"/>
        <v>0</v>
      </c>
      <c r="G114" s="9" t="e">
        <f t="shared" si="5"/>
        <v>#VALUE!</v>
      </c>
    </row>
    <row r="115" spans="2:7" x14ac:dyDescent="0.25">
      <c r="B115" s="18">
        <f t="shared" si="6"/>
        <v>8.291457286432161</v>
      </c>
      <c r="C115" s="8" t="s">
        <v>320</v>
      </c>
      <c r="D115">
        <f t="shared" si="2"/>
        <v>1</v>
      </c>
      <c r="E115" s="9">
        <f t="shared" si="3"/>
        <v>165</v>
      </c>
      <c r="F115" s="8">
        <f t="shared" si="4"/>
        <v>0</v>
      </c>
      <c r="G115" s="9" t="e">
        <f t="shared" si="5"/>
        <v>#VALUE!</v>
      </c>
    </row>
    <row r="116" spans="2:7" x14ac:dyDescent="0.25">
      <c r="B116" s="18">
        <f t="shared" si="6"/>
        <v>0</v>
      </c>
      <c r="C116" s="10" t="s">
        <v>628</v>
      </c>
      <c r="D116">
        <f t="shared" si="2"/>
        <v>0</v>
      </c>
      <c r="E116" s="9">
        <f t="shared" si="3"/>
        <v>0</v>
      </c>
      <c r="F116" s="10">
        <f t="shared" si="4"/>
        <v>0</v>
      </c>
      <c r="G116" s="12" t="e">
        <f t="shared" si="5"/>
        <v>#VALUE!</v>
      </c>
    </row>
    <row r="117" spans="2:7" x14ac:dyDescent="0.25">
      <c r="B117" s="18">
        <f>SUM(B94:B116)</f>
        <v>100</v>
      </c>
      <c r="E117" s="9">
        <f>SUM(E94:E116)</f>
        <v>1990</v>
      </c>
      <c r="F117" s="8">
        <f>SUM(F94:F114)</f>
        <v>0</v>
      </c>
      <c r="G117" s="9" t="e">
        <f>SUM(G94:G114)</f>
        <v>#VALUE!</v>
      </c>
    </row>
    <row r="118" spans="2:7" x14ac:dyDescent="0.25">
      <c r="E118" s="9">
        <f>E86-E117</f>
        <v>0</v>
      </c>
      <c r="F118" s="10" t="s">
        <v>389</v>
      </c>
      <c r="G118" s="12" t="e">
        <f>E86-F117-G117</f>
        <v>#VALUE!</v>
      </c>
    </row>
    <row r="120" spans="2:7" x14ac:dyDescent="0.25">
      <c r="C120" s="13"/>
      <c r="D120" s="14" t="s">
        <v>93</v>
      </c>
      <c r="E120" s="15" t="s">
        <v>94</v>
      </c>
    </row>
    <row r="121" spans="2:7" x14ac:dyDescent="0.25">
      <c r="C121" s="8" t="s">
        <v>402</v>
      </c>
      <c r="D121">
        <f>SUMIFS($D$49:$D$82,$E$49:$E$82,D$120,$F$49:$F$82,"&lt;5.1")</f>
        <v>0</v>
      </c>
      <c r="E121" s="9">
        <f>SUMIFS($D$49:$D$82,$E$49:$E$82,E$120,$F$49:$F$82,"&lt;5.1")</f>
        <v>0</v>
      </c>
    </row>
    <row r="122" spans="2:7" x14ac:dyDescent="0.25">
      <c r="C122" s="29" t="s">
        <v>403</v>
      </c>
      <c r="D122">
        <f>SUMIFS($D$49:$D$82,$E$49:$E$82,D$120,$F$49:$F$82,"&lt;10.1")-D121</f>
        <v>0</v>
      </c>
      <c r="E122" s="9">
        <f>SUMIFS($D$49:$D$82,$E$49:$E$82,E$120,$F$49:$F$82,"&lt;10.1")-E121</f>
        <v>0</v>
      </c>
    </row>
    <row r="123" spans="2:7" x14ac:dyDescent="0.25">
      <c r="C123" s="29" t="s">
        <v>404</v>
      </c>
      <c r="D123">
        <f>SUMIFS($D$49:$D$82,$E$49:$E$82,D$120,$F$49:$F$82,"&lt;15.1")-D122-D121</f>
        <v>0</v>
      </c>
      <c r="E123" s="9">
        <f>SUMIFS($D$49:$D$82,$E$49:$E$82,E$120,$F$49:$F$82,"&lt;15.1")-E122-E121</f>
        <v>0</v>
      </c>
    </row>
    <row r="124" spans="2:7" x14ac:dyDescent="0.25">
      <c r="C124" s="29" t="s">
        <v>102</v>
      </c>
      <c r="D124">
        <f>SUMIFS($D$49:$D$82,$E$49:$E$82,D$120,$F$49:$F$82,"&lt;20.1")-D123-D122-D121</f>
        <v>0</v>
      </c>
      <c r="E124" s="9">
        <f>SUMIFS($D$49:$D$82,$E$49:$E$82,E$120,$F$49:$F$82,"&lt;20.1")-E123-E122-E121</f>
        <v>0</v>
      </c>
    </row>
    <row r="125" spans="2:7" x14ac:dyDescent="0.25">
      <c r="C125" s="8" t="s">
        <v>405</v>
      </c>
      <c r="D125">
        <f>SUMIFS($D$49:$D$82,$E$49:$E$82,D$120,$F$49:$F$82,"&lt;40.1")-D124-D123-D122-D121</f>
        <v>0</v>
      </c>
      <c r="E125" s="9">
        <f>SUMIFS($D$49:$D$82,$E$49:$E$82,E$120,$F$49:$F$82,"&lt;40.1")-E124-E123-E122-E121</f>
        <v>0</v>
      </c>
    </row>
    <row r="126" spans="2:7" x14ac:dyDescent="0.25">
      <c r="C126" s="10" t="s">
        <v>406</v>
      </c>
      <c r="D126" s="11">
        <f>E89-SUM(D121:D125)</f>
        <v>0</v>
      </c>
      <c r="E126" s="12">
        <f>E88-SUM(E121:E125)</f>
        <v>0</v>
      </c>
    </row>
  </sheetData>
  <pageMargins left="0.7" right="0.7" top="0.75" bottom="0.75" header="0.3" footer="0.3"/>
  <pageSetup paperSize="9" orientation="portrait" r:id="rId1"/>
  <headerFooter>
    <oddFooter>&amp;L&amp;1#&amp;"Arial"&amp;8&amp;KD5DAD9</oddFooter>
  </headerFooter>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126"/>
  <sheetViews>
    <sheetView zoomScale="70" zoomScaleNormal="70" workbookViewId="0">
      <selection activeCell="B2" sqref="B2:Y28"/>
    </sheetView>
  </sheetViews>
  <sheetFormatPr defaultRowHeight="15" x14ac:dyDescent="0.25"/>
  <cols>
    <col min="2" max="9" width="13.7109375" customWidth="1"/>
    <col min="10" max="10" width="1.7109375" customWidth="1"/>
    <col min="11" max="11" width="2.140625" customWidth="1"/>
    <col min="12" max="13" width="12" bestFit="1" customWidth="1"/>
    <col min="14" max="14" width="12" customWidth="1"/>
    <col min="15" max="15" width="4.140625" customWidth="1"/>
    <col min="16" max="16" width="15.140625" customWidth="1"/>
    <col min="17" max="17" width="2.28515625" customWidth="1"/>
    <col min="18" max="18" width="2.5703125" customWidth="1"/>
    <col min="19" max="20" width="12" bestFit="1" customWidth="1"/>
    <col min="21" max="21" width="4.42578125" customWidth="1"/>
    <col min="22" max="22" width="13.28515625" bestFit="1" customWidth="1"/>
    <col min="23" max="24" width="12" bestFit="1" customWidth="1"/>
  </cols>
  <sheetData>
    <row r="1" spans="1:24" x14ac:dyDescent="0.25">
      <c r="B1" s="5" t="s">
        <v>86</v>
      </c>
      <c r="C1" s="6" t="s">
        <v>87</v>
      </c>
      <c r="D1" s="6" t="s">
        <v>88</v>
      </c>
      <c r="E1" s="6" t="s">
        <v>98</v>
      </c>
      <c r="F1" s="6" t="s">
        <v>100</v>
      </c>
      <c r="G1" s="6" t="s">
        <v>89</v>
      </c>
      <c r="H1" s="6" t="s">
        <v>91</v>
      </c>
      <c r="I1" s="6" t="s">
        <v>90</v>
      </c>
      <c r="J1" s="6" t="s">
        <v>131</v>
      </c>
      <c r="K1" s="6" t="s">
        <v>130</v>
      </c>
      <c r="L1" s="6" t="s">
        <v>103</v>
      </c>
      <c r="M1" s="6" t="s">
        <v>101</v>
      </c>
      <c r="N1" s="6" t="s">
        <v>107</v>
      </c>
      <c r="O1" s="6" t="s">
        <v>91</v>
      </c>
      <c r="P1" s="6" t="s">
        <v>105</v>
      </c>
      <c r="Q1" s="6" t="s">
        <v>131</v>
      </c>
      <c r="R1" s="6" t="s">
        <v>130</v>
      </c>
      <c r="S1" s="6" t="s">
        <v>103</v>
      </c>
      <c r="T1" s="6" t="s">
        <v>101</v>
      </c>
      <c r="U1" s="6" t="s">
        <v>91</v>
      </c>
      <c r="V1" s="6" t="s">
        <v>105</v>
      </c>
      <c r="W1" s="6" t="s">
        <v>103</v>
      </c>
      <c r="X1" s="7" t="s">
        <v>101</v>
      </c>
    </row>
    <row r="2" spans="1:24" x14ac:dyDescent="0.25">
      <c r="A2">
        <f t="shared" ref="A2:A65" si="0">COUNTIF($C$94:$C$116,C2)</f>
        <v>1</v>
      </c>
      <c r="B2" t="s">
        <v>1107</v>
      </c>
      <c r="C2" t="s">
        <v>20</v>
      </c>
      <c r="X2" s="9"/>
    </row>
    <row r="3" spans="1:24" x14ac:dyDescent="0.25">
      <c r="A3">
        <f t="shared" si="0"/>
        <v>1</v>
      </c>
      <c r="B3" t="s">
        <v>1108</v>
      </c>
      <c r="C3" t="s">
        <v>142</v>
      </c>
      <c r="D3">
        <v>197.2</v>
      </c>
      <c r="G3" t="s">
        <v>1132</v>
      </c>
      <c r="H3">
        <v>232</v>
      </c>
      <c r="I3" t="s">
        <v>478</v>
      </c>
      <c r="J3">
        <v>52</v>
      </c>
      <c r="K3">
        <v>0.85</v>
      </c>
      <c r="X3" s="9"/>
    </row>
    <row r="4" spans="1:24" x14ac:dyDescent="0.25">
      <c r="A4">
        <f t="shared" si="0"/>
        <v>1</v>
      </c>
      <c r="B4" t="s">
        <v>1109</v>
      </c>
      <c r="C4" t="s">
        <v>45</v>
      </c>
      <c r="I4" t="s">
        <v>233</v>
      </c>
      <c r="J4">
        <v>90</v>
      </c>
      <c r="K4">
        <v>3</v>
      </c>
      <c r="X4" s="9"/>
    </row>
    <row r="5" spans="1:24" x14ac:dyDescent="0.25">
      <c r="A5">
        <f t="shared" si="0"/>
        <v>1</v>
      </c>
      <c r="B5" t="s">
        <v>1110</v>
      </c>
      <c r="C5" t="s">
        <v>161</v>
      </c>
      <c r="D5">
        <v>82</v>
      </c>
      <c r="X5" s="9"/>
    </row>
    <row r="6" spans="1:24" x14ac:dyDescent="0.25">
      <c r="A6">
        <f t="shared" si="0"/>
        <v>1</v>
      </c>
      <c r="B6" t="s">
        <v>1111</v>
      </c>
      <c r="C6" t="s">
        <v>166</v>
      </c>
      <c r="H6">
        <v>32</v>
      </c>
      <c r="X6" s="9"/>
    </row>
    <row r="7" spans="1:24" x14ac:dyDescent="0.25">
      <c r="A7">
        <f t="shared" si="0"/>
        <v>1</v>
      </c>
      <c r="B7" t="s">
        <v>1112</v>
      </c>
      <c r="C7" t="s">
        <v>20</v>
      </c>
      <c r="H7" s="1">
        <v>109</v>
      </c>
      <c r="S7" s="26"/>
      <c r="X7" s="9"/>
    </row>
    <row r="8" spans="1:24" x14ac:dyDescent="0.25">
      <c r="A8">
        <f t="shared" si="0"/>
        <v>1</v>
      </c>
      <c r="B8" t="s">
        <v>1113</v>
      </c>
      <c r="C8" t="s">
        <v>140</v>
      </c>
      <c r="D8">
        <v>95</v>
      </c>
      <c r="X8" s="9"/>
    </row>
    <row r="9" spans="1:24" x14ac:dyDescent="0.25">
      <c r="A9">
        <f t="shared" si="0"/>
        <v>1</v>
      </c>
      <c r="B9" t="s">
        <v>1114</v>
      </c>
      <c r="C9" t="s">
        <v>166</v>
      </c>
      <c r="H9">
        <v>61</v>
      </c>
      <c r="X9" s="9"/>
    </row>
    <row r="10" spans="1:24" x14ac:dyDescent="0.25">
      <c r="A10">
        <f t="shared" si="0"/>
        <v>1</v>
      </c>
      <c r="B10" t="s">
        <v>1115</v>
      </c>
      <c r="C10" t="s">
        <v>206</v>
      </c>
      <c r="D10">
        <v>123</v>
      </c>
      <c r="G10" t="s">
        <v>220</v>
      </c>
      <c r="H10">
        <v>20</v>
      </c>
      <c r="I10" t="s">
        <v>244</v>
      </c>
      <c r="J10">
        <v>90</v>
      </c>
      <c r="K10">
        <v>2</v>
      </c>
      <c r="O10">
        <v>61</v>
      </c>
      <c r="P10" t="s">
        <v>233</v>
      </c>
      <c r="X10" s="9"/>
    </row>
    <row r="11" spans="1:24" x14ac:dyDescent="0.25">
      <c r="A11">
        <f t="shared" si="0"/>
        <v>1</v>
      </c>
      <c r="B11" t="s">
        <v>1116</v>
      </c>
      <c r="C11" t="s">
        <v>852</v>
      </c>
      <c r="D11">
        <f>H11*K11</f>
        <v>102</v>
      </c>
      <c r="H11" s="1">
        <v>34</v>
      </c>
      <c r="I11" t="s">
        <v>233</v>
      </c>
      <c r="J11">
        <v>90</v>
      </c>
      <c r="K11">
        <v>3</v>
      </c>
      <c r="X11" s="9"/>
    </row>
    <row r="12" spans="1:24" x14ac:dyDescent="0.25">
      <c r="A12">
        <f t="shared" si="0"/>
        <v>1</v>
      </c>
      <c r="B12" t="s">
        <v>1117</v>
      </c>
      <c r="C12" t="s">
        <v>166</v>
      </c>
      <c r="D12">
        <v>74</v>
      </c>
      <c r="X12" s="9"/>
    </row>
    <row r="13" spans="1:24" x14ac:dyDescent="0.25">
      <c r="A13">
        <f t="shared" si="0"/>
        <v>1</v>
      </c>
      <c r="B13" t="s">
        <v>1118</v>
      </c>
      <c r="C13" t="s">
        <v>20</v>
      </c>
      <c r="D13">
        <v>500</v>
      </c>
      <c r="O13" s="1"/>
      <c r="X13" s="9"/>
    </row>
    <row r="14" spans="1:24" x14ac:dyDescent="0.25">
      <c r="A14">
        <f t="shared" si="0"/>
        <v>1</v>
      </c>
      <c r="B14" t="s">
        <v>1119</v>
      </c>
      <c r="C14" t="s">
        <v>141</v>
      </c>
      <c r="D14">
        <f>H14*K14</f>
        <v>151.79999999999998</v>
      </c>
      <c r="H14">
        <v>92</v>
      </c>
      <c r="I14" t="s">
        <v>805</v>
      </c>
      <c r="J14">
        <v>82</v>
      </c>
      <c r="K14">
        <v>1.65</v>
      </c>
      <c r="X14" s="9"/>
    </row>
    <row r="15" spans="1:24" x14ac:dyDescent="0.25">
      <c r="A15">
        <f t="shared" si="0"/>
        <v>1</v>
      </c>
      <c r="B15" t="s">
        <v>1120</v>
      </c>
      <c r="C15" t="s">
        <v>146</v>
      </c>
      <c r="D15">
        <v>66</v>
      </c>
      <c r="H15">
        <v>31</v>
      </c>
      <c r="I15" t="s">
        <v>244</v>
      </c>
      <c r="J15">
        <v>90</v>
      </c>
      <c r="K15">
        <v>2</v>
      </c>
      <c r="O15">
        <v>5</v>
      </c>
      <c r="P15" t="s">
        <v>478</v>
      </c>
      <c r="Q15">
        <v>52</v>
      </c>
      <c r="R15">
        <v>0.85</v>
      </c>
      <c r="X15" s="9"/>
    </row>
    <row r="16" spans="1:24" x14ac:dyDescent="0.25">
      <c r="A16">
        <f t="shared" si="0"/>
        <v>1</v>
      </c>
      <c r="B16" t="s">
        <v>1121</v>
      </c>
      <c r="C16" t="s">
        <v>166</v>
      </c>
      <c r="X16" s="9"/>
    </row>
    <row r="17" spans="1:25" x14ac:dyDescent="0.25">
      <c r="A17">
        <f t="shared" si="0"/>
        <v>1</v>
      </c>
      <c r="B17" t="s">
        <v>1122</v>
      </c>
      <c r="C17" t="s">
        <v>142</v>
      </c>
      <c r="D17">
        <v>100</v>
      </c>
      <c r="X17" s="9"/>
    </row>
    <row r="18" spans="1:25" x14ac:dyDescent="0.25">
      <c r="A18">
        <f t="shared" si="0"/>
        <v>1</v>
      </c>
      <c r="B18" t="s">
        <v>1122</v>
      </c>
      <c r="C18" t="s">
        <v>166</v>
      </c>
      <c r="X18" s="9"/>
    </row>
    <row r="19" spans="1:25" x14ac:dyDescent="0.25">
      <c r="A19">
        <f t="shared" si="0"/>
        <v>1</v>
      </c>
      <c r="B19" t="s">
        <v>1123</v>
      </c>
      <c r="C19" t="s">
        <v>20</v>
      </c>
      <c r="H19" s="1">
        <v>44</v>
      </c>
      <c r="X19" s="9"/>
    </row>
    <row r="20" spans="1:25" x14ac:dyDescent="0.25">
      <c r="A20">
        <f t="shared" si="0"/>
        <v>1</v>
      </c>
      <c r="B20" t="s">
        <v>1124</v>
      </c>
      <c r="C20" t="s">
        <v>166</v>
      </c>
      <c r="D20">
        <v>79</v>
      </c>
      <c r="H20" s="1"/>
      <c r="X20" s="9"/>
    </row>
    <row r="21" spans="1:25" x14ac:dyDescent="0.25">
      <c r="A21">
        <f t="shared" si="0"/>
        <v>1</v>
      </c>
      <c r="B21" t="s">
        <v>1125</v>
      </c>
      <c r="C21" t="s">
        <v>140</v>
      </c>
      <c r="D21">
        <v>100</v>
      </c>
      <c r="H21" s="1">
        <v>50</v>
      </c>
      <c r="I21" t="s">
        <v>244</v>
      </c>
      <c r="J21">
        <v>90</v>
      </c>
      <c r="K21">
        <v>2</v>
      </c>
      <c r="X21" s="9"/>
    </row>
    <row r="22" spans="1:25" x14ac:dyDescent="0.25">
      <c r="A22">
        <f t="shared" si="0"/>
        <v>1</v>
      </c>
      <c r="B22" t="s">
        <v>1126</v>
      </c>
      <c r="C22" t="s">
        <v>146</v>
      </c>
      <c r="D22">
        <v>102</v>
      </c>
      <c r="H22">
        <v>26</v>
      </c>
      <c r="I22" t="s">
        <v>806</v>
      </c>
      <c r="J22">
        <v>90</v>
      </c>
      <c r="K22">
        <v>1.8</v>
      </c>
      <c r="O22">
        <v>5</v>
      </c>
      <c r="P22" t="s">
        <v>233</v>
      </c>
      <c r="Q22">
        <v>90</v>
      </c>
      <c r="R22">
        <v>3</v>
      </c>
      <c r="U22">
        <v>20</v>
      </c>
      <c r="V22" t="s">
        <v>244</v>
      </c>
      <c r="X22" s="9"/>
    </row>
    <row r="23" spans="1:25" x14ac:dyDescent="0.25">
      <c r="A23">
        <f t="shared" si="0"/>
        <v>1</v>
      </c>
      <c r="B23" t="s">
        <v>1127</v>
      </c>
      <c r="C23" t="s">
        <v>166</v>
      </c>
      <c r="D23">
        <v>99</v>
      </c>
      <c r="H23" s="1"/>
      <c r="X23" s="9"/>
    </row>
    <row r="24" spans="1:25" x14ac:dyDescent="0.25">
      <c r="A24">
        <f t="shared" si="0"/>
        <v>1</v>
      </c>
      <c r="B24" t="s">
        <v>1128</v>
      </c>
      <c r="C24" t="s">
        <v>148</v>
      </c>
      <c r="D24">
        <v>58</v>
      </c>
      <c r="X24" s="9"/>
    </row>
    <row r="25" spans="1:25" x14ac:dyDescent="0.25">
      <c r="A25">
        <f t="shared" si="0"/>
        <v>1</v>
      </c>
      <c r="B25" t="s">
        <v>1131</v>
      </c>
      <c r="C25" t="s">
        <v>162</v>
      </c>
      <c r="D25">
        <f>H25*K25</f>
        <v>57</v>
      </c>
      <c r="H25">
        <v>19</v>
      </c>
      <c r="I25" t="s">
        <v>233</v>
      </c>
      <c r="J25">
        <v>90</v>
      </c>
      <c r="K25">
        <v>3</v>
      </c>
      <c r="X25" s="9"/>
    </row>
    <row r="26" spans="1:25" x14ac:dyDescent="0.25">
      <c r="A26">
        <f t="shared" si="0"/>
        <v>1</v>
      </c>
      <c r="B26" t="s">
        <v>1131</v>
      </c>
      <c r="C26" t="s">
        <v>165</v>
      </c>
      <c r="D26">
        <v>300</v>
      </c>
      <c r="H26">
        <v>100</v>
      </c>
      <c r="I26" t="s">
        <v>233</v>
      </c>
      <c r="J26">
        <v>90</v>
      </c>
      <c r="K26">
        <v>3</v>
      </c>
      <c r="X26" s="9"/>
      <c r="Y26" t="s">
        <v>881</v>
      </c>
    </row>
    <row r="27" spans="1:25" x14ac:dyDescent="0.25">
      <c r="A27">
        <f t="shared" si="0"/>
        <v>1</v>
      </c>
      <c r="B27" t="s">
        <v>1130</v>
      </c>
      <c r="C27" t="s">
        <v>142</v>
      </c>
      <c r="D27">
        <v>100</v>
      </c>
      <c r="X27" s="9"/>
    </row>
    <row r="28" spans="1:25" x14ac:dyDescent="0.25">
      <c r="A28">
        <f t="shared" si="0"/>
        <v>1</v>
      </c>
      <c r="B28" t="s">
        <v>1129</v>
      </c>
      <c r="C28" t="s">
        <v>142</v>
      </c>
      <c r="D28">
        <v>100</v>
      </c>
      <c r="X28" s="9"/>
    </row>
    <row r="29" spans="1:25" x14ac:dyDescent="0.25">
      <c r="A29">
        <f t="shared" si="0"/>
        <v>0</v>
      </c>
      <c r="X29" s="9"/>
    </row>
    <row r="30" spans="1:25" hidden="1" x14ac:dyDescent="0.25">
      <c r="A30">
        <f t="shared" si="0"/>
        <v>0</v>
      </c>
      <c r="X30" s="9"/>
    </row>
    <row r="31" spans="1:25" hidden="1" x14ac:dyDescent="0.25">
      <c r="A31">
        <f t="shared" si="0"/>
        <v>0</v>
      </c>
      <c r="X31" s="9"/>
    </row>
    <row r="32" spans="1:25" hidden="1" x14ac:dyDescent="0.25">
      <c r="A32">
        <f t="shared" si="0"/>
        <v>0</v>
      </c>
      <c r="X32" s="9"/>
    </row>
    <row r="33" spans="1:24" hidden="1" x14ac:dyDescent="0.25">
      <c r="A33">
        <f t="shared" si="0"/>
        <v>0</v>
      </c>
      <c r="X33" s="9"/>
    </row>
    <row r="34" spans="1:24" hidden="1" x14ac:dyDescent="0.25">
      <c r="A34">
        <f t="shared" si="0"/>
        <v>0</v>
      </c>
      <c r="X34" s="9"/>
    </row>
    <row r="35" spans="1:24" hidden="1" x14ac:dyDescent="0.25">
      <c r="A35">
        <f t="shared" si="0"/>
        <v>0</v>
      </c>
      <c r="X35" s="9"/>
    </row>
    <row r="36" spans="1:24" hidden="1" x14ac:dyDescent="0.25">
      <c r="A36">
        <f t="shared" si="0"/>
        <v>0</v>
      </c>
      <c r="X36" s="9"/>
    </row>
    <row r="37" spans="1:24" hidden="1" x14ac:dyDescent="0.25">
      <c r="A37">
        <f t="shared" si="0"/>
        <v>0</v>
      </c>
      <c r="X37" s="9"/>
    </row>
    <row r="38" spans="1:24" hidden="1" x14ac:dyDescent="0.25">
      <c r="A38">
        <f t="shared" si="0"/>
        <v>0</v>
      </c>
      <c r="X38" s="9"/>
    </row>
    <row r="39" spans="1:24" hidden="1" x14ac:dyDescent="0.25">
      <c r="A39">
        <f t="shared" si="0"/>
        <v>0</v>
      </c>
      <c r="X39" s="9"/>
    </row>
    <row r="40" spans="1:24" hidden="1" x14ac:dyDescent="0.25">
      <c r="A40">
        <f t="shared" si="0"/>
        <v>0</v>
      </c>
      <c r="X40" s="9"/>
    </row>
    <row r="41" spans="1:24" hidden="1" x14ac:dyDescent="0.25">
      <c r="A41">
        <f t="shared" si="0"/>
        <v>0</v>
      </c>
      <c r="X41" s="9"/>
    </row>
    <row r="42" spans="1:24" hidden="1" x14ac:dyDescent="0.25">
      <c r="A42">
        <f t="shared" si="0"/>
        <v>0</v>
      </c>
      <c r="X42" s="9"/>
    </row>
    <row r="43" spans="1:24" hidden="1" x14ac:dyDescent="0.25">
      <c r="A43">
        <f t="shared" si="0"/>
        <v>0</v>
      </c>
      <c r="X43" s="9"/>
    </row>
    <row r="44" spans="1:24" hidden="1" x14ac:dyDescent="0.25">
      <c r="A44">
        <f t="shared" si="0"/>
        <v>0</v>
      </c>
      <c r="X44" s="9"/>
    </row>
    <row r="45" spans="1:24" hidden="1" x14ac:dyDescent="0.25">
      <c r="A45">
        <f t="shared" si="0"/>
        <v>0</v>
      </c>
      <c r="X45" s="9"/>
    </row>
    <row r="46" spans="1:24" hidden="1" x14ac:dyDescent="0.25">
      <c r="A46">
        <f t="shared" si="0"/>
        <v>0</v>
      </c>
      <c r="X46" s="9"/>
    </row>
    <row r="47" spans="1:24" hidden="1" x14ac:dyDescent="0.25">
      <c r="A47">
        <f t="shared" si="0"/>
        <v>0</v>
      </c>
      <c r="X47" s="9"/>
    </row>
    <row r="48" spans="1:24" hidden="1" x14ac:dyDescent="0.25">
      <c r="A48">
        <f t="shared" si="0"/>
        <v>0</v>
      </c>
      <c r="X48" s="9"/>
    </row>
    <row r="49" spans="1:25" hidden="1" x14ac:dyDescent="0.25">
      <c r="A49">
        <f t="shared" si="0"/>
        <v>0</v>
      </c>
      <c r="B49" s="8"/>
      <c r="H49" s="1"/>
      <c r="X49" s="9"/>
    </row>
    <row r="50" spans="1:25" hidden="1" x14ac:dyDescent="0.25">
      <c r="A50">
        <f t="shared" si="0"/>
        <v>0</v>
      </c>
      <c r="B50" s="8"/>
      <c r="H50" s="1"/>
      <c r="X50" s="9"/>
    </row>
    <row r="51" spans="1:25" hidden="1" x14ac:dyDescent="0.25">
      <c r="A51">
        <f t="shared" si="0"/>
        <v>0</v>
      </c>
      <c r="X51" s="9"/>
    </row>
    <row r="52" spans="1:25" hidden="1" x14ac:dyDescent="0.25">
      <c r="A52">
        <f t="shared" si="0"/>
        <v>0</v>
      </c>
      <c r="X52" s="9"/>
    </row>
    <row r="53" spans="1:25" hidden="1" x14ac:dyDescent="0.25">
      <c r="A53">
        <f t="shared" si="0"/>
        <v>0</v>
      </c>
      <c r="X53" s="9"/>
    </row>
    <row r="54" spans="1:25" hidden="1" x14ac:dyDescent="0.25">
      <c r="A54">
        <f t="shared" si="0"/>
        <v>0</v>
      </c>
      <c r="X54" s="9"/>
    </row>
    <row r="55" spans="1:25" hidden="1" x14ac:dyDescent="0.25">
      <c r="A55">
        <f t="shared" si="0"/>
        <v>0</v>
      </c>
      <c r="X55" s="9"/>
    </row>
    <row r="56" spans="1:25" hidden="1" x14ac:dyDescent="0.25">
      <c r="A56">
        <f t="shared" si="0"/>
        <v>0</v>
      </c>
      <c r="X56" s="9"/>
    </row>
    <row r="57" spans="1:25" hidden="1" x14ac:dyDescent="0.25">
      <c r="A57">
        <f t="shared" si="0"/>
        <v>0</v>
      </c>
      <c r="X57" s="9"/>
    </row>
    <row r="58" spans="1:25" hidden="1" x14ac:dyDescent="0.25">
      <c r="A58">
        <f t="shared" si="0"/>
        <v>0</v>
      </c>
      <c r="X58" s="9"/>
    </row>
    <row r="59" spans="1:25" hidden="1" x14ac:dyDescent="0.25">
      <c r="A59">
        <f t="shared" si="0"/>
        <v>0</v>
      </c>
      <c r="B59" s="8"/>
      <c r="H59" s="1"/>
      <c r="X59" s="9"/>
    </row>
    <row r="60" spans="1:25" hidden="1" x14ac:dyDescent="0.25">
      <c r="A60">
        <f t="shared" si="0"/>
        <v>0</v>
      </c>
      <c r="B60" s="8"/>
      <c r="X60" s="9"/>
    </row>
    <row r="61" spans="1:25" hidden="1" x14ac:dyDescent="0.25">
      <c r="A61">
        <f t="shared" si="0"/>
        <v>0</v>
      </c>
      <c r="B61" s="8"/>
      <c r="X61" s="9"/>
    </row>
    <row r="62" spans="1:25" hidden="1" x14ac:dyDescent="0.25">
      <c r="A62">
        <f t="shared" si="0"/>
        <v>0</v>
      </c>
      <c r="B62" s="8"/>
      <c r="H62" s="1"/>
      <c r="X62" s="9"/>
    </row>
    <row r="63" spans="1:25" hidden="1" x14ac:dyDescent="0.25">
      <c r="A63">
        <f t="shared" si="0"/>
        <v>0</v>
      </c>
      <c r="B63" s="8"/>
      <c r="H63" s="1"/>
      <c r="X63" s="9"/>
    </row>
    <row r="64" spans="1:25" hidden="1" x14ac:dyDescent="0.25">
      <c r="A64">
        <f t="shared" si="0"/>
        <v>0</v>
      </c>
      <c r="B64" s="8"/>
      <c r="H64" s="1"/>
      <c r="X64" s="9"/>
      <c r="Y64" t="s">
        <v>881</v>
      </c>
    </row>
    <row r="65" spans="1:24" hidden="1" x14ac:dyDescent="0.25">
      <c r="A65">
        <f t="shared" si="0"/>
        <v>0</v>
      </c>
      <c r="B65" s="8"/>
      <c r="X65" s="9"/>
    </row>
    <row r="66" spans="1:24" hidden="1" x14ac:dyDescent="0.25">
      <c r="A66">
        <f t="shared" ref="A66:A76" si="1">COUNTIF($C$94:$C$116,C66)</f>
        <v>0</v>
      </c>
      <c r="B66" s="8"/>
      <c r="H66" s="1"/>
      <c r="X66" s="9"/>
    </row>
    <row r="67" spans="1:24" hidden="1" x14ac:dyDescent="0.25">
      <c r="A67">
        <f t="shared" si="1"/>
        <v>0</v>
      </c>
      <c r="B67" s="8"/>
      <c r="H67" s="1"/>
      <c r="X67" s="9"/>
    </row>
    <row r="68" spans="1:24" hidden="1" x14ac:dyDescent="0.25">
      <c r="A68">
        <f t="shared" si="1"/>
        <v>0</v>
      </c>
      <c r="B68" s="8"/>
      <c r="H68" s="1"/>
      <c r="X68" s="9"/>
    </row>
    <row r="69" spans="1:24" hidden="1" x14ac:dyDescent="0.25">
      <c r="A69">
        <f t="shared" si="1"/>
        <v>0</v>
      </c>
      <c r="B69" s="8"/>
      <c r="H69" s="1"/>
      <c r="X69" s="9"/>
    </row>
    <row r="70" spans="1:24" hidden="1" x14ac:dyDescent="0.25">
      <c r="A70">
        <f t="shared" si="1"/>
        <v>0</v>
      </c>
      <c r="B70" s="8"/>
      <c r="H70" s="1"/>
      <c r="X70" s="9"/>
    </row>
    <row r="71" spans="1:24" hidden="1" x14ac:dyDescent="0.25">
      <c r="A71">
        <f t="shared" si="1"/>
        <v>0</v>
      </c>
      <c r="B71" s="8"/>
      <c r="H71" s="1"/>
      <c r="X71" s="9"/>
    </row>
    <row r="72" spans="1:24" hidden="1" x14ac:dyDescent="0.25">
      <c r="A72">
        <f t="shared" si="1"/>
        <v>0</v>
      </c>
      <c r="B72" s="8"/>
      <c r="H72" s="1"/>
      <c r="K72" s="27"/>
      <c r="X72" s="9"/>
    </row>
    <row r="73" spans="1:24" hidden="1" x14ac:dyDescent="0.25">
      <c r="A73">
        <f t="shared" si="1"/>
        <v>0</v>
      </c>
      <c r="B73" s="8"/>
      <c r="H73" s="1"/>
      <c r="X73" s="9"/>
    </row>
    <row r="74" spans="1:24" hidden="1" x14ac:dyDescent="0.25">
      <c r="A74">
        <f t="shared" si="1"/>
        <v>0</v>
      </c>
      <c r="B74" s="8"/>
      <c r="H74" s="1"/>
      <c r="X74" s="9"/>
    </row>
    <row r="75" spans="1:24" hidden="1" x14ac:dyDescent="0.25">
      <c r="A75">
        <f t="shared" si="1"/>
        <v>0</v>
      </c>
      <c r="B75" s="8"/>
      <c r="H75" s="1"/>
      <c r="X75" s="9"/>
    </row>
    <row r="76" spans="1:24" hidden="1" x14ac:dyDescent="0.25">
      <c r="A76">
        <f t="shared" si="1"/>
        <v>0</v>
      </c>
      <c r="B76" s="8"/>
      <c r="H76" s="1"/>
      <c r="X76" s="9"/>
    </row>
    <row r="77" spans="1:24" x14ac:dyDescent="0.25">
      <c r="B77" s="8"/>
      <c r="H77" s="1"/>
      <c r="X77" s="9"/>
    </row>
    <row r="78" spans="1:24" x14ac:dyDescent="0.25">
      <c r="B78" s="8"/>
      <c r="H78" s="1"/>
      <c r="X78" s="9"/>
    </row>
    <row r="79" spans="1:24" x14ac:dyDescent="0.25">
      <c r="B79" s="8"/>
      <c r="H79" s="1"/>
      <c r="X79" s="9"/>
    </row>
    <row r="80" spans="1:24" x14ac:dyDescent="0.25">
      <c r="B80" s="10"/>
      <c r="C80" s="11"/>
      <c r="D80" s="11"/>
      <c r="E80" s="11"/>
      <c r="F80" s="11"/>
      <c r="G80" s="11"/>
      <c r="H80" s="28"/>
      <c r="I80" s="11"/>
      <c r="J80" s="11"/>
      <c r="K80" s="11"/>
      <c r="L80" s="11"/>
      <c r="M80" s="11"/>
      <c r="N80" s="11"/>
      <c r="O80" s="11"/>
      <c r="P80" s="11"/>
      <c r="Q80" s="11"/>
      <c r="R80" s="11"/>
      <c r="S80" s="11"/>
      <c r="T80" s="11"/>
      <c r="U80" s="11"/>
      <c r="V80" s="11"/>
      <c r="W80" s="11"/>
      <c r="X80" s="12"/>
    </row>
    <row r="81" spans="2:20" x14ac:dyDescent="0.25">
      <c r="H81" s="1"/>
    </row>
    <row r="82" spans="2:20" x14ac:dyDescent="0.25">
      <c r="B82" s="2"/>
      <c r="H82" s="1"/>
    </row>
    <row r="83" spans="2:20" x14ac:dyDescent="0.25">
      <c r="B83" s="2"/>
      <c r="H83" s="1"/>
    </row>
    <row r="85" spans="2:20" x14ac:dyDescent="0.25">
      <c r="C85" s="5" t="s">
        <v>150</v>
      </c>
      <c r="D85" s="6" t="s">
        <v>91</v>
      </c>
      <c r="E85" s="6" t="s">
        <v>130</v>
      </c>
      <c r="F85" s="6"/>
      <c r="G85" s="7" t="s">
        <v>395</v>
      </c>
      <c r="I85" s="13" t="s">
        <v>124</v>
      </c>
      <c r="J85" s="14"/>
      <c r="K85" s="14"/>
      <c r="L85" s="14" t="s">
        <v>135</v>
      </c>
      <c r="M85" s="14" t="s">
        <v>375</v>
      </c>
      <c r="N85" s="15" t="s">
        <v>130</v>
      </c>
      <c r="P85" s="13" t="s">
        <v>124</v>
      </c>
      <c r="Q85" s="14"/>
      <c r="R85" s="14"/>
      <c r="S85" s="14" t="s">
        <v>135</v>
      </c>
      <c r="T85" s="15" t="s">
        <v>375</v>
      </c>
    </row>
    <row r="86" spans="2:20" x14ac:dyDescent="0.25">
      <c r="C86" s="8" t="s">
        <v>392</v>
      </c>
      <c r="D86" s="1">
        <f>SUM(M86:M89,T86:T89)</f>
        <v>616</v>
      </c>
      <c r="E86">
        <f>SUM(D2:D80)</f>
        <v>2486</v>
      </c>
      <c r="G86" s="23">
        <f>E86/D86</f>
        <v>4.0357142857142856</v>
      </c>
      <c r="I86" s="8" t="s">
        <v>255</v>
      </c>
      <c r="L86">
        <f>COUNTIF(K1:K82,"&lt;2")</f>
        <v>3</v>
      </c>
      <c r="M86" s="1">
        <f>SUMIF(K1:K82,"&lt;2",H1:H82)</f>
        <v>350</v>
      </c>
      <c r="N86" s="9">
        <f>SUMIF(K1:K82,"&lt;2",D1:D82)</f>
        <v>451</v>
      </c>
      <c r="P86" s="8" t="s">
        <v>255</v>
      </c>
      <c r="S86">
        <f>COUNTIF(R1:R82,"&lt;2")</f>
        <v>1</v>
      </c>
      <c r="T86" s="9">
        <f>SUMIF(R1:R82,"&lt;2",K1:K82)</f>
        <v>2</v>
      </c>
    </row>
    <row r="87" spans="2:20" x14ac:dyDescent="0.25">
      <c r="C87" s="8" t="s">
        <v>125</v>
      </c>
      <c r="D87">
        <f>COUNT(D28:D80)</f>
        <v>1</v>
      </c>
      <c r="G87" s="9"/>
      <c r="I87" s="8" t="s">
        <v>133</v>
      </c>
      <c r="L87">
        <f>COUNTIF(K49:K83,"&lt;3")-L86</f>
        <v>-3</v>
      </c>
      <c r="M87" s="1">
        <f>SUMIF(K1:K79,"&lt;3",H1:H79)-M86</f>
        <v>101</v>
      </c>
      <c r="N87" s="9">
        <f>SUMIF(K1:K79,"&lt;3",D1:D79)</f>
        <v>740</v>
      </c>
      <c r="P87" s="8" t="s">
        <v>133</v>
      </c>
      <c r="S87">
        <f>COUNTIF(R5:R83,"&lt;3")-S86</f>
        <v>0</v>
      </c>
      <c r="T87" s="9">
        <f>SUMIF(R1:R79,"&lt;3",O1:O79)-T86</f>
        <v>3</v>
      </c>
    </row>
    <row r="88" spans="2:20" x14ac:dyDescent="0.25">
      <c r="C88" s="8" t="s">
        <v>386</v>
      </c>
      <c r="D88">
        <f>COUNTIF(E28:E80,"AOM5000")</f>
        <v>0</v>
      </c>
      <c r="E88">
        <f>SUMIF(E28:E77,"AOM5000",D28:D77)</f>
        <v>0</v>
      </c>
      <c r="F88" t="s">
        <v>396</v>
      </c>
      <c r="G88" s="21" t="e">
        <f>AVERAGEIF(E1:E79,"AOM5000",F1:F79)</f>
        <v>#DIV/0!</v>
      </c>
      <c r="I88" s="8" t="s">
        <v>132</v>
      </c>
      <c r="L88">
        <f>COUNTIF(K49:K83,"&lt;4")-L87-L86</f>
        <v>0</v>
      </c>
      <c r="M88" s="1">
        <f>SUMIF(K1:K79,"&lt;4",H1:H79)-M87-M86</f>
        <v>153</v>
      </c>
      <c r="N88" s="9">
        <f>SUMIF(K1:K79,"&lt;4",D1:D79)-N87</f>
        <v>459</v>
      </c>
      <c r="P88" s="8" t="s">
        <v>132</v>
      </c>
      <c r="S88">
        <f>COUNTIF(R5:R83,"&lt;4")-S87-S86</f>
        <v>1</v>
      </c>
      <c r="T88" s="9">
        <f>SUMIF(R1:R79,"&lt;4",O1:O79)-T87</f>
        <v>7</v>
      </c>
    </row>
    <row r="89" spans="2:20" x14ac:dyDescent="0.25">
      <c r="C89" s="8" t="s">
        <v>387</v>
      </c>
      <c r="D89">
        <f>COUNTIF(E1:E79,"AOM4000")</f>
        <v>0</v>
      </c>
      <c r="E89">
        <f>SUMIF(E28:E77,"AOM4000",D28:D77)</f>
        <v>0</v>
      </c>
      <c r="F89" t="s">
        <v>397</v>
      </c>
      <c r="G89" s="21" t="e">
        <f>AVERAGEIF(E1:E79,"AOM4000",F1:F79)</f>
        <v>#DIV/0!</v>
      </c>
      <c r="I89" s="8" t="s">
        <v>134</v>
      </c>
      <c r="L89">
        <f>COUNTIF(K49:K83,"&lt;5")-L88-L87-L86</f>
        <v>0</v>
      </c>
      <c r="M89" s="1">
        <f>SUMIF(K1:K79,"&lt;6",H1:H79)-M88-M87-M86</f>
        <v>0</v>
      </c>
      <c r="N89" s="9">
        <f>SUMIF(K1:K79,"&lt;5",D1:D79)-N88-N87</f>
        <v>0</v>
      </c>
      <c r="P89" s="8" t="s">
        <v>134</v>
      </c>
      <c r="S89">
        <f>COUNTIF(R5:R83,"&lt;5")-S88-S87-S86</f>
        <v>0</v>
      </c>
      <c r="T89" s="9">
        <f>SUMIF(R5:R83,"&lt;5",O5:O83)-T88-T87</f>
        <v>0</v>
      </c>
    </row>
    <row r="90" spans="2:20" x14ac:dyDescent="0.25">
      <c r="C90" s="8" t="s">
        <v>390</v>
      </c>
      <c r="D90" s="18" t="e">
        <f>D88/(D89+D88)*100</f>
        <v>#DIV/0!</v>
      </c>
      <c r="E90" s="18" t="e">
        <f>E88/(E89+E88)*100</f>
        <v>#DIV/0!</v>
      </c>
      <c r="G90" s="9"/>
      <c r="I90" s="8"/>
      <c r="N90" s="9"/>
      <c r="P90" s="8"/>
      <c r="T90" s="9"/>
    </row>
    <row r="91" spans="2:20" x14ac:dyDescent="0.25">
      <c r="C91" s="16" t="s">
        <v>128</v>
      </c>
      <c r="D91" s="22">
        <f>D88/D87*100</f>
        <v>0</v>
      </c>
      <c r="E91" s="22">
        <f>E88/E86*100</f>
        <v>0</v>
      </c>
      <c r="F91" s="11"/>
      <c r="G91" s="12"/>
      <c r="I91" s="8" t="s">
        <v>136</v>
      </c>
      <c r="L91">
        <f>COUNTA(L1:L79)</f>
        <v>1</v>
      </c>
      <c r="N91" s="9"/>
      <c r="P91" s="10" t="s">
        <v>136</v>
      </c>
      <c r="Q91" s="11"/>
      <c r="R91" s="11"/>
      <c r="S91" s="11">
        <f>COUNTA(S5:S83)</f>
        <v>0</v>
      </c>
      <c r="T91" s="12"/>
    </row>
    <row r="92" spans="2:20" x14ac:dyDescent="0.25">
      <c r="F92" t="s">
        <v>388</v>
      </c>
      <c r="I92" s="10"/>
      <c r="J92" s="11"/>
      <c r="K92" s="11"/>
      <c r="L92" s="11"/>
      <c r="M92" s="11"/>
      <c r="N92" s="12"/>
    </row>
    <row r="93" spans="2:20" x14ac:dyDescent="0.25">
      <c r="C93" s="5" t="s">
        <v>149</v>
      </c>
      <c r="D93" s="6" t="s">
        <v>135</v>
      </c>
      <c r="E93" s="7" t="s">
        <v>130</v>
      </c>
      <c r="F93" s="5" t="s">
        <v>93</v>
      </c>
      <c r="G93" s="7" t="s">
        <v>94</v>
      </c>
    </row>
    <row r="94" spans="2:20" x14ac:dyDescent="0.25">
      <c r="B94" s="18">
        <f>E94/$E$86*100</f>
        <v>20.11263073209976</v>
      </c>
      <c r="C94" s="8" t="s">
        <v>20</v>
      </c>
      <c r="D94">
        <f t="shared" ref="D94:D116" si="2">COUNTIF(C$1:C$79,C94)</f>
        <v>4</v>
      </c>
      <c r="E94" s="9">
        <f t="shared" ref="E94:E116" si="3">SUMIF(C$1:C$79,C94,D$1:D$79)</f>
        <v>500</v>
      </c>
      <c r="F94" s="8">
        <f t="shared" ref="F94:F116" si="4">SUMIFS($D$1:$D$77,$C$1:$C$77,C94,$E$1:$E$77,$F$93)</f>
        <v>0</v>
      </c>
      <c r="G94" s="9" t="e">
        <f t="shared" ref="G94:G116" si="5">SUMIFS($D$28:$D$78,$C$7:$C$78,C94,$E$28:$E$78,$G$93)</f>
        <v>#VALUE!</v>
      </c>
      <c r="I94" s="5" t="s">
        <v>376</v>
      </c>
      <c r="J94" s="6"/>
      <c r="K94" s="6"/>
      <c r="L94" s="7" t="s">
        <v>377</v>
      </c>
    </row>
    <row r="95" spans="2:20" x14ac:dyDescent="0.25">
      <c r="B95" s="18">
        <f t="shared" ref="B95:B116" si="6">E95/$E$86*100</f>
        <v>20</v>
      </c>
      <c r="C95" s="8" t="s">
        <v>142</v>
      </c>
      <c r="D95">
        <f t="shared" si="2"/>
        <v>4</v>
      </c>
      <c r="E95" s="9">
        <f t="shared" si="3"/>
        <v>497.2</v>
      </c>
      <c r="F95" s="8">
        <f t="shared" si="4"/>
        <v>0</v>
      </c>
      <c r="G95" s="9" t="e">
        <f t="shared" si="5"/>
        <v>#VALUE!</v>
      </c>
      <c r="I95" t="s">
        <v>478</v>
      </c>
      <c r="L95" s="19">
        <f t="shared" ref="L95:L104" si="7">SUMIF(I$1:I$79,I95,H$1:H$79)+SUMIF(P$1:P$79,I95,O$1:O$79)</f>
        <v>237</v>
      </c>
    </row>
    <row r="96" spans="2:20" x14ac:dyDescent="0.25">
      <c r="B96" s="18">
        <f t="shared" si="6"/>
        <v>0</v>
      </c>
      <c r="C96" s="8" t="s">
        <v>1095</v>
      </c>
      <c r="D96">
        <f t="shared" si="2"/>
        <v>0</v>
      </c>
      <c r="E96" s="9">
        <f t="shared" si="3"/>
        <v>0</v>
      </c>
      <c r="F96" s="8">
        <f t="shared" si="4"/>
        <v>0</v>
      </c>
      <c r="G96" s="9" t="e">
        <f t="shared" si="5"/>
        <v>#VALUE!</v>
      </c>
      <c r="I96" s="8" t="s">
        <v>462</v>
      </c>
      <c r="L96" s="19">
        <f t="shared" si="7"/>
        <v>0</v>
      </c>
    </row>
    <row r="97" spans="2:12" x14ac:dyDescent="0.25">
      <c r="B97" s="18">
        <f t="shared" si="6"/>
        <v>7.8439259855189052</v>
      </c>
      <c r="C97" s="8" t="s">
        <v>140</v>
      </c>
      <c r="D97">
        <f t="shared" si="2"/>
        <v>2</v>
      </c>
      <c r="E97" s="9">
        <f t="shared" si="3"/>
        <v>195</v>
      </c>
      <c r="F97" s="8">
        <f t="shared" si="4"/>
        <v>0</v>
      </c>
      <c r="G97" s="9" t="e">
        <f t="shared" si="5"/>
        <v>#VALUE!</v>
      </c>
      <c r="I97" s="8" t="s">
        <v>244</v>
      </c>
      <c r="L97" s="19">
        <f t="shared" si="7"/>
        <v>101</v>
      </c>
    </row>
    <row r="98" spans="2:12" x14ac:dyDescent="0.25">
      <c r="B98" s="18">
        <f t="shared" si="6"/>
        <v>0</v>
      </c>
      <c r="C98" s="8" t="s">
        <v>144</v>
      </c>
      <c r="D98">
        <f t="shared" si="2"/>
        <v>0</v>
      </c>
      <c r="E98" s="9">
        <f t="shared" si="3"/>
        <v>0</v>
      </c>
      <c r="F98" s="8">
        <f t="shared" si="4"/>
        <v>0</v>
      </c>
      <c r="G98" s="9" t="e">
        <f t="shared" si="5"/>
        <v>#VALUE!</v>
      </c>
      <c r="I98" s="8" t="s">
        <v>233</v>
      </c>
      <c r="L98" s="19">
        <f t="shared" si="7"/>
        <v>219</v>
      </c>
    </row>
    <row r="99" spans="2:12" x14ac:dyDescent="0.25">
      <c r="B99" s="18">
        <f t="shared" si="6"/>
        <v>2.3330651649235721</v>
      </c>
      <c r="C99" s="8" t="s">
        <v>148</v>
      </c>
      <c r="D99">
        <f t="shared" si="2"/>
        <v>1</v>
      </c>
      <c r="E99" s="9">
        <f t="shared" si="3"/>
        <v>58</v>
      </c>
      <c r="F99" s="8">
        <f t="shared" si="4"/>
        <v>0</v>
      </c>
      <c r="G99" s="9" t="e">
        <f t="shared" si="5"/>
        <v>#VALUE!</v>
      </c>
      <c r="I99" s="8" t="s">
        <v>806</v>
      </c>
      <c r="L99" s="19">
        <f t="shared" si="7"/>
        <v>26</v>
      </c>
    </row>
    <row r="100" spans="2:12" x14ac:dyDescent="0.25">
      <c r="B100" s="18">
        <f t="shared" si="6"/>
        <v>0</v>
      </c>
      <c r="C100" s="8" t="s">
        <v>45</v>
      </c>
      <c r="D100">
        <f t="shared" si="2"/>
        <v>1</v>
      </c>
      <c r="E100" s="9">
        <f t="shared" si="3"/>
        <v>0</v>
      </c>
      <c r="F100" s="8">
        <f t="shared" si="4"/>
        <v>0</v>
      </c>
      <c r="G100" s="9" t="e">
        <f t="shared" si="5"/>
        <v>#VALUE!</v>
      </c>
      <c r="I100" s="8" t="s">
        <v>222</v>
      </c>
      <c r="L100" s="19">
        <f t="shared" si="7"/>
        <v>0</v>
      </c>
    </row>
    <row r="101" spans="2:12" x14ac:dyDescent="0.25">
      <c r="B101" s="18">
        <f t="shared" si="6"/>
        <v>12.067578439259854</v>
      </c>
      <c r="C101" s="8" t="s">
        <v>165</v>
      </c>
      <c r="D101">
        <f t="shared" si="2"/>
        <v>1</v>
      </c>
      <c r="E101" s="9">
        <f t="shared" si="3"/>
        <v>300</v>
      </c>
      <c r="F101" s="8">
        <f t="shared" si="4"/>
        <v>0</v>
      </c>
      <c r="G101" s="9" t="e">
        <f t="shared" si="5"/>
        <v>#VALUE!</v>
      </c>
      <c r="I101" s="8" t="s">
        <v>113</v>
      </c>
      <c r="L101" s="19">
        <f t="shared" si="7"/>
        <v>0</v>
      </c>
    </row>
    <row r="102" spans="2:12" x14ac:dyDescent="0.25">
      <c r="B102" s="18">
        <f t="shared" si="6"/>
        <v>4.9477071600965408</v>
      </c>
      <c r="C102" s="8" t="s">
        <v>206</v>
      </c>
      <c r="D102">
        <f t="shared" si="2"/>
        <v>1</v>
      </c>
      <c r="E102" s="9">
        <f t="shared" si="3"/>
        <v>123</v>
      </c>
      <c r="F102" s="8">
        <f t="shared" si="4"/>
        <v>0</v>
      </c>
      <c r="G102" s="9" t="e">
        <f t="shared" si="5"/>
        <v>#VALUE!</v>
      </c>
      <c r="I102" s="8" t="s">
        <v>321</v>
      </c>
      <c r="L102" s="19">
        <f t="shared" si="7"/>
        <v>0</v>
      </c>
    </row>
    <row r="103" spans="2:12" x14ac:dyDescent="0.25">
      <c r="B103" s="18">
        <f t="shared" si="6"/>
        <v>3.2984714400643607</v>
      </c>
      <c r="C103" s="8" t="s">
        <v>161</v>
      </c>
      <c r="D103">
        <f t="shared" si="2"/>
        <v>1</v>
      </c>
      <c r="E103" s="9">
        <f t="shared" si="3"/>
        <v>82</v>
      </c>
      <c r="F103" s="8">
        <f t="shared" si="4"/>
        <v>0</v>
      </c>
      <c r="G103" s="9" t="e">
        <f t="shared" si="5"/>
        <v>#VALUE!</v>
      </c>
      <c r="I103" s="8" t="s">
        <v>809</v>
      </c>
      <c r="J103" s="11"/>
      <c r="K103" s="11"/>
      <c r="L103" s="19">
        <f t="shared" si="7"/>
        <v>0</v>
      </c>
    </row>
    <row r="104" spans="2:12" x14ac:dyDescent="0.25">
      <c r="B104" s="18">
        <f t="shared" si="6"/>
        <v>0</v>
      </c>
      <c r="C104" s="8" t="s">
        <v>1094</v>
      </c>
      <c r="D104">
        <f t="shared" si="2"/>
        <v>0</v>
      </c>
      <c r="E104" s="9">
        <f t="shared" si="3"/>
        <v>0</v>
      </c>
      <c r="F104" s="8">
        <f t="shared" si="4"/>
        <v>0</v>
      </c>
      <c r="G104" s="9" t="e">
        <f t="shared" si="5"/>
        <v>#VALUE!</v>
      </c>
      <c r="I104" s="8" t="s">
        <v>92</v>
      </c>
      <c r="J104" s="11"/>
      <c r="K104" s="11"/>
      <c r="L104" s="19">
        <f t="shared" si="7"/>
        <v>0</v>
      </c>
    </row>
    <row r="105" spans="2:12" x14ac:dyDescent="0.25">
      <c r="B105" s="18">
        <f t="shared" si="6"/>
        <v>4.1029766693483509</v>
      </c>
      <c r="C105" s="8" t="s">
        <v>852</v>
      </c>
      <c r="D105">
        <f t="shared" si="2"/>
        <v>1</v>
      </c>
      <c r="E105" s="9">
        <f t="shared" si="3"/>
        <v>102</v>
      </c>
      <c r="F105" s="8">
        <f t="shared" si="4"/>
        <v>0</v>
      </c>
      <c r="G105" s="9" t="e">
        <f t="shared" si="5"/>
        <v>#VALUE!</v>
      </c>
      <c r="L105" s="1"/>
    </row>
    <row r="106" spans="2:12" x14ac:dyDescent="0.25">
      <c r="B106" s="18">
        <f t="shared" si="6"/>
        <v>10.136765888978278</v>
      </c>
      <c r="C106" s="8" t="s">
        <v>166</v>
      </c>
      <c r="D106">
        <f t="shared" si="2"/>
        <v>7</v>
      </c>
      <c r="E106" s="9">
        <f t="shared" si="3"/>
        <v>252</v>
      </c>
      <c r="F106" s="8">
        <f t="shared" si="4"/>
        <v>0</v>
      </c>
      <c r="G106" s="9" t="e">
        <f t="shared" si="5"/>
        <v>#VALUE!</v>
      </c>
      <c r="L106" s="1"/>
    </row>
    <row r="107" spans="2:12" x14ac:dyDescent="0.25">
      <c r="B107" s="18">
        <f t="shared" si="6"/>
        <v>0</v>
      </c>
      <c r="C107" s="8" t="s">
        <v>34</v>
      </c>
      <c r="D107">
        <f t="shared" si="2"/>
        <v>0</v>
      </c>
      <c r="E107" s="9">
        <f t="shared" si="3"/>
        <v>0</v>
      </c>
      <c r="F107" s="8">
        <f t="shared" si="4"/>
        <v>0</v>
      </c>
      <c r="G107" s="9" t="e">
        <f t="shared" si="5"/>
        <v>#VALUE!</v>
      </c>
      <c r="L107" s="1"/>
    </row>
    <row r="108" spans="2:12" x14ac:dyDescent="0.25">
      <c r="B108" s="18">
        <f t="shared" si="6"/>
        <v>0</v>
      </c>
      <c r="C108" s="8" t="s">
        <v>835</v>
      </c>
      <c r="D108">
        <f t="shared" si="2"/>
        <v>0</v>
      </c>
      <c r="E108" s="9">
        <f t="shared" si="3"/>
        <v>0</v>
      </c>
      <c r="F108" s="8">
        <f t="shared" si="4"/>
        <v>0</v>
      </c>
      <c r="G108" s="9" t="e">
        <f t="shared" si="5"/>
        <v>#VALUE!</v>
      </c>
      <c r="L108" s="1"/>
    </row>
    <row r="109" spans="2:12" x14ac:dyDescent="0.25">
      <c r="B109" s="18">
        <f t="shared" si="6"/>
        <v>0</v>
      </c>
      <c r="C109" s="8" t="s">
        <v>176</v>
      </c>
      <c r="D109">
        <f t="shared" si="2"/>
        <v>0</v>
      </c>
      <c r="E109" s="9">
        <f t="shared" si="3"/>
        <v>0</v>
      </c>
      <c r="F109" s="8">
        <f t="shared" si="4"/>
        <v>0</v>
      </c>
      <c r="G109" s="9" t="e">
        <f t="shared" si="5"/>
        <v>#VALUE!</v>
      </c>
      <c r="L109" s="1"/>
    </row>
    <row r="110" spans="2:12" x14ac:dyDescent="0.25">
      <c r="B110" s="18">
        <f t="shared" si="6"/>
        <v>0</v>
      </c>
      <c r="C110" s="8" t="s">
        <v>901</v>
      </c>
      <c r="D110">
        <f t="shared" si="2"/>
        <v>0</v>
      </c>
      <c r="E110" s="9">
        <f t="shared" si="3"/>
        <v>0</v>
      </c>
      <c r="F110" s="8">
        <f t="shared" si="4"/>
        <v>0</v>
      </c>
      <c r="G110" s="9" t="e">
        <f t="shared" si="5"/>
        <v>#VALUE!</v>
      </c>
    </row>
    <row r="111" spans="2:12" x14ac:dyDescent="0.25">
      <c r="B111" s="18">
        <f t="shared" si="6"/>
        <v>6.106194690265486</v>
      </c>
      <c r="C111" s="8" t="s">
        <v>141</v>
      </c>
      <c r="D111">
        <f t="shared" si="2"/>
        <v>1</v>
      </c>
      <c r="E111" s="9">
        <f t="shared" si="3"/>
        <v>151.79999999999998</v>
      </c>
      <c r="F111" s="8">
        <f t="shared" si="4"/>
        <v>0</v>
      </c>
      <c r="G111" s="9" t="e">
        <f t="shared" si="5"/>
        <v>#VALUE!</v>
      </c>
    </row>
    <row r="112" spans="2:12" x14ac:dyDescent="0.25">
      <c r="B112" s="18">
        <f t="shared" si="6"/>
        <v>2.2928399034593725</v>
      </c>
      <c r="C112" s="8" t="s">
        <v>162</v>
      </c>
      <c r="D112">
        <f t="shared" si="2"/>
        <v>1</v>
      </c>
      <c r="E112" s="9">
        <f t="shared" si="3"/>
        <v>57</v>
      </c>
      <c r="F112" s="8">
        <f t="shared" si="4"/>
        <v>0</v>
      </c>
      <c r="G112" s="9" t="e">
        <f t="shared" si="5"/>
        <v>#VALUE!</v>
      </c>
    </row>
    <row r="113" spans="2:7" x14ac:dyDescent="0.25">
      <c r="B113" s="18">
        <f t="shared" si="6"/>
        <v>6.7578439259855188</v>
      </c>
      <c r="C113" s="8" t="s">
        <v>146</v>
      </c>
      <c r="D113">
        <f t="shared" si="2"/>
        <v>2</v>
      </c>
      <c r="E113" s="9">
        <f t="shared" si="3"/>
        <v>168</v>
      </c>
      <c r="F113" s="8">
        <f t="shared" si="4"/>
        <v>0</v>
      </c>
      <c r="G113" s="9" t="e">
        <f t="shared" si="5"/>
        <v>#VALUE!</v>
      </c>
    </row>
    <row r="114" spans="2:7" x14ac:dyDescent="0.25">
      <c r="B114" s="18">
        <f t="shared" si="6"/>
        <v>0</v>
      </c>
      <c r="C114" s="8" t="s">
        <v>137</v>
      </c>
      <c r="D114">
        <f t="shared" si="2"/>
        <v>0</v>
      </c>
      <c r="E114" s="9">
        <f t="shared" si="3"/>
        <v>0</v>
      </c>
      <c r="F114" s="8">
        <f t="shared" si="4"/>
        <v>0</v>
      </c>
      <c r="G114" s="9" t="e">
        <f t="shared" si="5"/>
        <v>#VALUE!</v>
      </c>
    </row>
    <row r="115" spans="2:7" x14ac:dyDescent="0.25">
      <c r="B115" s="18">
        <f t="shared" si="6"/>
        <v>0</v>
      </c>
      <c r="C115" s="8" t="s">
        <v>320</v>
      </c>
      <c r="D115">
        <f t="shared" si="2"/>
        <v>0</v>
      </c>
      <c r="E115" s="9">
        <f t="shared" si="3"/>
        <v>0</v>
      </c>
      <c r="F115" s="8">
        <f t="shared" si="4"/>
        <v>0</v>
      </c>
      <c r="G115" s="9" t="e">
        <f t="shared" si="5"/>
        <v>#VALUE!</v>
      </c>
    </row>
    <row r="116" spans="2:7" x14ac:dyDescent="0.25">
      <c r="B116" s="18">
        <f t="shared" si="6"/>
        <v>0</v>
      </c>
      <c r="C116" s="10" t="s">
        <v>628</v>
      </c>
      <c r="D116">
        <f t="shared" si="2"/>
        <v>0</v>
      </c>
      <c r="E116" s="9">
        <f t="shared" si="3"/>
        <v>0</v>
      </c>
      <c r="F116" s="10">
        <f t="shared" si="4"/>
        <v>0</v>
      </c>
      <c r="G116" s="12" t="e">
        <f t="shared" si="5"/>
        <v>#VALUE!</v>
      </c>
    </row>
    <row r="117" spans="2:7" x14ac:dyDescent="0.25">
      <c r="B117" s="18">
        <f>SUM(B94:B116)</f>
        <v>100</v>
      </c>
      <c r="E117" s="9">
        <f>SUM(E94:E116)</f>
        <v>2486</v>
      </c>
      <c r="F117" s="8">
        <f>SUM(F94:F114)</f>
        <v>0</v>
      </c>
      <c r="G117" s="9" t="e">
        <f>SUM(G94:G114)</f>
        <v>#VALUE!</v>
      </c>
    </row>
    <row r="118" spans="2:7" x14ac:dyDescent="0.25">
      <c r="E118" s="9">
        <f>E86-E117</f>
        <v>0</v>
      </c>
      <c r="F118" s="10" t="s">
        <v>389</v>
      </c>
      <c r="G118" s="12" t="e">
        <f>E86-F117-G117</f>
        <v>#VALUE!</v>
      </c>
    </row>
    <row r="120" spans="2:7" x14ac:dyDescent="0.25">
      <c r="C120" s="13"/>
      <c r="D120" s="14" t="s">
        <v>93</v>
      </c>
      <c r="E120" s="15" t="s">
        <v>94</v>
      </c>
    </row>
    <row r="121" spans="2:7" x14ac:dyDescent="0.25">
      <c r="C121" s="8" t="s">
        <v>402</v>
      </c>
      <c r="D121">
        <f>SUMIFS($D$49:$D$82,$E$49:$E$82,D$120,$F$49:$F$82,"&lt;5.1")</f>
        <v>0</v>
      </c>
      <c r="E121" s="9">
        <f>SUMIFS($D$49:$D$82,$E$49:$E$82,E$120,$F$49:$F$82,"&lt;5.1")</f>
        <v>0</v>
      </c>
    </row>
    <row r="122" spans="2:7" x14ac:dyDescent="0.25">
      <c r="C122" s="29" t="s">
        <v>403</v>
      </c>
      <c r="D122">
        <f>SUMIFS($D$49:$D$82,$E$49:$E$82,D$120,$F$49:$F$82,"&lt;10.1")-D121</f>
        <v>0</v>
      </c>
      <c r="E122" s="9">
        <f>SUMIFS($D$49:$D$82,$E$49:$E$82,E$120,$F$49:$F$82,"&lt;10.1")-E121</f>
        <v>0</v>
      </c>
    </row>
    <row r="123" spans="2:7" x14ac:dyDescent="0.25">
      <c r="C123" s="29" t="s">
        <v>404</v>
      </c>
      <c r="D123">
        <f>SUMIFS($D$49:$D$82,$E$49:$E$82,D$120,$F$49:$F$82,"&lt;15.1")-D122-D121</f>
        <v>0</v>
      </c>
      <c r="E123" s="9">
        <f>SUMIFS($D$49:$D$82,$E$49:$E$82,E$120,$F$49:$F$82,"&lt;15.1")-E122-E121</f>
        <v>0</v>
      </c>
    </row>
    <row r="124" spans="2:7" x14ac:dyDescent="0.25">
      <c r="C124" s="29" t="s">
        <v>102</v>
      </c>
      <c r="D124">
        <f>SUMIFS($D$49:$D$82,$E$49:$E$82,D$120,$F$49:$F$82,"&lt;20.1")-D123-D122-D121</f>
        <v>0</v>
      </c>
      <c r="E124" s="9">
        <f>SUMIFS($D$49:$D$82,$E$49:$E$82,E$120,$F$49:$F$82,"&lt;20.1")-E123-E122-E121</f>
        <v>0</v>
      </c>
    </row>
    <row r="125" spans="2:7" x14ac:dyDescent="0.25">
      <c r="C125" s="8" t="s">
        <v>405</v>
      </c>
      <c r="D125">
        <f>SUMIFS($D$49:$D$82,$E$49:$E$82,D$120,$F$49:$F$82,"&lt;40.1")-D124-D123-D122-D121</f>
        <v>0</v>
      </c>
      <c r="E125" s="9">
        <f>SUMIFS($D$49:$D$82,$E$49:$E$82,E$120,$F$49:$F$82,"&lt;40.1")-E124-E123-E122-E121</f>
        <v>0</v>
      </c>
    </row>
    <row r="126" spans="2:7" x14ac:dyDescent="0.25">
      <c r="C126" s="10" t="s">
        <v>406</v>
      </c>
      <c r="D126" s="11">
        <f>E89-SUM(D121:D125)</f>
        <v>0</v>
      </c>
      <c r="E126" s="12">
        <f>E88-SUM(E121:E125)</f>
        <v>0</v>
      </c>
    </row>
  </sheetData>
  <pageMargins left="0.7" right="0.7" top="0.75" bottom="0.75" header="0.3" footer="0.3"/>
  <pageSetup paperSize="9" orientation="portrait" r:id="rId1"/>
  <headerFooter>
    <oddFooter>&amp;L&amp;1#&amp;"Arial"&amp;8&amp;KD5DAD9</oddFooter>
  </headerFooter>
  <drawing r:id="rId2"/>
  <legacy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AI114"/>
  <sheetViews>
    <sheetView zoomScale="85" zoomScaleNormal="85" workbookViewId="0">
      <selection activeCell="M58" sqref="M58"/>
    </sheetView>
  </sheetViews>
  <sheetFormatPr defaultRowHeight="15" x14ac:dyDescent="0.25"/>
  <cols>
    <col min="1" max="1" width="2.42578125" customWidth="1"/>
    <col min="2" max="2" width="13.85546875" bestFit="1" customWidth="1"/>
    <col min="3" max="3" width="1.42578125" customWidth="1"/>
    <col min="4" max="4" width="1.5703125" customWidth="1"/>
    <col min="5" max="5" width="0.42578125" customWidth="1"/>
    <col min="6" max="6" width="1.5703125" customWidth="1"/>
    <col min="7" max="7" width="1.85546875" customWidth="1"/>
    <col min="8" max="10" width="0" hidden="1" customWidth="1"/>
    <col min="11" max="11" width="3" customWidth="1"/>
    <col min="12" max="12" width="1.5703125" customWidth="1"/>
    <col min="13" max="16" width="8.140625" customWidth="1"/>
    <col min="17" max="18" width="9.28515625" customWidth="1"/>
    <col min="19" max="19" width="10.28515625" customWidth="1"/>
  </cols>
  <sheetData>
    <row r="2" spans="2:33" x14ac:dyDescent="0.25">
      <c r="K2" t="s">
        <v>861</v>
      </c>
      <c r="P2">
        <f>COUNTIF(P6:P83,"&gt;1")</f>
        <v>17</v>
      </c>
      <c r="Q2">
        <f t="shared" ref="Q2:AD2" si="0">COUNTIF(Q6:Q83,"&gt;1")</f>
        <v>21</v>
      </c>
      <c r="R2">
        <f t="shared" si="0"/>
        <v>20</v>
      </c>
      <c r="S2">
        <f t="shared" si="0"/>
        <v>17</v>
      </c>
      <c r="T2">
        <f t="shared" si="0"/>
        <v>19</v>
      </c>
      <c r="U2">
        <f t="shared" si="0"/>
        <v>17</v>
      </c>
      <c r="V2">
        <f t="shared" si="0"/>
        <v>13</v>
      </c>
      <c r="W2">
        <f t="shared" si="0"/>
        <v>15</v>
      </c>
      <c r="X2">
        <f t="shared" si="0"/>
        <v>11</v>
      </c>
      <c r="Y2">
        <f t="shared" si="0"/>
        <v>9</v>
      </c>
      <c r="Z2">
        <f t="shared" si="0"/>
        <v>8</v>
      </c>
      <c r="AA2">
        <f t="shared" si="0"/>
        <v>8</v>
      </c>
      <c r="AB2">
        <f t="shared" si="0"/>
        <v>9</v>
      </c>
      <c r="AC2">
        <f t="shared" si="0"/>
        <v>5</v>
      </c>
      <c r="AD2">
        <f t="shared" si="0"/>
        <v>4</v>
      </c>
    </row>
    <row r="3" spans="2:33" x14ac:dyDescent="0.25">
      <c r="V3" s="3" t="s">
        <v>1065</v>
      </c>
    </row>
    <row r="4" spans="2:33" x14ac:dyDescent="0.25">
      <c r="B4" t="s">
        <v>776</v>
      </c>
      <c r="C4" t="s">
        <v>685</v>
      </c>
      <c r="D4" t="s">
        <v>686</v>
      </c>
      <c r="E4" t="s">
        <v>686</v>
      </c>
      <c r="F4" t="s">
        <v>687</v>
      </c>
      <c r="G4" t="s">
        <v>688</v>
      </c>
      <c r="H4" t="s">
        <v>689</v>
      </c>
      <c r="I4" t="s">
        <v>690</v>
      </c>
      <c r="J4" t="s">
        <v>691</v>
      </c>
      <c r="M4" t="s">
        <v>400</v>
      </c>
      <c r="O4">
        <v>2023</v>
      </c>
      <c r="P4">
        <v>2022</v>
      </c>
      <c r="Q4">
        <v>2021</v>
      </c>
      <c r="R4">
        <v>2020</v>
      </c>
      <c r="S4">
        <v>2019</v>
      </c>
      <c r="T4">
        <v>2018</v>
      </c>
      <c r="U4">
        <v>2017</v>
      </c>
      <c r="V4">
        <v>2016</v>
      </c>
      <c r="W4">
        <v>2015</v>
      </c>
      <c r="X4">
        <v>2014</v>
      </c>
      <c r="Y4">
        <v>2013</v>
      </c>
      <c r="Z4">
        <v>2012</v>
      </c>
      <c r="AA4">
        <v>2011</v>
      </c>
      <c r="AB4">
        <v>2010</v>
      </c>
      <c r="AC4">
        <v>2009</v>
      </c>
      <c r="AD4">
        <v>2008</v>
      </c>
      <c r="AE4">
        <v>2007</v>
      </c>
      <c r="AG4" t="s">
        <v>1695</v>
      </c>
    </row>
    <row r="5" spans="2:33" x14ac:dyDescent="0.25">
      <c r="T5" s="1"/>
    </row>
    <row r="6" spans="2:33" x14ac:dyDescent="0.25">
      <c r="B6" t="s">
        <v>92</v>
      </c>
      <c r="M6" s="1">
        <f>SUM(O6:AE6)</f>
        <v>739.6</v>
      </c>
      <c r="N6" s="1"/>
      <c r="O6">
        <f>SUMIF('OI 2023'!$I$158:$I$176,'Vestas turbines hist #'!B6,'OI 2023'!$J$158:$J$176)</f>
        <v>0</v>
      </c>
      <c r="P6" s="1">
        <f>SUMIF('OI 2022'!$I$158:$I$175,'Vestas turbines hist #'!B6,'OI 2022'!$K$158:$K$175)</f>
        <v>0</v>
      </c>
      <c r="Q6" s="1">
        <f>SUMIF('OI 2021'!$I$145:$I$166,'Vestas turbines hist #'!B6,'OI 2021'!$K$145:$K$166)</f>
        <v>0</v>
      </c>
      <c r="R6" s="1">
        <f>SUMIF('OI 2020'!$I$144:$I$165,'Vestas turbines hist #'!B6,'OI 2020'!$K$144:$K$165)</f>
        <v>0</v>
      </c>
      <c r="S6" s="1">
        <f>SUMIF('OI 2019'!$I$113:$I$132,'Vestas turbines hist #'!B6,'OI 2019'!$L$113:$L$132)</f>
        <v>0</v>
      </c>
      <c r="T6" s="1">
        <f>SUMIF('OI 2018'!$I$112:$I$131,'Vestas turbines hist #'!B6,'OI 2018'!$L$112:$L$131)</f>
        <v>100</v>
      </c>
      <c r="U6" s="1">
        <f>SUMIF('OI 2017'!$I$111:$I$130,'Vestas turbines hist #'!B6,'OI 2017'!$L$111:$L$130)</f>
        <v>175</v>
      </c>
      <c r="V6" s="1">
        <f>SUMIF('OI 2016'!$I$87:$I$99,'Vestas turbines hist #'!$B6,'OI 2016'!$L$87:$L$99)</f>
        <v>184.6</v>
      </c>
      <c r="W6" s="1">
        <f>SUMIF('OI 2015'!$I$87:$I$101,'Vestas turbines hist #'!$B6,'OI 2015'!$L$87:$L$101)</f>
        <v>75</v>
      </c>
      <c r="X6" s="1">
        <f>SUMIF('OI 2014'!$I$87:$I$101,'Vestas turbines hist #'!$B6,'OI 2014'!$L$87:$L$101)</f>
        <v>30</v>
      </c>
      <c r="Y6" s="1">
        <f>SUMIF('OI 2013'!$I$87:$I$101,'Vestas turbines hist #'!$B6,'OI 2013'!$L$87:$L$101)</f>
        <v>175</v>
      </c>
      <c r="Z6" s="1">
        <f>SUMIF('OI 2012'!$I$87:$I$101,'Vestas turbines hist #'!$B6,'OI 2012'!$L$87:$L$101)</f>
        <v>0</v>
      </c>
      <c r="AA6" s="1">
        <f>SUMIF('OI 2011'!$I$95:$I$104,'Vestas turbines hist #'!$B6,'OI 2011'!$L$95:$L$104)</f>
        <v>0</v>
      </c>
      <c r="AB6" s="1">
        <f>SUMIF('OI 2010'!$I$95:$I$107,'Vestas turbines hist #'!$B6,'OI 2010'!$L$95:$L$107)</f>
        <v>0</v>
      </c>
      <c r="AC6" s="1">
        <f>SUMIF('OI 2009'!$I$95:$I$107,'Vestas turbines hist #'!$B6,'OI 2009'!$L$95:$L$107)</f>
        <v>0</v>
      </c>
      <c r="AD6" s="1">
        <f>SUMIF('OI 2008'!$I$95:$I$107,'Vestas turbines hist #'!$B6,'OI 2008'!$L$95:$L$107)</f>
        <v>0</v>
      </c>
    </row>
    <row r="7" spans="2:33" x14ac:dyDescent="0.25">
      <c r="B7" t="s">
        <v>232</v>
      </c>
      <c r="M7" s="1">
        <f t="shared" ref="M7:M70" si="1">SUM(O7:AE7)</f>
        <v>26</v>
      </c>
      <c r="N7" s="1"/>
      <c r="O7">
        <f>SUMIF('OI 2023'!$I$158:$I$176,'Vestas turbines hist #'!B7,'OI 2023'!$J$158:$J$176)</f>
        <v>0</v>
      </c>
      <c r="P7" s="1">
        <f>SUMIF('OI 2022'!$I$158:$I$175,'Vestas turbines hist #'!B7,'OI 2022'!$K$158:$K$175)</f>
        <v>0</v>
      </c>
      <c r="Q7" s="1">
        <f>SUMIF('OI 2021'!$I$145:$I$166,'Vestas turbines hist #'!B7,'OI 2021'!$K$145:$K$166)</f>
        <v>0</v>
      </c>
      <c r="R7" s="1">
        <f>SUMIF('OI 2020'!$I$144:$I$165,'Vestas turbines hist #'!B7,'OI 2020'!$K$144:$K$165)</f>
        <v>0</v>
      </c>
      <c r="S7" s="1">
        <f>SUMIF('OI 2019'!$I$113:$I$132,'Vestas turbines hist #'!B7,'OI 2019'!$L$113:$L$132)</f>
        <v>0</v>
      </c>
      <c r="T7" s="1">
        <f>SUMIF('OI 2018'!$I$112:$I$131,'Vestas turbines hist #'!B7,'OI 2018'!$L$112:$L$131)</f>
        <v>0</v>
      </c>
      <c r="U7" s="1">
        <f>SUMIF('OI 2017'!$I$111:$I$130,'Vestas turbines hist #'!B7,'OI 2017'!$L$111:$L$130)</f>
        <v>0</v>
      </c>
      <c r="V7" s="1">
        <f>SUMIF('OI 2016'!$I$87:$I$99,'Vestas turbines hist #'!$B7,'OI 2016'!$L$87:$L$99)</f>
        <v>26</v>
      </c>
      <c r="W7" s="1">
        <f>SUMIF('OI 2015'!$I$87:$I$101,'Vestas turbines hist #'!$B7,'OI 2015'!$L$87:$L$101)</f>
        <v>0</v>
      </c>
      <c r="X7" s="1">
        <f>SUMIF('OI 2014'!$I$87:$I$101,'Vestas turbines hist #'!$B7,'OI 2014'!$L$87:$L$101)</f>
        <v>0</v>
      </c>
      <c r="Y7" s="1">
        <f>SUMIF('OI 2013'!$I$87:$I$101,'Vestas turbines hist #'!$B7,'OI 2013'!$L$87:$L$101)</f>
        <v>0</v>
      </c>
      <c r="Z7" s="1">
        <f>SUMIF('OI 2012'!$I$87:$I$101,'Vestas turbines hist #'!$B7,'OI 2012'!$L$87:$L$101)</f>
        <v>0</v>
      </c>
      <c r="AA7" s="1">
        <f>SUMIF('OI 2011'!$I$95:$I$104,'Vestas turbines hist #'!$B7,'OI 2011'!$L$95:$L$104)</f>
        <v>0</v>
      </c>
      <c r="AB7" s="1">
        <f>SUMIF('OI 2010'!$I$95:$I$107,'Vestas turbines hist #'!$B7,'OI 2010'!$L$95:$L$107)</f>
        <v>0</v>
      </c>
      <c r="AC7" s="1">
        <f>SUMIF('OI 2009'!$I$95:$I$107,'Vestas turbines hist #'!$B7,'OI 2009'!$L$95:$L$107)</f>
        <v>0</v>
      </c>
      <c r="AD7" s="1">
        <f>SUMIF('OI 2008'!$I$95:$I$107,'Vestas turbines hist #'!$B7,'OI 2008'!$L$95:$L$107)</f>
        <v>0</v>
      </c>
    </row>
    <row r="8" spans="2:33" x14ac:dyDescent="0.25">
      <c r="B8" t="s">
        <v>379</v>
      </c>
      <c r="M8" s="1">
        <f t="shared" si="1"/>
        <v>111.75</v>
      </c>
      <c r="N8" s="1"/>
      <c r="O8">
        <f>SUMIF('OI 2023'!$I$158:$I$176,'Vestas turbines hist #'!B8,'OI 2023'!$J$158:$J$176)</f>
        <v>0</v>
      </c>
      <c r="P8" s="1">
        <f>SUMIF('OI 2022'!$I$158:$I$175,'Vestas turbines hist #'!B8,'OI 2022'!$K$158:$K$175)</f>
        <v>0</v>
      </c>
      <c r="Q8" s="1">
        <f>SUMIF('OI 2021'!$I$145:$I$166,'Vestas turbines hist #'!B8,'OI 2021'!$K$145:$K$166)</f>
        <v>12</v>
      </c>
      <c r="R8" s="1">
        <f>SUMIF('OI 2020'!$I$144:$I$165,'Vestas turbines hist #'!B8,'OI 2020'!$K$144:$K$165)</f>
        <v>0</v>
      </c>
      <c r="S8" s="1">
        <f>SUMIF('OI 2019'!$I$113:$I$132,'Vestas turbines hist #'!B8,'OI 2019'!$L$113:$L$132)</f>
        <v>0</v>
      </c>
      <c r="T8" s="1">
        <f>SUMIF('OI 2018'!$I$112:$I$131,'Vestas turbines hist #'!B8,'OI 2018'!$L$112:$L$131)</f>
        <v>20.25</v>
      </c>
      <c r="U8" s="1">
        <f>SUMIF('OI 2017'!$I$111:$I$130,'Vestas turbines hist #'!B8,'OI 2017'!$L$111:$L$130)</f>
        <v>79.5</v>
      </c>
      <c r="V8" s="1">
        <f>SUMIF('OI 2016'!$I$87:$I$99,'Vestas turbines hist #'!$B8,'OI 2016'!$L$87:$L$99)</f>
        <v>0</v>
      </c>
      <c r="W8" s="1">
        <f>SUMIF('OI 2015'!$I$87:$I$101,'Vestas turbines hist #'!$B8,'OI 2015'!$L$87:$L$101)</f>
        <v>0</v>
      </c>
      <c r="X8" s="1">
        <f>SUMIF('OI 2014'!$I$87:$I$101,'Vestas turbines hist #'!$B8,'OI 2014'!$L$87:$L$101)</f>
        <v>0</v>
      </c>
      <c r="Y8" s="1">
        <f>SUMIF('OI 2013'!$I$87:$I$101,'Vestas turbines hist #'!$B8,'OI 2013'!$L$87:$L$101)</f>
        <v>0</v>
      </c>
      <c r="Z8" s="1">
        <f>SUMIF('OI 2012'!$I$87:$I$101,'Vestas turbines hist #'!$B8,'OI 2012'!$L$87:$L$101)</f>
        <v>0</v>
      </c>
      <c r="AA8" s="1">
        <f>SUMIF('OI 2011'!$I$95:$I$104,'Vestas turbines hist #'!$B8,'OI 2011'!$L$95:$L$104)</f>
        <v>0</v>
      </c>
      <c r="AB8" s="1">
        <f>SUMIF('OI 2010'!$I$95:$I$107,'Vestas turbines hist #'!$B8,'OI 2010'!$L$95:$L$107)</f>
        <v>0</v>
      </c>
      <c r="AC8" s="1">
        <f>SUMIF('OI 2009'!$I$95:$I$107,'Vestas turbines hist #'!$B8,'OI 2009'!$L$95:$L$107)</f>
        <v>0</v>
      </c>
      <c r="AD8" s="1">
        <f>SUMIF('OI 2008'!$I$95:$I$107,'Vestas turbines hist #'!$B8,'OI 2008'!$L$95:$L$107)</f>
        <v>0</v>
      </c>
    </row>
    <row r="9" spans="2:33" x14ac:dyDescent="0.25">
      <c r="M9" s="1">
        <f t="shared" si="1"/>
        <v>0</v>
      </c>
      <c r="N9" s="1"/>
      <c r="O9">
        <f>SUMIF('OI 2023'!$I$158:$I$176,'Vestas turbines hist #'!B9,'OI 2023'!$J$158:$J$176)</f>
        <v>0</v>
      </c>
      <c r="P9" s="1"/>
      <c r="Q9" s="1"/>
      <c r="R9" s="1"/>
      <c r="S9" s="1"/>
      <c r="T9" s="1"/>
      <c r="U9" s="1"/>
      <c r="V9" s="1"/>
      <c r="W9" s="1"/>
      <c r="X9" s="1"/>
      <c r="Y9" s="1"/>
      <c r="Z9" s="1"/>
      <c r="AA9" s="1"/>
      <c r="AB9" s="1"/>
      <c r="AC9" s="1"/>
      <c r="AD9" s="1"/>
    </row>
    <row r="10" spans="2:33" hidden="1" x14ac:dyDescent="0.25">
      <c r="B10" t="s">
        <v>783</v>
      </c>
      <c r="C10" t="s">
        <v>752</v>
      </c>
      <c r="D10" s="24">
        <f t="shared" ref="D10:D39" si="2">E10/1000</f>
        <v>0.1</v>
      </c>
      <c r="E10">
        <v>100</v>
      </c>
      <c r="F10">
        <v>20</v>
      </c>
      <c r="G10">
        <v>1987</v>
      </c>
      <c r="H10">
        <v>4.5999999999999996</v>
      </c>
      <c r="I10">
        <v>5.6</v>
      </c>
      <c r="J10">
        <v>1.7</v>
      </c>
      <c r="M10" s="1">
        <f t="shared" si="1"/>
        <v>0</v>
      </c>
      <c r="N10" s="1"/>
      <c r="O10">
        <f>SUMIF('OI 2023'!$I$158:$I$176,'Vestas turbines hist #'!B10,'OI 2023'!$J$158:$J$176)</f>
        <v>0</v>
      </c>
      <c r="P10" s="1">
        <f>SUMIF('OI 2022'!$I$158:$I$175,'Vestas turbines hist #'!B10,'OI 2022'!$K$158:$K$175)</f>
        <v>0</v>
      </c>
      <c r="Q10" s="1">
        <f>SUMIF('OI 2021'!$I$145:$I$166,'Vestas turbines hist #'!B10,'OI 2021'!$K$145:$K$166)</f>
        <v>0</v>
      </c>
      <c r="R10" s="1">
        <f>SUMIF('OI 2020'!$I$144:$I$165,'Vestas turbines hist #'!B10,'OI 2020'!$K$144:$K$165)</f>
        <v>0</v>
      </c>
      <c r="S10" s="1">
        <f>SUMIF('OI 2019'!$I$113:$I$132,'Vestas turbines hist #'!B10,'OI 2019'!$L$113:$L$132)</f>
        <v>0</v>
      </c>
      <c r="T10" s="1">
        <f>SUMIF('OI 2018'!$I$114:$I$131,'Vestas turbines hist #'!B10,'OI 2018'!$L$114:$L$131)</f>
        <v>0</v>
      </c>
      <c r="U10" s="1">
        <f>SUMIF('OI 2017'!$I$113:$I$130,'Vestas turbines hist #'!B10,'OI 2017'!$L$113:$L$130)</f>
        <v>0</v>
      </c>
      <c r="V10" s="1">
        <f>SUMIF('OI 2016'!$I$87:$I$99,'Vestas turbines hist #'!$B10,'OI 2016'!$L$87:$L$99)</f>
        <v>0</v>
      </c>
      <c r="W10" s="1">
        <f>SUMIF('OI 2015'!$I$87:$I$101,'Vestas turbines hist #'!$B10,'OI 2015'!$L$87:$L$101)</f>
        <v>0</v>
      </c>
      <c r="X10" s="1">
        <f>SUMIF('OI 2014'!$I$87:$I$101,'Vestas turbines hist #'!$B10,'OI 2014'!$L$87:$L$101)</f>
        <v>0</v>
      </c>
      <c r="Y10" s="1">
        <f>SUMIF('OI 2013'!$I$87:$I$101,'Vestas turbines hist #'!$B10,'OI 2013'!$L$87:$L$101)</f>
        <v>0</v>
      </c>
      <c r="Z10" s="1">
        <f>SUMIF('OI 2012'!$I$87:$I$101,'Vestas turbines hist #'!$B10,'OI 2012'!$L$87:$L$101)</f>
        <v>0</v>
      </c>
      <c r="AA10" s="1">
        <f>SUMIF('OI 2011'!$I$95:$I$104,'Vestas turbines hist #'!$B10,'OI 2011'!$L$95:$L$104)</f>
        <v>0</v>
      </c>
      <c r="AB10" s="1">
        <f>SUMIF('OI 2010'!$I$95:$I$107,'Vestas turbines hist #'!$B10,'OI 2010'!$L$95:$L$107)</f>
        <v>0</v>
      </c>
      <c r="AC10" s="1">
        <f>SUMIF('OI 2009'!$I$95:$I$107,'Vestas turbines hist #'!$B10,'OI 2009'!$L$95:$L$107)</f>
        <v>0</v>
      </c>
      <c r="AD10" s="1">
        <f>SUMIF('OI 2008'!$I$95:$I$107,'Vestas turbines hist #'!$B10,'OI 2008'!$L$95:$L$107)</f>
        <v>0</v>
      </c>
    </row>
    <row r="11" spans="2:33" hidden="1" x14ac:dyDescent="0.25">
      <c r="B11" t="s">
        <v>784</v>
      </c>
      <c r="C11" t="s">
        <v>752</v>
      </c>
      <c r="D11" s="24">
        <f t="shared" si="2"/>
        <v>0.15</v>
      </c>
      <c r="E11">
        <v>150</v>
      </c>
      <c r="F11">
        <v>23</v>
      </c>
      <c r="G11">
        <v>1987</v>
      </c>
      <c r="H11" t="s">
        <v>752</v>
      </c>
      <c r="I11" t="s">
        <v>752</v>
      </c>
      <c r="J11" t="s">
        <v>752</v>
      </c>
      <c r="M11" s="1">
        <f t="shared" si="1"/>
        <v>0</v>
      </c>
      <c r="N11" s="1"/>
      <c r="O11">
        <f>SUMIF('OI 2023'!$I$158:$I$176,'Vestas turbines hist #'!B11,'OI 2023'!$J$158:$J$176)</f>
        <v>0</v>
      </c>
      <c r="P11" s="1">
        <f>SUMIF('OI 2022'!$I$158:$I$175,'Vestas turbines hist #'!B11,'OI 2022'!$K$158:$K$175)</f>
        <v>0</v>
      </c>
      <c r="Q11" s="1">
        <f>SUMIF('OI 2021'!$I$145:$I$166,'Vestas turbines hist #'!B11,'OI 2021'!$K$145:$K$166)</f>
        <v>0</v>
      </c>
      <c r="R11" s="1">
        <f>SUMIF('OI 2020'!$I$144:$I$165,'Vestas turbines hist #'!B11,'OI 2020'!$K$144:$K$165)</f>
        <v>0</v>
      </c>
      <c r="S11" s="1">
        <f>SUMIF('OI 2019'!$I$113:$I$132,'Vestas turbines hist #'!B11,'OI 2019'!$L$113:$L$132)</f>
        <v>0</v>
      </c>
      <c r="T11" s="1">
        <f>SUMIF('OI 2018'!$I$114:$I$131,'Vestas turbines hist #'!B11,'OI 2018'!$L$114:$L$131)</f>
        <v>0</v>
      </c>
      <c r="U11" s="1">
        <f>SUMIF('OI 2017'!$I$113:$I$130,'Vestas turbines hist #'!B11,'OI 2017'!$L$113:$L$130)</f>
        <v>0</v>
      </c>
      <c r="V11" s="1">
        <f>SUMIF('OI 2016'!$I$87:$I$99,'Vestas turbines hist #'!$B11,'OI 2016'!$L$87:$L$99)</f>
        <v>0</v>
      </c>
      <c r="W11" s="1">
        <f>SUMIF('OI 2015'!$I$87:$I$101,'Vestas turbines hist #'!$B11,'OI 2015'!$L$87:$L$101)</f>
        <v>0</v>
      </c>
      <c r="X11" s="1">
        <f>SUMIF('OI 2014'!$I$87:$I$101,'Vestas turbines hist #'!$B11,'OI 2014'!$L$87:$L$101)</f>
        <v>0</v>
      </c>
      <c r="Y11" s="1">
        <f>SUMIF('OI 2013'!$I$87:$I$101,'Vestas turbines hist #'!$B11,'OI 2013'!$L$87:$L$101)</f>
        <v>0</v>
      </c>
      <c r="Z11" s="1">
        <f>SUMIF('OI 2012'!$I$87:$I$101,'Vestas turbines hist #'!$B11,'OI 2012'!$L$87:$L$101)</f>
        <v>0</v>
      </c>
      <c r="AA11" s="1">
        <f>SUMIF('OI 2011'!$I$95:$I$104,'Vestas turbines hist #'!$B11,'OI 2011'!$L$95:$L$104)</f>
        <v>0</v>
      </c>
      <c r="AB11" s="1">
        <f>SUMIF('OI 2010'!$I$95:$I$107,'Vestas turbines hist #'!$B11,'OI 2010'!$L$95:$L$107)</f>
        <v>0</v>
      </c>
      <c r="AC11" s="1">
        <f>SUMIF('OI 2009'!$I$95:$I$107,'Vestas turbines hist #'!$B11,'OI 2009'!$L$95:$L$107)</f>
        <v>0</v>
      </c>
      <c r="AD11" s="1">
        <f>SUMIF('OI 2008'!$I$95:$I$107,'Vestas turbines hist #'!$B11,'OI 2008'!$L$95:$L$107)</f>
        <v>0</v>
      </c>
    </row>
    <row r="12" spans="2:33" hidden="1" x14ac:dyDescent="0.25">
      <c r="B12" t="s">
        <v>785</v>
      </c>
      <c r="C12" t="s">
        <v>752</v>
      </c>
      <c r="D12" s="24">
        <f t="shared" si="2"/>
        <v>0.2</v>
      </c>
      <c r="E12">
        <v>200</v>
      </c>
      <c r="F12">
        <v>23</v>
      </c>
      <c r="G12">
        <v>1988</v>
      </c>
      <c r="H12" t="s">
        <v>752</v>
      </c>
      <c r="I12" t="s">
        <v>752</v>
      </c>
      <c r="J12" t="s">
        <v>752</v>
      </c>
      <c r="M12" s="1">
        <f t="shared" si="1"/>
        <v>0</v>
      </c>
      <c r="N12" s="1"/>
      <c r="O12">
        <f>SUMIF('OI 2023'!$I$158:$I$176,'Vestas turbines hist #'!B12,'OI 2023'!$J$158:$J$176)</f>
        <v>0</v>
      </c>
      <c r="P12" s="1">
        <f>SUMIF('OI 2022'!$I$158:$I$175,'Vestas turbines hist #'!B12,'OI 2022'!$K$158:$K$175)</f>
        <v>0</v>
      </c>
      <c r="Q12" s="1">
        <f>SUMIF('OI 2021'!$I$145:$I$166,'Vestas turbines hist #'!B12,'OI 2021'!$K$145:$K$166)</f>
        <v>0</v>
      </c>
      <c r="R12" s="1">
        <f>SUMIF('OI 2020'!$I$144:$I$165,'Vestas turbines hist #'!B12,'OI 2020'!$K$144:$K$165)</f>
        <v>0</v>
      </c>
      <c r="S12" s="1">
        <f>SUMIF('OI 2019'!$I$113:$I$132,'Vestas turbines hist #'!B12,'OI 2019'!$L$113:$L$132)</f>
        <v>0</v>
      </c>
      <c r="T12" s="1">
        <f>SUMIF('OI 2018'!$I$114:$I$131,'Vestas turbines hist #'!B12,'OI 2018'!$L$114:$L$131)</f>
        <v>0</v>
      </c>
      <c r="U12" s="1">
        <f>SUMIF('OI 2017'!$I$113:$I$130,'Vestas turbines hist #'!B12,'OI 2017'!$L$113:$L$130)</f>
        <v>0</v>
      </c>
      <c r="V12" s="1">
        <f>SUMIF('OI 2016'!$I$87:$I$99,'Vestas turbines hist #'!$B12,'OI 2016'!$L$87:$L$99)</f>
        <v>0</v>
      </c>
      <c r="W12" s="1">
        <f>SUMIF('OI 2015'!$I$87:$I$101,'Vestas turbines hist #'!$B12,'OI 2015'!$L$87:$L$101)</f>
        <v>0</v>
      </c>
      <c r="X12" s="1">
        <f>SUMIF('OI 2014'!$I$87:$I$101,'Vestas turbines hist #'!$B12,'OI 2014'!$L$87:$L$101)</f>
        <v>0</v>
      </c>
      <c r="Y12" s="1">
        <f>SUMIF('OI 2013'!$I$87:$I$101,'Vestas turbines hist #'!$B12,'OI 2013'!$L$87:$L$101)</f>
        <v>0</v>
      </c>
      <c r="Z12" s="1">
        <f>SUMIF('OI 2012'!$I$87:$I$101,'Vestas turbines hist #'!$B12,'OI 2012'!$L$87:$L$101)</f>
        <v>0</v>
      </c>
      <c r="AA12" s="1">
        <f>SUMIF('OI 2011'!$I$95:$I$104,'Vestas turbines hist #'!$B12,'OI 2011'!$L$95:$L$104)</f>
        <v>0</v>
      </c>
      <c r="AB12" s="1">
        <f>SUMIF('OI 2010'!$I$95:$I$107,'Vestas turbines hist #'!$B12,'OI 2010'!$L$95:$L$107)</f>
        <v>0</v>
      </c>
      <c r="AC12" s="1">
        <f>SUMIF('OI 2009'!$I$95:$I$107,'Vestas turbines hist #'!$B12,'OI 2009'!$L$95:$L$107)</f>
        <v>0</v>
      </c>
      <c r="AD12" s="1">
        <f>SUMIF('OI 2008'!$I$95:$I$107,'Vestas turbines hist #'!$B12,'OI 2008'!$L$95:$L$107)</f>
        <v>0</v>
      </c>
    </row>
    <row r="13" spans="2:33" hidden="1" x14ac:dyDescent="0.25">
      <c r="B13" t="s">
        <v>786</v>
      </c>
      <c r="C13" t="s">
        <v>752</v>
      </c>
      <c r="D13" s="24">
        <f t="shared" si="2"/>
        <v>0.2</v>
      </c>
      <c r="E13">
        <v>200</v>
      </c>
      <c r="F13">
        <v>25</v>
      </c>
      <c r="G13">
        <v>1988</v>
      </c>
      <c r="H13">
        <v>7.1</v>
      </c>
      <c r="I13">
        <v>11.5</v>
      </c>
      <c r="J13">
        <v>3.2</v>
      </c>
      <c r="M13" s="1">
        <f t="shared" si="1"/>
        <v>0</v>
      </c>
      <c r="N13" s="1"/>
      <c r="O13">
        <f>SUMIF('OI 2023'!$I$158:$I$176,'Vestas turbines hist #'!B13,'OI 2023'!$J$158:$J$176)</f>
        <v>0</v>
      </c>
      <c r="P13" s="1">
        <f>SUMIF('OI 2022'!$I$158:$I$175,'Vestas turbines hist #'!B13,'OI 2022'!$K$158:$K$175)</f>
        <v>0</v>
      </c>
      <c r="Q13" s="1">
        <f>SUMIF('OI 2021'!$I$145:$I$166,'Vestas turbines hist #'!B13,'OI 2021'!$K$145:$K$166)</f>
        <v>0</v>
      </c>
      <c r="R13" s="1">
        <f>SUMIF('OI 2020'!$I$144:$I$165,'Vestas turbines hist #'!B13,'OI 2020'!$K$144:$K$165)</f>
        <v>0</v>
      </c>
      <c r="S13" s="1">
        <f>SUMIF('OI 2019'!$I$113:$I$132,'Vestas turbines hist #'!B13,'OI 2019'!$L$113:$L$132)</f>
        <v>0</v>
      </c>
      <c r="T13" s="1">
        <f>SUMIF('OI 2018'!$I$114:$I$131,'Vestas turbines hist #'!B13,'OI 2018'!$L$114:$L$131)</f>
        <v>0</v>
      </c>
      <c r="U13" s="1">
        <f>SUMIF('OI 2017'!$I$113:$I$130,'Vestas turbines hist #'!B13,'OI 2017'!$L$113:$L$130)</f>
        <v>0</v>
      </c>
      <c r="V13" s="1">
        <f>SUMIF('OI 2016'!$I$87:$I$99,'Vestas turbines hist #'!$B13,'OI 2016'!$L$87:$L$99)</f>
        <v>0</v>
      </c>
      <c r="W13" s="1">
        <f>SUMIF('OI 2015'!$I$87:$I$101,'Vestas turbines hist #'!$B13,'OI 2015'!$L$87:$L$101)</f>
        <v>0</v>
      </c>
      <c r="X13" s="1">
        <f>SUMIF('OI 2014'!$I$87:$I$101,'Vestas turbines hist #'!$B13,'OI 2014'!$L$87:$L$101)</f>
        <v>0</v>
      </c>
      <c r="Y13" s="1">
        <f>SUMIF('OI 2013'!$I$87:$I$101,'Vestas turbines hist #'!$B13,'OI 2013'!$L$87:$L$101)</f>
        <v>0</v>
      </c>
      <c r="Z13" s="1">
        <f>SUMIF('OI 2012'!$I$87:$I$101,'Vestas turbines hist #'!$B13,'OI 2012'!$L$87:$L$101)</f>
        <v>0</v>
      </c>
      <c r="AA13" s="1">
        <f>SUMIF('OI 2011'!$I$95:$I$104,'Vestas turbines hist #'!$B13,'OI 2011'!$L$95:$L$104)</f>
        <v>0</v>
      </c>
      <c r="AB13" s="1">
        <f>SUMIF('OI 2010'!$I$95:$I$107,'Vestas turbines hist #'!$B13,'OI 2010'!$L$95:$L$107)</f>
        <v>0</v>
      </c>
      <c r="AC13" s="1">
        <f>SUMIF('OI 2009'!$I$95:$I$107,'Vestas turbines hist #'!$B13,'OI 2009'!$L$95:$L$107)</f>
        <v>0</v>
      </c>
      <c r="AD13" s="1">
        <f>SUMIF('OI 2008'!$I$95:$I$107,'Vestas turbines hist #'!$B13,'OI 2008'!$L$95:$L$107)</f>
        <v>0</v>
      </c>
    </row>
    <row r="14" spans="2:33" hidden="1" x14ac:dyDescent="0.25">
      <c r="B14" t="s">
        <v>787</v>
      </c>
      <c r="C14" t="s">
        <v>752</v>
      </c>
      <c r="D14" s="24">
        <f t="shared" si="2"/>
        <v>0.22500000000000001</v>
      </c>
      <c r="E14">
        <v>225</v>
      </c>
      <c r="F14">
        <v>27</v>
      </c>
      <c r="G14">
        <v>1989</v>
      </c>
      <c r="H14">
        <v>7.9</v>
      </c>
      <c r="I14">
        <v>43078</v>
      </c>
      <c r="J14">
        <v>2.9</v>
      </c>
      <c r="M14" s="1">
        <f t="shared" si="1"/>
        <v>0</v>
      </c>
      <c r="N14" s="1"/>
      <c r="O14">
        <f>SUMIF('OI 2023'!$I$158:$I$176,'Vestas turbines hist #'!B14,'OI 2023'!$J$158:$J$176)</f>
        <v>0</v>
      </c>
      <c r="P14" s="1">
        <f>SUMIF('OI 2022'!$I$158:$I$175,'Vestas turbines hist #'!B14,'OI 2022'!$K$158:$K$175)</f>
        <v>0</v>
      </c>
      <c r="Q14" s="1">
        <f>SUMIF('OI 2021'!$I$145:$I$166,'Vestas turbines hist #'!B14,'OI 2021'!$K$145:$K$166)</f>
        <v>0</v>
      </c>
      <c r="R14" s="1">
        <f>SUMIF('OI 2020'!$I$144:$I$165,'Vestas turbines hist #'!B14,'OI 2020'!$K$144:$K$165)</f>
        <v>0</v>
      </c>
      <c r="S14" s="1">
        <f>SUMIF('OI 2019'!$I$113:$I$132,'Vestas turbines hist #'!B14,'OI 2019'!$L$113:$L$132)</f>
        <v>0</v>
      </c>
      <c r="T14" s="1">
        <f>SUMIF('OI 2018'!$I$114:$I$131,'Vestas turbines hist #'!B14,'OI 2018'!$L$114:$L$131)</f>
        <v>0</v>
      </c>
      <c r="U14" s="1">
        <f>SUMIF('OI 2017'!$I$113:$I$130,'Vestas turbines hist #'!B14,'OI 2017'!$L$113:$L$130)</f>
        <v>0</v>
      </c>
      <c r="V14" s="1">
        <f>SUMIF('OI 2016'!$I$87:$I$99,'Vestas turbines hist #'!$B14,'OI 2016'!$L$87:$L$99)</f>
        <v>0</v>
      </c>
      <c r="W14" s="1">
        <f>SUMIF('OI 2015'!$I$87:$I$101,'Vestas turbines hist #'!$B14,'OI 2015'!$L$87:$L$101)</f>
        <v>0</v>
      </c>
      <c r="X14" s="1">
        <f>SUMIF('OI 2014'!$I$87:$I$101,'Vestas turbines hist #'!$B14,'OI 2014'!$L$87:$L$101)</f>
        <v>0</v>
      </c>
      <c r="Y14" s="1">
        <f>SUMIF('OI 2013'!$I$87:$I$101,'Vestas turbines hist #'!$B14,'OI 2013'!$L$87:$L$101)</f>
        <v>0</v>
      </c>
      <c r="Z14" s="1">
        <f>SUMIF('OI 2012'!$I$87:$I$101,'Vestas turbines hist #'!$B14,'OI 2012'!$L$87:$L$101)</f>
        <v>0</v>
      </c>
      <c r="AA14" s="1">
        <f>SUMIF('OI 2011'!$I$95:$I$104,'Vestas turbines hist #'!$B14,'OI 2011'!$L$95:$L$104)</f>
        <v>0</v>
      </c>
      <c r="AB14" s="1">
        <f>SUMIF('OI 2010'!$I$95:$I$107,'Vestas turbines hist #'!$B14,'OI 2010'!$L$95:$L$107)</f>
        <v>0</v>
      </c>
      <c r="AC14" s="1">
        <f>SUMIF('OI 2009'!$I$95:$I$107,'Vestas turbines hist #'!$B14,'OI 2009'!$L$95:$L$107)</f>
        <v>0</v>
      </c>
      <c r="AD14" s="1">
        <f>SUMIF('OI 2008'!$I$95:$I$107,'Vestas turbines hist #'!$B14,'OI 2008'!$L$95:$L$107)</f>
        <v>0</v>
      </c>
    </row>
    <row r="15" spans="2:33" hidden="1" x14ac:dyDescent="0.25">
      <c r="B15" t="s">
        <v>788</v>
      </c>
      <c r="C15" t="s">
        <v>752</v>
      </c>
      <c r="D15" s="24">
        <f t="shared" si="2"/>
        <v>0.27</v>
      </c>
      <c r="E15">
        <v>270</v>
      </c>
      <c r="F15">
        <v>27</v>
      </c>
      <c r="G15">
        <v>1990</v>
      </c>
      <c r="H15" t="s">
        <v>752</v>
      </c>
      <c r="I15" t="s">
        <v>752</v>
      </c>
      <c r="J15" t="s">
        <v>752</v>
      </c>
      <c r="M15" s="1">
        <f t="shared" si="1"/>
        <v>0</v>
      </c>
      <c r="N15" s="1"/>
      <c r="O15">
        <f>SUMIF('OI 2023'!$I$158:$I$176,'Vestas turbines hist #'!B15,'OI 2023'!$J$158:$J$176)</f>
        <v>0</v>
      </c>
      <c r="P15" s="1">
        <f>SUMIF('OI 2022'!$I$158:$I$175,'Vestas turbines hist #'!B15,'OI 2022'!$K$158:$K$175)</f>
        <v>0</v>
      </c>
      <c r="Q15" s="1">
        <f>SUMIF('OI 2021'!$I$145:$I$166,'Vestas turbines hist #'!B15,'OI 2021'!$K$145:$K$166)</f>
        <v>0</v>
      </c>
      <c r="R15" s="1">
        <f>SUMIF('OI 2020'!$I$144:$I$165,'Vestas turbines hist #'!B15,'OI 2020'!$K$144:$K$165)</f>
        <v>0</v>
      </c>
      <c r="S15" s="1">
        <f>SUMIF('OI 2019'!$I$113:$I$132,'Vestas turbines hist #'!B15,'OI 2019'!$L$113:$L$132)</f>
        <v>0</v>
      </c>
      <c r="T15" s="1">
        <f>SUMIF('OI 2018'!$I$114:$I$131,'Vestas turbines hist #'!B15,'OI 2018'!$L$114:$L$131)</f>
        <v>0</v>
      </c>
      <c r="U15" s="1">
        <f>SUMIF('OI 2017'!$I$113:$I$130,'Vestas turbines hist #'!B15,'OI 2017'!$L$113:$L$130)</f>
        <v>0</v>
      </c>
      <c r="V15" s="1">
        <f>SUMIF('OI 2016'!$I$87:$I$99,'Vestas turbines hist #'!$B15,'OI 2016'!$L$87:$L$99)</f>
        <v>0</v>
      </c>
      <c r="W15" s="1">
        <f>SUMIF('OI 2015'!$I$87:$I$101,'Vestas turbines hist #'!$B15,'OI 2015'!$L$87:$L$101)</f>
        <v>0</v>
      </c>
      <c r="X15" s="1">
        <f>SUMIF('OI 2014'!$I$87:$I$101,'Vestas turbines hist #'!$B15,'OI 2014'!$L$87:$L$101)</f>
        <v>0</v>
      </c>
      <c r="Y15" s="1">
        <f>SUMIF('OI 2013'!$I$87:$I$101,'Vestas turbines hist #'!$B15,'OI 2013'!$L$87:$L$101)</f>
        <v>0</v>
      </c>
      <c r="Z15" s="1">
        <f>SUMIF('OI 2012'!$I$87:$I$101,'Vestas turbines hist #'!$B15,'OI 2012'!$L$87:$L$101)</f>
        <v>0</v>
      </c>
      <c r="AA15" s="1">
        <f>SUMIF('OI 2011'!$I$95:$I$104,'Vestas turbines hist #'!$B15,'OI 2011'!$L$95:$L$104)</f>
        <v>0</v>
      </c>
      <c r="AB15" s="1">
        <f>SUMIF('OI 2010'!$I$95:$I$107,'Vestas turbines hist #'!$B15,'OI 2010'!$L$95:$L$107)</f>
        <v>0</v>
      </c>
      <c r="AC15" s="1">
        <f>SUMIF('OI 2009'!$I$95:$I$107,'Vestas turbines hist #'!$B15,'OI 2009'!$L$95:$L$107)</f>
        <v>0</v>
      </c>
      <c r="AD15" s="1">
        <f>SUMIF('OI 2008'!$I$95:$I$107,'Vestas turbines hist #'!$B15,'OI 2008'!$L$95:$L$107)</f>
        <v>0</v>
      </c>
    </row>
    <row r="16" spans="2:33" hidden="1" x14ac:dyDescent="0.25">
      <c r="B16" t="s">
        <v>789</v>
      </c>
      <c r="C16" t="s">
        <v>752</v>
      </c>
      <c r="D16" s="24">
        <f t="shared" si="2"/>
        <v>0.22500000000000001</v>
      </c>
      <c r="E16">
        <v>225</v>
      </c>
      <c r="F16">
        <v>29</v>
      </c>
      <c r="G16">
        <v>1995</v>
      </c>
      <c r="H16">
        <v>7.9</v>
      </c>
      <c r="I16">
        <v>14</v>
      </c>
      <c r="J16" t="s">
        <v>752</v>
      </c>
      <c r="M16" s="1">
        <f t="shared" si="1"/>
        <v>0</v>
      </c>
      <c r="N16" s="1"/>
      <c r="O16">
        <f>SUMIF('OI 2023'!$I$158:$I$176,'Vestas turbines hist #'!B16,'OI 2023'!$J$158:$J$176)</f>
        <v>0</v>
      </c>
      <c r="P16" s="1">
        <f>SUMIF('OI 2022'!$I$158:$I$175,'Vestas turbines hist #'!B16,'OI 2022'!$K$158:$K$175)</f>
        <v>0</v>
      </c>
      <c r="Q16" s="1">
        <f>SUMIF('OI 2021'!$I$145:$I$166,'Vestas turbines hist #'!B16,'OI 2021'!$K$145:$K$166)</f>
        <v>0</v>
      </c>
      <c r="R16" s="1">
        <f>SUMIF('OI 2020'!$I$144:$I$165,'Vestas turbines hist #'!B16,'OI 2020'!$K$144:$K$165)</f>
        <v>0</v>
      </c>
      <c r="S16" s="1">
        <f>SUMIF('OI 2019'!$I$113:$I$132,'Vestas turbines hist #'!B16,'OI 2019'!$L$113:$L$132)</f>
        <v>0</v>
      </c>
      <c r="T16" s="1">
        <f>SUMIF('OI 2018'!$I$114:$I$131,'Vestas turbines hist #'!B16,'OI 2018'!$L$114:$L$131)</f>
        <v>0</v>
      </c>
      <c r="U16" s="1">
        <f>SUMIF('OI 2017'!$I$113:$I$130,'Vestas turbines hist #'!B16,'OI 2017'!$L$113:$L$130)</f>
        <v>0</v>
      </c>
      <c r="V16" s="1">
        <f>SUMIF('OI 2016'!$I$87:$I$99,'Vestas turbines hist #'!$B16,'OI 2016'!$L$87:$L$99)</f>
        <v>0</v>
      </c>
      <c r="W16" s="1">
        <f>SUMIF('OI 2015'!$I$87:$I$101,'Vestas turbines hist #'!$B16,'OI 2015'!$L$87:$L$101)</f>
        <v>0</v>
      </c>
      <c r="X16" s="1">
        <f>SUMIF('OI 2014'!$I$87:$I$101,'Vestas turbines hist #'!$B16,'OI 2014'!$L$87:$L$101)</f>
        <v>0</v>
      </c>
      <c r="Y16" s="1">
        <f>SUMIF('OI 2013'!$I$87:$I$101,'Vestas turbines hist #'!$B16,'OI 2013'!$L$87:$L$101)</f>
        <v>0</v>
      </c>
      <c r="Z16" s="1">
        <f>SUMIF('OI 2012'!$I$87:$I$101,'Vestas turbines hist #'!$B16,'OI 2012'!$L$87:$L$101)</f>
        <v>0</v>
      </c>
      <c r="AA16" s="1">
        <f>SUMIF('OI 2011'!$I$95:$I$104,'Vestas turbines hist #'!$B16,'OI 2011'!$L$95:$L$104)</f>
        <v>0</v>
      </c>
      <c r="AB16" s="1">
        <f>SUMIF('OI 2010'!$I$95:$I$107,'Vestas turbines hist #'!$B16,'OI 2010'!$L$95:$L$107)</f>
        <v>0</v>
      </c>
      <c r="AC16" s="1">
        <f>SUMIF('OI 2009'!$I$95:$I$107,'Vestas turbines hist #'!$B16,'OI 2009'!$L$95:$L$107)</f>
        <v>0</v>
      </c>
      <c r="AD16" s="1">
        <f>SUMIF('OI 2008'!$I$95:$I$107,'Vestas turbines hist #'!$B16,'OI 2008'!$L$95:$L$107)</f>
        <v>0</v>
      </c>
    </row>
    <row r="17" spans="2:30" hidden="1" x14ac:dyDescent="0.25">
      <c r="B17" t="s">
        <v>790</v>
      </c>
      <c r="C17" t="s">
        <v>752</v>
      </c>
      <c r="D17" s="24">
        <f t="shared" si="2"/>
        <v>0.4</v>
      </c>
      <c r="E17">
        <v>400</v>
      </c>
      <c r="F17">
        <v>34.799999999999997</v>
      </c>
      <c r="G17">
        <v>1990</v>
      </c>
      <c r="H17" t="s">
        <v>752</v>
      </c>
      <c r="I17" t="s">
        <v>752</v>
      </c>
      <c r="J17" t="s">
        <v>752</v>
      </c>
      <c r="M17" s="1">
        <f t="shared" si="1"/>
        <v>0</v>
      </c>
      <c r="N17" s="1"/>
      <c r="O17">
        <f>SUMIF('OI 2023'!$I$158:$I$176,'Vestas turbines hist #'!B17,'OI 2023'!$J$158:$J$176)</f>
        <v>0</v>
      </c>
      <c r="P17" s="1">
        <f>SUMIF('OI 2022'!$I$158:$I$175,'Vestas turbines hist #'!B17,'OI 2022'!$K$158:$K$175)</f>
        <v>0</v>
      </c>
      <c r="Q17" s="1">
        <f>SUMIF('OI 2021'!$I$145:$I$166,'Vestas turbines hist #'!B17,'OI 2021'!$K$145:$K$166)</f>
        <v>0</v>
      </c>
      <c r="R17" s="1">
        <f>SUMIF('OI 2020'!$I$144:$I$165,'Vestas turbines hist #'!B17,'OI 2020'!$K$144:$K$165)</f>
        <v>0</v>
      </c>
      <c r="S17" s="1">
        <f>SUMIF('OI 2019'!$I$113:$I$132,'Vestas turbines hist #'!B17,'OI 2019'!$L$113:$L$132)</f>
        <v>0</v>
      </c>
      <c r="T17" s="1">
        <f>SUMIF('OI 2018'!$I$114:$I$131,'Vestas turbines hist #'!B17,'OI 2018'!$L$114:$L$131)</f>
        <v>0</v>
      </c>
      <c r="U17" s="1">
        <f>SUMIF('OI 2017'!$I$113:$I$130,'Vestas turbines hist #'!B17,'OI 2017'!$L$113:$L$130)</f>
        <v>0</v>
      </c>
      <c r="V17" s="1">
        <f>SUMIF('OI 2016'!$I$87:$I$99,'Vestas turbines hist #'!$B17,'OI 2016'!$L$87:$L$99)</f>
        <v>0</v>
      </c>
      <c r="W17" s="1">
        <f>SUMIF('OI 2015'!$I$87:$I$101,'Vestas turbines hist #'!$B17,'OI 2015'!$L$87:$L$101)</f>
        <v>0</v>
      </c>
      <c r="X17" s="1">
        <f>SUMIF('OI 2014'!$I$87:$I$101,'Vestas turbines hist #'!$B17,'OI 2014'!$L$87:$L$101)</f>
        <v>0</v>
      </c>
      <c r="Y17" s="1">
        <f>SUMIF('OI 2013'!$I$87:$I$101,'Vestas turbines hist #'!$B17,'OI 2013'!$L$87:$L$101)</f>
        <v>0</v>
      </c>
      <c r="Z17" s="1">
        <f>SUMIF('OI 2012'!$I$87:$I$101,'Vestas turbines hist #'!$B17,'OI 2012'!$L$87:$L$101)</f>
        <v>0</v>
      </c>
      <c r="AA17" s="1">
        <f>SUMIF('OI 2011'!$I$95:$I$104,'Vestas turbines hist #'!$B17,'OI 2011'!$L$95:$L$104)</f>
        <v>0</v>
      </c>
      <c r="AB17" s="1">
        <f>SUMIF('OI 2010'!$I$95:$I$107,'Vestas turbines hist #'!$B17,'OI 2010'!$L$95:$L$107)</f>
        <v>0</v>
      </c>
      <c r="AC17" s="1">
        <f>SUMIF('OI 2009'!$I$95:$I$107,'Vestas turbines hist #'!$B17,'OI 2009'!$L$95:$L$107)</f>
        <v>0</v>
      </c>
      <c r="AD17" s="1">
        <f>SUMIF('OI 2008'!$I$95:$I$107,'Vestas turbines hist #'!$B17,'OI 2008'!$L$95:$L$107)</f>
        <v>0</v>
      </c>
    </row>
    <row r="18" spans="2:30" hidden="1" x14ac:dyDescent="0.25">
      <c r="B18" t="s">
        <v>791</v>
      </c>
      <c r="C18" t="s">
        <v>752</v>
      </c>
      <c r="D18" s="24">
        <f t="shared" si="2"/>
        <v>0.5</v>
      </c>
      <c r="E18">
        <v>500</v>
      </c>
      <c r="F18">
        <v>39</v>
      </c>
      <c r="G18">
        <v>1991</v>
      </c>
      <c r="H18">
        <v>18</v>
      </c>
      <c r="I18">
        <v>58</v>
      </c>
      <c r="J18">
        <v>3.5</v>
      </c>
      <c r="M18" s="1">
        <f t="shared" si="1"/>
        <v>0</v>
      </c>
      <c r="N18" s="1"/>
      <c r="O18">
        <f>SUMIF('OI 2023'!$I$158:$I$176,'Vestas turbines hist #'!B18,'OI 2023'!$J$158:$J$176)</f>
        <v>0</v>
      </c>
      <c r="P18" s="1">
        <f>SUMIF('OI 2022'!$I$158:$I$175,'Vestas turbines hist #'!B18,'OI 2022'!$K$158:$K$175)</f>
        <v>0</v>
      </c>
      <c r="Q18" s="1">
        <f>SUMIF('OI 2021'!$I$145:$I$166,'Vestas turbines hist #'!B18,'OI 2021'!$K$145:$K$166)</f>
        <v>0</v>
      </c>
      <c r="R18" s="1">
        <f>SUMIF('OI 2020'!$I$144:$I$165,'Vestas turbines hist #'!B18,'OI 2020'!$K$144:$K$165)</f>
        <v>0</v>
      </c>
      <c r="S18" s="1">
        <f>SUMIF('OI 2019'!$I$113:$I$132,'Vestas turbines hist #'!B18,'OI 2019'!$L$113:$L$132)</f>
        <v>0</v>
      </c>
      <c r="T18" s="1">
        <f>SUMIF('OI 2018'!$I$114:$I$131,'Vestas turbines hist #'!B18,'OI 2018'!$L$114:$L$131)</f>
        <v>0</v>
      </c>
      <c r="U18" s="1">
        <f>SUMIF('OI 2017'!$I$113:$I$130,'Vestas turbines hist #'!B18,'OI 2017'!$L$113:$L$130)</f>
        <v>0</v>
      </c>
      <c r="V18" s="1">
        <f>SUMIF('OI 2016'!$I$87:$I$99,'Vestas turbines hist #'!$B18,'OI 2016'!$L$87:$L$99)</f>
        <v>0</v>
      </c>
      <c r="W18" s="1">
        <f>SUMIF('OI 2015'!$I$87:$I$101,'Vestas turbines hist #'!$B18,'OI 2015'!$L$87:$L$101)</f>
        <v>0</v>
      </c>
      <c r="X18" s="1">
        <f>SUMIF('OI 2014'!$I$87:$I$101,'Vestas turbines hist #'!$B18,'OI 2014'!$L$87:$L$101)</f>
        <v>0</v>
      </c>
      <c r="Y18" s="1">
        <f>SUMIF('OI 2013'!$I$87:$I$101,'Vestas turbines hist #'!$B18,'OI 2013'!$L$87:$L$101)</f>
        <v>0</v>
      </c>
      <c r="Z18" s="1">
        <f>SUMIF('OI 2012'!$I$87:$I$101,'Vestas turbines hist #'!$B18,'OI 2012'!$L$87:$L$101)</f>
        <v>0</v>
      </c>
      <c r="AA18" s="1">
        <f>SUMIF('OI 2011'!$I$95:$I$104,'Vestas turbines hist #'!$B18,'OI 2011'!$L$95:$L$104)</f>
        <v>0</v>
      </c>
      <c r="AB18" s="1">
        <f>SUMIF('OI 2010'!$I$95:$I$107,'Vestas turbines hist #'!$B18,'OI 2010'!$L$95:$L$107)</f>
        <v>0</v>
      </c>
      <c r="AC18" s="1">
        <f>SUMIF('OI 2009'!$I$95:$I$107,'Vestas turbines hist #'!$B18,'OI 2009'!$L$95:$L$107)</f>
        <v>0</v>
      </c>
      <c r="AD18" s="1">
        <f>SUMIF('OI 2008'!$I$95:$I$107,'Vestas turbines hist #'!$B18,'OI 2008'!$L$95:$L$107)</f>
        <v>0</v>
      </c>
    </row>
    <row r="19" spans="2:30" hidden="1" x14ac:dyDescent="0.25">
      <c r="B19" t="s">
        <v>792</v>
      </c>
      <c r="C19" t="s">
        <v>752</v>
      </c>
      <c r="D19" s="24">
        <f t="shared" si="2"/>
        <v>0.6</v>
      </c>
      <c r="E19">
        <v>600</v>
      </c>
      <c r="F19">
        <v>39</v>
      </c>
      <c r="G19">
        <v>1992</v>
      </c>
      <c r="H19" t="s">
        <v>752</v>
      </c>
      <c r="I19" t="s">
        <v>752</v>
      </c>
      <c r="J19" t="s">
        <v>752</v>
      </c>
      <c r="M19" s="1">
        <f t="shared" si="1"/>
        <v>0</v>
      </c>
      <c r="N19" s="1"/>
      <c r="O19">
        <f>SUMIF('OI 2023'!$I$158:$I$176,'Vestas turbines hist #'!B19,'OI 2023'!$J$158:$J$176)</f>
        <v>0</v>
      </c>
      <c r="P19" s="1">
        <f>SUMIF('OI 2022'!$I$158:$I$175,'Vestas turbines hist #'!B19,'OI 2022'!$K$158:$K$175)</f>
        <v>0</v>
      </c>
      <c r="Q19" s="1">
        <f>SUMIF('OI 2021'!$I$145:$I$166,'Vestas turbines hist #'!B19,'OI 2021'!$K$145:$K$166)</f>
        <v>0</v>
      </c>
      <c r="R19" s="1">
        <f>SUMIF('OI 2020'!$I$144:$I$165,'Vestas turbines hist #'!B19,'OI 2020'!$K$144:$K$165)</f>
        <v>0</v>
      </c>
      <c r="S19" s="1">
        <f>SUMIF('OI 2019'!$I$113:$I$132,'Vestas turbines hist #'!B19,'OI 2019'!$L$113:$L$132)</f>
        <v>0</v>
      </c>
      <c r="T19" s="1">
        <f>SUMIF('OI 2018'!$I$114:$I$131,'Vestas turbines hist #'!B19,'OI 2018'!$L$114:$L$131)</f>
        <v>0</v>
      </c>
      <c r="U19" s="1">
        <f>SUMIF('OI 2017'!$I$113:$I$130,'Vestas turbines hist #'!B19,'OI 2017'!$L$113:$L$130)</f>
        <v>0</v>
      </c>
      <c r="V19" s="1">
        <f>SUMIF('OI 2016'!$I$87:$I$99,'Vestas turbines hist #'!$B19,'OI 2016'!$L$87:$L$99)</f>
        <v>0</v>
      </c>
      <c r="W19" s="1">
        <f>SUMIF('OI 2015'!$I$87:$I$101,'Vestas turbines hist #'!$B19,'OI 2015'!$L$87:$L$101)</f>
        <v>0</v>
      </c>
      <c r="X19" s="1">
        <f>SUMIF('OI 2014'!$I$87:$I$101,'Vestas turbines hist #'!$B19,'OI 2014'!$L$87:$L$101)</f>
        <v>0</v>
      </c>
      <c r="Y19" s="1">
        <f>SUMIF('OI 2013'!$I$87:$I$101,'Vestas turbines hist #'!$B19,'OI 2013'!$L$87:$L$101)</f>
        <v>0</v>
      </c>
      <c r="Z19" s="1">
        <f>SUMIF('OI 2012'!$I$87:$I$101,'Vestas turbines hist #'!$B19,'OI 2012'!$L$87:$L$101)</f>
        <v>0</v>
      </c>
      <c r="AA19" s="1">
        <f>SUMIF('OI 2011'!$I$95:$I$104,'Vestas turbines hist #'!$B19,'OI 2011'!$L$95:$L$104)</f>
        <v>0</v>
      </c>
      <c r="AB19" s="1">
        <f>SUMIF('OI 2010'!$I$95:$I$107,'Vestas turbines hist #'!$B19,'OI 2010'!$L$95:$L$107)</f>
        <v>0</v>
      </c>
      <c r="AC19" s="1">
        <f>SUMIF('OI 2009'!$I$95:$I$107,'Vestas turbines hist #'!$B19,'OI 2009'!$L$95:$L$107)</f>
        <v>0</v>
      </c>
      <c r="AD19" s="1">
        <f>SUMIF('OI 2008'!$I$95:$I$107,'Vestas turbines hist #'!$B19,'OI 2008'!$L$95:$L$107)</f>
        <v>0</v>
      </c>
    </row>
    <row r="20" spans="2:30" hidden="1" x14ac:dyDescent="0.25">
      <c r="B20" t="s">
        <v>793</v>
      </c>
      <c r="C20" t="s">
        <v>752</v>
      </c>
      <c r="D20" s="24">
        <f t="shared" si="2"/>
        <v>0.5</v>
      </c>
      <c r="E20">
        <v>500</v>
      </c>
      <c r="F20">
        <v>42</v>
      </c>
      <c r="G20">
        <v>1993</v>
      </c>
      <c r="H20" t="s">
        <v>752</v>
      </c>
      <c r="I20" t="s">
        <v>752</v>
      </c>
      <c r="J20" t="s">
        <v>752</v>
      </c>
      <c r="M20" s="1">
        <f t="shared" si="1"/>
        <v>0</v>
      </c>
      <c r="N20" s="1"/>
      <c r="O20">
        <f>SUMIF('OI 2023'!$I$158:$I$176,'Vestas turbines hist #'!B20,'OI 2023'!$J$158:$J$176)</f>
        <v>0</v>
      </c>
      <c r="P20" s="1">
        <f>SUMIF('OI 2022'!$I$158:$I$175,'Vestas turbines hist #'!B20,'OI 2022'!$K$158:$K$175)</f>
        <v>0</v>
      </c>
      <c r="Q20" s="1">
        <f>SUMIF('OI 2021'!$I$145:$I$166,'Vestas turbines hist #'!B20,'OI 2021'!$K$145:$K$166)</f>
        <v>0</v>
      </c>
      <c r="R20" s="1">
        <f>SUMIF('OI 2020'!$I$144:$I$165,'Vestas turbines hist #'!B20,'OI 2020'!$K$144:$K$165)</f>
        <v>0</v>
      </c>
      <c r="S20" s="1">
        <f>SUMIF('OI 2019'!$I$113:$I$132,'Vestas turbines hist #'!B20,'OI 2019'!$L$113:$L$132)</f>
        <v>0</v>
      </c>
      <c r="T20" s="1">
        <f>SUMIF('OI 2018'!$I$114:$I$131,'Vestas turbines hist #'!B20,'OI 2018'!$L$114:$L$131)</f>
        <v>0</v>
      </c>
      <c r="U20" s="1">
        <f>SUMIF('OI 2017'!$I$113:$I$130,'Vestas turbines hist #'!B20,'OI 2017'!$L$113:$L$130)</f>
        <v>0</v>
      </c>
      <c r="V20" s="1">
        <f>SUMIF('OI 2016'!$I$87:$I$99,'Vestas turbines hist #'!$B20,'OI 2016'!$L$87:$L$99)</f>
        <v>0</v>
      </c>
      <c r="W20" s="1">
        <f>SUMIF('OI 2015'!$I$87:$I$101,'Vestas turbines hist #'!$B20,'OI 2015'!$L$87:$L$101)</f>
        <v>0</v>
      </c>
      <c r="X20" s="1">
        <f>SUMIF('OI 2014'!$I$87:$I$101,'Vestas turbines hist #'!$B20,'OI 2014'!$L$87:$L$101)</f>
        <v>0</v>
      </c>
      <c r="Y20" s="1">
        <f>SUMIF('OI 2013'!$I$87:$I$101,'Vestas turbines hist #'!$B20,'OI 2013'!$L$87:$L$101)</f>
        <v>0</v>
      </c>
      <c r="Z20" s="1">
        <f>SUMIF('OI 2012'!$I$87:$I$101,'Vestas turbines hist #'!$B20,'OI 2012'!$L$87:$L$101)</f>
        <v>0</v>
      </c>
      <c r="AA20" s="1">
        <f>SUMIF('OI 2011'!$I$95:$I$104,'Vestas turbines hist #'!$B20,'OI 2011'!$L$95:$L$104)</f>
        <v>0</v>
      </c>
      <c r="AB20" s="1">
        <f>SUMIF('OI 2010'!$I$95:$I$107,'Vestas turbines hist #'!$B20,'OI 2010'!$L$95:$L$107)</f>
        <v>0</v>
      </c>
      <c r="AC20" s="1">
        <f>SUMIF('OI 2009'!$I$95:$I$107,'Vestas turbines hist #'!$B20,'OI 2009'!$L$95:$L$107)</f>
        <v>0</v>
      </c>
      <c r="AD20" s="1">
        <f>SUMIF('OI 2008'!$I$95:$I$107,'Vestas turbines hist #'!$B20,'OI 2008'!$L$95:$L$107)</f>
        <v>0</v>
      </c>
    </row>
    <row r="21" spans="2:30" hidden="1" x14ac:dyDescent="0.25">
      <c r="B21" t="s">
        <v>794</v>
      </c>
      <c r="C21" t="s">
        <v>752</v>
      </c>
      <c r="D21" s="24">
        <f t="shared" si="2"/>
        <v>0.6</v>
      </c>
      <c r="E21">
        <v>600</v>
      </c>
      <c r="F21">
        <v>42</v>
      </c>
      <c r="G21">
        <v>1994</v>
      </c>
      <c r="H21">
        <v>17.3</v>
      </c>
      <c r="I21">
        <v>41</v>
      </c>
      <c r="J21">
        <v>8.4</v>
      </c>
      <c r="M21" s="1">
        <f t="shared" si="1"/>
        <v>0</v>
      </c>
      <c r="N21" s="1"/>
      <c r="O21">
        <f>SUMIF('OI 2023'!$I$158:$I$176,'Vestas turbines hist #'!B21,'OI 2023'!$J$158:$J$176)</f>
        <v>0</v>
      </c>
      <c r="P21" s="1">
        <f>SUMIF('OI 2022'!$I$158:$I$175,'Vestas turbines hist #'!B21,'OI 2022'!$K$158:$K$175)</f>
        <v>0</v>
      </c>
      <c r="Q21" s="1">
        <f>SUMIF('OI 2021'!$I$145:$I$166,'Vestas turbines hist #'!B21,'OI 2021'!$K$145:$K$166)</f>
        <v>0</v>
      </c>
      <c r="R21" s="1">
        <f>SUMIF('OI 2020'!$I$144:$I$165,'Vestas turbines hist #'!B21,'OI 2020'!$K$144:$K$165)</f>
        <v>0</v>
      </c>
      <c r="S21" s="1">
        <f>SUMIF('OI 2019'!$I$113:$I$132,'Vestas turbines hist #'!B21,'OI 2019'!$L$113:$L$132)</f>
        <v>0</v>
      </c>
      <c r="T21" s="1">
        <f>SUMIF('OI 2018'!$I$114:$I$131,'Vestas turbines hist #'!B21,'OI 2018'!$L$114:$L$131)</f>
        <v>0</v>
      </c>
      <c r="U21" s="1">
        <f>SUMIF('OI 2017'!$I$113:$I$130,'Vestas turbines hist #'!B21,'OI 2017'!$L$113:$L$130)</f>
        <v>0</v>
      </c>
      <c r="V21" s="1">
        <f>SUMIF('OI 2016'!$I$87:$I$99,'Vestas turbines hist #'!$B21,'OI 2016'!$L$87:$L$99)</f>
        <v>0</v>
      </c>
      <c r="W21" s="1">
        <f>SUMIF('OI 2015'!$I$87:$I$101,'Vestas turbines hist #'!$B21,'OI 2015'!$L$87:$L$101)</f>
        <v>0</v>
      </c>
      <c r="X21" s="1">
        <f>SUMIF('OI 2014'!$I$87:$I$101,'Vestas turbines hist #'!$B21,'OI 2014'!$L$87:$L$101)</f>
        <v>0</v>
      </c>
      <c r="Y21" s="1">
        <f>SUMIF('OI 2013'!$I$87:$I$101,'Vestas turbines hist #'!$B21,'OI 2013'!$L$87:$L$101)</f>
        <v>0</v>
      </c>
      <c r="Z21" s="1">
        <f>SUMIF('OI 2012'!$I$87:$I$101,'Vestas turbines hist #'!$B21,'OI 2012'!$L$87:$L$101)</f>
        <v>0</v>
      </c>
      <c r="AA21" s="1">
        <f>SUMIF('OI 2011'!$I$95:$I$104,'Vestas turbines hist #'!$B21,'OI 2011'!$L$95:$L$104)</f>
        <v>0</v>
      </c>
      <c r="AB21" s="1">
        <f>SUMIF('OI 2010'!$I$95:$I$107,'Vestas turbines hist #'!$B21,'OI 2010'!$L$95:$L$107)</f>
        <v>0</v>
      </c>
      <c r="AC21" s="1">
        <f>SUMIF('OI 2009'!$I$95:$I$107,'Vestas turbines hist #'!$B21,'OI 2009'!$L$95:$L$107)</f>
        <v>0</v>
      </c>
      <c r="AD21" s="1">
        <f>SUMIF('OI 2008'!$I$95:$I$107,'Vestas turbines hist #'!$B21,'OI 2008'!$L$95:$L$107)</f>
        <v>0</v>
      </c>
    </row>
    <row r="22" spans="2:30" hidden="1" x14ac:dyDescent="0.25">
      <c r="B22" t="s">
        <v>795</v>
      </c>
      <c r="C22" t="s">
        <v>752</v>
      </c>
      <c r="D22" s="24">
        <f t="shared" si="2"/>
        <v>0.6</v>
      </c>
      <c r="E22">
        <v>600</v>
      </c>
      <c r="F22">
        <v>44</v>
      </c>
      <c r="G22">
        <v>1995</v>
      </c>
      <c r="H22">
        <v>19.8</v>
      </c>
      <c r="I22">
        <v>58</v>
      </c>
      <c r="J22">
        <v>9.1999999999999993</v>
      </c>
      <c r="M22" s="1">
        <f t="shared" si="1"/>
        <v>0</v>
      </c>
      <c r="N22" s="1"/>
      <c r="O22">
        <f>SUMIF('OI 2023'!$I$158:$I$176,'Vestas turbines hist #'!B22,'OI 2023'!$J$158:$J$176)</f>
        <v>0</v>
      </c>
      <c r="P22" s="1">
        <f>SUMIF('OI 2022'!$I$158:$I$175,'Vestas turbines hist #'!B22,'OI 2022'!$K$158:$K$175)</f>
        <v>0</v>
      </c>
      <c r="Q22" s="1">
        <f>SUMIF('OI 2021'!$I$145:$I$166,'Vestas turbines hist #'!B22,'OI 2021'!$K$145:$K$166)</f>
        <v>0</v>
      </c>
      <c r="R22" s="1">
        <f>SUMIF('OI 2020'!$I$144:$I$165,'Vestas turbines hist #'!B22,'OI 2020'!$K$144:$K$165)</f>
        <v>0</v>
      </c>
      <c r="S22" s="1">
        <f>SUMIF('OI 2019'!$I$113:$I$132,'Vestas turbines hist #'!B22,'OI 2019'!$L$113:$L$132)</f>
        <v>0</v>
      </c>
      <c r="T22" s="1">
        <f>SUMIF('OI 2018'!$I$114:$I$131,'Vestas turbines hist #'!B22,'OI 2018'!$L$114:$L$131)</f>
        <v>0</v>
      </c>
      <c r="U22" s="1">
        <f>SUMIF('OI 2017'!$I$113:$I$130,'Vestas turbines hist #'!B22,'OI 2017'!$L$113:$L$130)</f>
        <v>0</v>
      </c>
      <c r="V22" s="1">
        <f>SUMIF('OI 2016'!$I$87:$I$99,'Vestas turbines hist #'!$B22,'OI 2016'!$L$87:$L$99)</f>
        <v>0</v>
      </c>
      <c r="W22" s="1">
        <f>SUMIF('OI 2015'!$I$87:$I$101,'Vestas turbines hist #'!$B22,'OI 2015'!$L$87:$L$101)</f>
        <v>0</v>
      </c>
      <c r="X22" s="1">
        <f>SUMIF('OI 2014'!$I$87:$I$101,'Vestas turbines hist #'!$B22,'OI 2014'!$L$87:$L$101)</f>
        <v>0</v>
      </c>
      <c r="Y22" s="1">
        <f>SUMIF('OI 2013'!$I$87:$I$101,'Vestas turbines hist #'!$B22,'OI 2013'!$L$87:$L$101)</f>
        <v>0</v>
      </c>
      <c r="Z22" s="1">
        <f>SUMIF('OI 2012'!$I$87:$I$101,'Vestas turbines hist #'!$B22,'OI 2012'!$L$87:$L$101)</f>
        <v>0</v>
      </c>
      <c r="AA22" s="1">
        <f>SUMIF('OI 2011'!$I$95:$I$104,'Vestas turbines hist #'!$B22,'OI 2011'!$L$95:$L$104)</f>
        <v>0</v>
      </c>
      <c r="AB22" s="1">
        <f>SUMIF('OI 2010'!$I$95:$I$107,'Vestas turbines hist #'!$B22,'OI 2010'!$L$95:$L$107)</f>
        <v>0</v>
      </c>
      <c r="AC22" s="1">
        <f>SUMIF('OI 2009'!$I$95:$I$107,'Vestas turbines hist #'!$B22,'OI 2009'!$L$95:$L$107)</f>
        <v>0</v>
      </c>
      <c r="AD22" s="1">
        <f>SUMIF('OI 2008'!$I$95:$I$107,'Vestas turbines hist #'!$B22,'OI 2008'!$L$95:$L$107)</f>
        <v>0</v>
      </c>
    </row>
    <row r="23" spans="2:30" hidden="1" x14ac:dyDescent="0.25">
      <c r="B23" t="s">
        <v>796</v>
      </c>
      <c r="C23" t="s">
        <v>751</v>
      </c>
      <c r="D23" s="24">
        <f t="shared" si="2"/>
        <v>0.66</v>
      </c>
      <c r="E23">
        <v>660</v>
      </c>
      <c r="F23">
        <v>47</v>
      </c>
      <c r="G23">
        <v>1997</v>
      </c>
      <c r="H23">
        <v>20.399999999999999</v>
      </c>
      <c r="I23">
        <v>66.400000000000006</v>
      </c>
      <c r="J23">
        <v>7.2</v>
      </c>
      <c r="M23" s="1">
        <f t="shared" si="1"/>
        <v>0</v>
      </c>
      <c r="N23" s="1"/>
      <c r="O23">
        <f>SUMIF('OI 2023'!$I$158:$I$176,'Vestas turbines hist #'!B23,'OI 2023'!$J$158:$J$176)</f>
        <v>0</v>
      </c>
      <c r="P23" s="1">
        <f>SUMIF('OI 2022'!$I$158:$I$175,'Vestas turbines hist #'!B23,'OI 2022'!$K$158:$K$175)</f>
        <v>0</v>
      </c>
      <c r="Q23" s="1">
        <f>SUMIF('OI 2021'!$I$145:$I$166,'Vestas turbines hist #'!B23,'OI 2021'!$K$145:$K$166)</f>
        <v>0</v>
      </c>
      <c r="R23" s="1">
        <f>SUMIF('OI 2020'!$I$144:$I$165,'Vestas turbines hist #'!B23,'OI 2020'!$K$144:$K$165)</f>
        <v>0</v>
      </c>
      <c r="S23" s="1">
        <f>SUMIF('OI 2019'!$I$113:$I$132,'Vestas turbines hist #'!B23,'OI 2019'!$L$113:$L$132)</f>
        <v>0</v>
      </c>
      <c r="T23" s="1">
        <f>SUMIF('OI 2018'!$I$114:$I$131,'Vestas turbines hist #'!B23,'OI 2018'!$L$114:$L$131)</f>
        <v>0</v>
      </c>
      <c r="U23" s="1">
        <f>SUMIF('OI 2017'!$I$113:$I$130,'Vestas turbines hist #'!B23,'OI 2017'!$L$113:$L$130)</f>
        <v>0</v>
      </c>
      <c r="V23" s="1">
        <f>SUMIF('OI 2016'!$I$87:$I$99,'Vestas turbines hist #'!$B23,'OI 2016'!$L$87:$L$99)</f>
        <v>0</v>
      </c>
      <c r="W23" s="1">
        <f>SUMIF('OI 2015'!$I$87:$I$101,'Vestas turbines hist #'!$B23,'OI 2015'!$L$87:$L$101)</f>
        <v>0</v>
      </c>
      <c r="X23" s="1">
        <f>SUMIF('OI 2014'!$I$87:$I$101,'Vestas turbines hist #'!$B23,'OI 2014'!$L$87:$L$101)</f>
        <v>0</v>
      </c>
      <c r="Y23" s="1">
        <f>SUMIF('OI 2013'!$I$87:$I$101,'Vestas turbines hist #'!$B23,'OI 2013'!$L$87:$L$101)</f>
        <v>0</v>
      </c>
      <c r="Z23" s="1">
        <f>SUMIF('OI 2012'!$I$87:$I$101,'Vestas turbines hist #'!$B23,'OI 2012'!$L$87:$L$101)</f>
        <v>0</v>
      </c>
      <c r="AA23" s="1">
        <f>SUMIF('OI 2011'!$I$95:$I$104,'Vestas turbines hist #'!$B23,'OI 2011'!$L$95:$L$104)</f>
        <v>0</v>
      </c>
      <c r="AB23" s="1">
        <f>SUMIF('OI 2010'!$I$95:$I$107,'Vestas turbines hist #'!$B23,'OI 2010'!$L$95:$L$107)</f>
        <v>0</v>
      </c>
      <c r="AC23" s="1">
        <f>SUMIF('OI 2009'!$I$95:$I$107,'Vestas turbines hist #'!$B23,'OI 2009'!$L$95:$L$107)</f>
        <v>0</v>
      </c>
      <c r="AD23" s="1">
        <f>SUMIF('OI 2008'!$I$95:$I$107,'Vestas turbines hist #'!$B23,'OI 2008'!$L$95:$L$107)</f>
        <v>0</v>
      </c>
    </row>
    <row r="24" spans="2:30" x14ac:dyDescent="0.25">
      <c r="B24" t="s">
        <v>478</v>
      </c>
      <c r="C24" t="s">
        <v>750</v>
      </c>
      <c r="D24" s="24">
        <f t="shared" si="2"/>
        <v>0.85</v>
      </c>
      <c r="E24">
        <v>850</v>
      </c>
      <c r="F24">
        <v>52</v>
      </c>
      <c r="G24">
        <v>2000</v>
      </c>
      <c r="H24">
        <v>22</v>
      </c>
      <c r="I24" t="s">
        <v>764</v>
      </c>
      <c r="J24">
        <v>10</v>
      </c>
      <c r="M24" s="1">
        <f t="shared" si="1"/>
        <v>716.70588235294122</v>
      </c>
      <c r="N24" s="1"/>
      <c r="O24">
        <f>SUMIF('OI 2023'!$I$158:$I$176,'Vestas turbines hist #'!B24,'OI 2023'!$J$158:$J$176)</f>
        <v>0</v>
      </c>
      <c r="P24" s="1">
        <f>SUMIF('OI 2022'!$I$158:$I$175,'Vestas turbines hist #'!B24,'OI 2022'!$K$158:$K$175)</f>
        <v>0</v>
      </c>
      <c r="Q24" s="1">
        <f>SUMIF('OI 2021'!$I$145:$I$166,'Vestas turbines hist #'!B24,'OI 2021'!$K$145:$K$166)</f>
        <v>0</v>
      </c>
      <c r="R24" s="1">
        <f>SUMIF('OI 2020'!$I$144:$I$165,'Vestas turbines hist #'!B24,'OI 2020'!$K$144:$K$165)</f>
        <v>0</v>
      </c>
      <c r="S24" s="1">
        <f>SUMIF('OI 2019'!$I$113:$I$132,'Vestas turbines hist #'!B24,'OI 2019'!$L$113:$L$132)</f>
        <v>0</v>
      </c>
      <c r="T24" s="1">
        <f>SUMIF('OI 2018'!$I$114:$I$131,'Vestas turbines hist #'!B24,'OI 2018'!$L$114:$L$131)</f>
        <v>0</v>
      </c>
      <c r="U24" s="1">
        <f>SUMIF('OI 2017'!$I$113:$I$130,'Vestas turbines hist #'!B24,'OI 2017'!$L$113:$L$130)</f>
        <v>0</v>
      </c>
      <c r="V24" s="1">
        <f>SUMIF('OI 2016'!$I$87:$I$99,'Vestas turbines hist #'!$B24,'OI 2016'!$L$87:$L$99)</f>
        <v>0</v>
      </c>
      <c r="W24" s="1">
        <f>SUMIF('OI 2015'!$I$87:$I$101,'Vestas turbines hist #'!$B24,'OI 2015'!$L$87:$L$101)</f>
        <v>0</v>
      </c>
      <c r="X24" s="1">
        <f>SUMIF('OI 2014'!$I$87:$I$101,'Vestas turbines hist #'!$B24,'OI 2014'!$L$87:$L$101)</f>
        <v>364.70588235294116</v>
      </c>
      <c r="Y24" s="1">
        <f>SUMIF('OI 2013'!$I$87:$I$101,'Vestas turbines hist #'!$B24,'OI 2013'!$L$87:$L$101)</f>
        <v>0</v>
      </c>
      <c r="Z24" s="1">
        <f>SUMIF('OI 2012'!$I$87:$I$101,'Vestas turbines hist #'!$B24,'OI 2012'!$L$87:$L$101)</f>
        <v>0</v>
      </c>
      <c r="AA24" s="1">
        <f>SUMIF('OI 2011'!$I$95:$I$104,'Vestas turbines hist #'!$B24,'OI 2011'!$L$95:$L$104)</f>
        <v>0</v>
      </c>
      <c r="AB24" s="1">
        <f>SUMIF('OI 2010'!$I$95:$I$107,'Vestas turbines hist #'!$B24,'OI 2010'!$L$95:$L$107)</f>
        <v>115</v>
      </c>
      <c r="AC24" s="1">
        <f>SUMIF('OI 2009'!$I$95:$I$107,'Vestas turbines hist #'!$B24,'OI 2009'!$L$95:$L$107)</f>
        <v>0</v>
      </c>
      <c r="AD24" s="1">
        <f>SUMIF('OI 2008'!$I$95:$I$107,'Vestas turbines hist #'!$B24,'OI 2008'!$L$95:$L$107)</f>
        <v>237</v>
      </c>
    </row>
    <row r="25" spans="2:30" hidden="1" x14ac:dyDescent="0.25">
      <c r="B25" t="s">
        <v>868</v>
      </c>
      <c r="C25" t="s">
        <v>754</v>
      </c>
      <c r="D25" s="24">
        <f t="shared" si="2"/>
        <v>0.85</v>
      </c>
      <c r="E25">
        <v>850</v>
      </c>
      <c r="F25">
        <v>60</v>
      </c>
      <c r="G25">
        <v>2008</v>
      </c>
      <c r="H25" t="s">
        <v>752</v>
      </c>
      <c r="I25" t="s">
        <v>752</v>
      </c>
      <c r="J25" t="s">
        <v>752</v>
      </c>
      <c r="M25" s="1">
        <f t="shared" si="1"/>
        <v>85</v>
      </c>
      <c r="N25" s="1"/>
      <c r="O25">
        <f>SUMIF('OI 2023'!$I$158:$I$176,'Vestas turbines hist #'!B25,'OI 2023'!$J$158:$J$176)</f>
        <v>0</v>
      </c>
      <c r="P25" s="1">
        <f>SUMIF('OI 2022'!$I$158:$I$175,'Vestas turbines hist #'!B25,'OI 2022'!$K$158:$K$175)</f>
        <v>0</v>
      </c>
      <c r="Q25" s="1">
        <f>SUMIF('OI 2021'!$I$145:$I$166,'Vestas turbines hist #'!B25,'OI 2021'!$K$145:$K$166)</f>
        <v>0</v>
      </c>
      <c r="R25" s="1">
        <f>SUMIF('OI 2020'!$I$144:$I$165,'Vestas turbines hist #'!B25,'OI 2020'!$K$144:$K$165)</f>
        <v>0</v>
      </c>
      <c r="S25" s="1">
        <f>SUMIF('OI 2019'!$I$113:$I$132,'Vestas turbines hist #'!B25,'OI 2019'!$L$113:$L$132)</f>
        <v>0</v>
      </c>
      <c r="T25" s="1">
        <f>SUMIF('OI 2018'!$I$114:$I$131,'Vestas turbines hist #'!B25,'OI 2018'!$L$114:$L$131)</f>
        <v>0</v>
      </c>
      <c r="U25" s="1">
        <f>SUMIF('OI 2017'!$I$113:$I$130,'Vestas turbines hist #'!B25,'OI 2017'!$L$113:$L$130)</f>
        <v>0</v>
      </c>
      <c r="V25" s="1">
        <f>SUMIF('OI 2016'!$I$87:$I$99,'Vestas turbines hist #'!$B25,'OI 2016'!$L$87:$L$99)</f>
        <v>0</v>
      </c>
      <c r="W25" s="1">
        <f>SUMIF('OI 2015'!$I$87:$I$101,'Vestas turbines hist #'!$B25,'OI 2015'!$L$87:$L$101)</f>
        <v>0</v>
      </c>
      <c r="X25" s="1">
        <f>SUMIF('OI 2014'!$I$87:$I$101,'Vestas turbines hist #'!$B25,'OI 2014'!$L$87:$L$101)</f>
        <v>0</v>
      </c>
      <c r="Y25" s="1">
        <f>SUMIF('OI 2013'!$I$87:$I$101,'Vestas turbines hist #'!$B25,'OI 2013'!$L$87:$L$101)</f>
        <v>0</v>
      </c>
      <c r="Z25" s="1">
        <f>SUMIF('OI 2012'!$I$87:$I$101,'Vestas turbines hist #'!$B25,'OI 2012'!$L$87:$L$101)</f>
        <v>0</v>
      </c>
      <c r="AA25" s="1">
        <f>SUMIF('OI 2011'!$I$95:$I$104,'Vestas turbines hist #'!$B25,'OI 2011'!$L$95:$L$104)</f>
        <v>58</v>
      </c>
      <c r="AB25" s="1">
        <f>SUMIF('OI 2010'!$I$95:$I$107,'Vestas turbines hist #'!$B25,'OI 2010'!$L$95:$L$107)</f>
        <v>27</v>
      </c>
      <c r="AC25" s="1">
        <f>SUMIF('OI 2009'!$I$95:$I$107,'Vestas turbines hist #'!$B25,'OI 2009'!$L$95:$L$107)</f>
        <v>0</v>
      </c>
      <c r="AD25" s="1">
        <f>SUMIF('OI 2008'!$I$95:$I$107,'Vestas turbines hist #'!$B25,'OI 2008'!$L$95:$L$107)</f>
        <v>0</v>
      </c>
    </row>
    <row r="26" spans="2:30" hidden="1" x14ac:dyDescent="0.25">
      <c r="B26" t="s">
        <v>798</v>
      </c>
      <c r="C26" t="s">
        <v>752</v>
      </c>
      <c r="D26" s="24">
        <f t="shared" si="2"/>
        <v>1.5</v>
      </c>
      <c r="E26">
        <v>1500</v>
      </c>
      <c r="F26">
        <v>63.6</v>
      </c>
      <c r="G26">
        <v>1995</v>
      </c>
      <c r="H26">
        <v>52.2</v>
      </c>
      <c r="I26">
        <v>29.7</v>
      </c>
      <c r="J26">
        <v>76</v>
      </c>
      <c r="M26" s="1">
        <f t="shared" si="1"/>
        <v>0</v>
      </c>
      <c r="N26" s="1"/>
      <c r="O26">
        <f>SUMIF('OI 2023'!$I$158:$I$176,'Vestas turbines hist #'!B26,'OI 2023'!$J$158:$J$176)</f>
        <v>0</v>
      </c>
      <c r="P26" s="1">
        <f>SUMIF('OI 2022'!$I$158:$I$175,'Vestas turbines hist #'!B26,'OI 2022'!$K$158:$K$175)</f>
        <v>0</v>
      </c>
      <c r="Q26" s="1">
        <f>SUMIF('OI 2021'!$I$145:$I$166,'Vestas turbines hist #'!B26,'OI 2021'!$K$145:$K$166)</f>
        <v>0</v>
      </c>
      <c r="R26" s="1">
        <f>SUMIF('OI 2020'!$I$144:$I$165,'Vestas turbines hist #'!B26,'OI 2020'!$K$144:$K$165)</f>
        <v>0</v>
      </c>
      <c r="S26" s="1">
        <f>SUMIF('OI 2019'!$I$113:$I$132,'Vestas turbines hist #'!B26,'OI 2019'!$L$113:$L$132)</f>
        <v>0</v>
      </c>
      <c r="T26" s="1">
        <f>SUMIF('OI 2018'!$I$114:$I$131,'Vestas turbines hist #'!B26,'OI 2018'!$L$114:$L$131)</f>
        <v>0</v>
      </c>
      <c r="U26" s="1">
        <f>SUMIF('OI 2017'!$I$113:$I$130,'Vestas turbines hist #'!B26,'OI 2017'!$L$113:$L$130)</f>
        <v>0</v>
      </c>
      <c r="V26" s="1">
        <f>SUMIF('OI 2016'!$I$87:$I$99,'Vestas turbines hist #'!$B26,'OI 2016'!$L$87:$L$99)</f>
        <v>0</v>
      </c>
      <c r="W26" s="1">
        <f>SUMIF('OI 2015'!$I$87:$I$101,'Vestas turbines hist #'!$B26,'OI 2015'!$L$87:$L$101)</f>
        <v>0</v>
      </c>
      <c r="X26" s="1">
        <f>SUMIF('OI 2014'!$I$87:$I$101,'Vestas turbines hist #'!$B26,'OI 2014'!$L$87:$L$101)</f>
        <v>0</v>
      </c>
      <c r="Y26" s="1">
        <f>SUMIF('OI 2013'!$I$87:$I$101,'Vestas turbines hist #'!$B26,'OI 2013'!$L$87:$L$101)</f>
        <v>0</v>
      </c>
      <c r="Z26" s="1">
        <f>SUMIF('OI 2012'!$I$87:$I$101,'Vestas turbines hist #'!$B26,'OI 2012'!$L$87:$L$101)</f>
        <v>0</v>
      </c>
      <c r="AA26" s="1">
        <f>SUMIF('OI 2011'!$I$95:$I$104,'Vestas turbines hist #'!$B26,'OI 2011'!$L$95:$L$104)</f>
        <v>0</v>
      </c>
      <c r="AB26" s="1">
        <f>SUMIF('OI 2010'!$I$95:$I$107,'Vestas turbines hist #'!$B26,'OI 2010'!$L$95:$L$107)</f>
        <v>0</v>
      </c>
      <c r="AC26" s="1">
        <f>SUMIF('OI 2009'!$I$95:$I$107,'Vestas turbines hist #'!$B26,'OI 2009'!$L$95:$L$107)</f>
        <v>0</v>
      </c>
      <c r="AD26" s="1">
        <f>SUMIF('OI 2008'!$I$95:$I$107,'Vestas turbines hist #'!$B26,'OI 2008'!$L$95:$L$107)</f>
        <v>0</v>
      </c>
    </row>
    <row r="27" spans="2:30" hidden="1" x14ac:dyDescent="0.25">
      <c r="B27" t="s">
        <v>799</v>
      </c>
      <c r="C27" t="s">
        <v>752</v>
      </c>
      <c r="D27" s="24">
        <f t="shared" si="2"/>
        <v>1.65</v>
      </c>
      <c r="E27">
        <v>1650</v>
      </c>
      <c r="F27">
        <v>66</v>
      </c>
      <c r="G27" t="s">
        <v>752</v>
      </c>
      <c r="H27">
        <v>53</v>
      </c>
      <c r="I27">
        <v>141</v>
      </c>
      <c r="J27">
        <v>22.8</v>
      </c>
      <c r="M27" s="1">
        <f t="shared" si="1"/>
        <v>0</v>
      </c>
      <c r="N27" s="1"/>
      <c r="O27">
        <f>SUMIF('OI 2023'!$I$158:$I$176,'Vestas turbines hist #'!B27,'OI 2023'!$J$158:$J$176)</f>
        <v>0</v>
      </c>
      <c r="P27" s="1">
        <f>SUMIF('OI 2022'!$I$158:$I$175,'Vestas turbines hist #'!B27,'OI 2022'!$K$158:$K$175)</f>
        <v>0</v>
      </c>
      <c r="Q27" s="1">
        <f>SUMIF('OI 2021'!$I$145:$I$166,'Vestas turbines hist #'!B27,'OI 2021'!$K$145:$K$166)</f>
        <v>0</v>
      </c>
      <c r="R27" s="1">
        <f>SUMIF('OI 2020'!$I$144:$I$165,'Vestas turbines hist #'!B27,'OI 2020'!$K$144:$K$165)</f>
        <v>0</v>
      </c>
      <c r="S27" s="1">
        <f>SUMIF('OI 2019'!$I$113:$I$132,'Vestas turbines hist #'!B27,'OI 2019'!$L$113:$L$132)</f>
        <v>0</v>
      </c>
      <c r="T27" s="1">
        <f>SUMIF('OI 2018'!$I$114:$I$131,'Vestas turbines hist #'!B27,'OI 2018'!$L$114:$L$131)</f>
        <v>0</v>
      </c>
      <c r="U27" s="1">
        <f>SUMIF('OI 2017'!$I$113:$I$130,'Vestas turbines hist #'!B27,'OI 2017'!$L$113:$L$130)</f>
        <v>0</v>
      </c>
      <c r="V27" s="1">
        <f>SUMIF('OI 2016'!$I$87:$I$99,'Vestas turbines hist #'!$B27,'OI 2016'!$L$87:$L$99)</f>
        <v>0</v>
      </c>
      <c r="W27" s="1">
        <f>SUMIF('OI 2015'!$I$87:$I$101,'Vestas turbines hist #'!$B27,'OI 2015'!$L$87:$L$101)</f>
        <v>0</v>
      </c>
      <c r="X27" s="1">
        <f>SUMIF('OI 2014'!$I$87:$I$101,'Vestas turbines hist #'!$B27,'OI 2014'!$L$87:$L$101)</f>
        <v>0</v>
      </c>
      <c r="Y27" s="1">
        <f>SUMIF('OI 2013'!$I$87:$I$101,'Vestas turbines hist #'!$B27,'OI 2013'!$L$87:$L$101)</f>
        <v>0</v>
      </c>
      <c r="Z27" s="1">
        <f>SUMIF('OI 2012'!$I$87:$I$101,'Vestas turbines hist #'!$B27,'OI 2012'!$L$87:$L$101)</f>
        <v>0</v>
      </c>
      <c r="AA27" s="1">
        <f>SUMIF('OI 2011'!$I$95:$I$104,'Vestas turbines hist #'!$B27,'OI 2011'!$L$95:$L$104)</f>
        <v>0</v>
      </c>
      <c r="AB27" s="1">
        <f>SUMIF('OI 2010'!$I$95:$I$107,'Vestas turbines hist #'!$B27,'OI 2010'!$L$95:$L$107)</f>
        <v>0</v>
      </c>
      <c r="AC27" s="1">
        <f>SUMIF('OI 2009'!$I$95:$I$107,'Vestas turbines hist #'!$B27,'OI 2009'!$L$95:$L$107)</f>
        <v>0</v>
      </c>
      <c r="AD27" s="1">
        <f>SUMIF('OI 2008'!$I$95:$I$107,'Vestas turbines hist #'!$B27,'OI 2008'!$L$95:$L$107)</f>
        <v>0</v>
      </c>
    </row>
    <row r="28" spans="2:30" hidden="1" x14ac:dyDescent="0.25">
      <c r="B28" t="s">
        <v>800</v>
      </c>
      <c r="C28" t="s">
        <v>752</v>
      </c>
      <c r="D28" s="24">
        <f t="shared" si="2"/>
        <v>1.75</v>
      </c>
      <c r="E28">
        <v>1750</v>
      </c>
      <c r="F28">
        <v>66</v>
      </c>
      <c r="G28">
        <v>1999</v>
      </c>
      <c r="H28">
        <v>57</v>
      </c>
      <c r="I28">
        <v>199</v>
      </c>
      <c r="J28">
        <v>23</v>
      </c>
      <c r="M28" s="1">
        <f t="shared" si="1"/>
        <v>0</v>
      </c>
      <c r="N28" s="1"/>
      <c r="O28">
        <f>SUMIF('OI 2023'!$I$158:$I$176,'Vestas turbines hist #'!B28,'OI 2023'!$J$158:$J$176)</f>
        <v>0</v>
      </c>
      <c r="P28" s="1">
        <f>SUMIF('OI 2022'!$I$158:$I$175,'Vestas turbines hist #'!B28,'OI 2022'!$K$158:$K$175)</f>
        <v>0</v>
      </c>
      <c r="Q28" s="1">
        <f>SUMIF('OI 2021'!$I$145:$I$166,'Vestas turbines hist #'!B28,'OI 2021'!$K$145:$K$166)</f>
        <v>0</v>
      </c>
      <c r="R28" s="1">
        <f>SUMIF('OI 2020'!$I$144:$I$165,'Vestas turbines hist #'!B28,'OI 2020'!$K$144:$K$165)</f>
        <v>0</v>
      </c>
      <c r="S28" s="1">
        <f>SUMIF('OI 2019'!$I$113:$I$132,'Vestas turbines hist #'!B28,'OI 2019'!$L$113:$L$132)</f>
        <v>0</v>
      </c>
      <c r="T28" s="1">
        <f>SUMIF('OI 2018'!$I$114:$I$131,'Vestas turbines hist #'!B28,'OI 2018'!$L$114:$L$131)</f>
        <v>0</v>
      </c>
      <c r="U28" s="1">
        <f>SUMIF('OI 2017'!$I$113:$I$130,'Vestas turbines hist #'!B28,'OI 2017'!$L$113:$L$130)</f>
        <v>0</v>
      </c>
      <c r="V28" s="1">
        <f>SUMIF('OI 2016'!$I$87:$I$99,'Vestas turbines hist #'!$B28,'OI 2016'!$L$87:$L$99)</f>
        <v>0</v>
      </c>
      <c r="W28" s="1">
        <f>SUMIF('OI 2015'!$I$87:$I$101,'Vestas turbines hist #'!$B28,'OI 2015'!$L$87:$L$101)</f>
        <v>0</v>
      </c>
      <c r="X28" s="1">
        <f>SUMIF('OI 2014'!$I$87:$I$101,'Vestas turbines hist #'!$B28,'OI 2014'!$L$87:$L$101)</f>
        <v>0</v>
      </c>
      <c r="Y28" s="1">
        <f>SUMIF('OI 2013'!$I$87:$I$101,'Vestas turbines hist #'!$B28,'OI 2013'!$L$87:$L$101)</f>
        <v>0</v>
      </c>
      <c r="Z28" s="1">
        <f>SUMIF('OI 2012'!$I$87:$I$101,'Vestas turbines hist #'!$B28,'OI 2012'!$L$87:$L$101)</f>
        <v>0</v>
      </c>
      <c r="AA28" s="1">
        <f>SUMIF('OI 2011'!$I$95:$I$104,'Vestas turbines hist #'!$B28,'OI 2011'!$L$95:$L$104)</f>
        <v>0</v>
      </c>
      <c r="AB28" s="1">
        <f>SUMIF('OI 2010'!$I$95:$I$107,'Vestas turbines hist #'!$B28,'OI 2010'!$L$95:$L$107)</f>
        <v>0</v>
      </c>
      <c r="AC28" s="1">
        <f>SUMIF('OI 2009'!$I$95:$I$107,'Vestas turbines hist #'!$B28,'OI 2009'!$L$95:$L$107)</f>
        <v>0</v>
      </c>
      <c r="AD28" s="1">
        <f>SUMIF('OI 2008'!$I$95:$I$107,'Vestas turbines hist #'!$B28,'OI 2008'!$L$95:$L$107)</f>
        <v>0</v>
      </c>
    </row>
    <row r="29" spans="2:30" hidden="1" x14ac:dyDescent="0.25">
      <c r="B29" t="s">
        <v>801</v>
      </c>
      <c r="C29" t="s">
        <v>751</v>
      </c>
      <c r="D29" s="24">
        <f t="shared" si="2"/>
        <v>2</v>
      </c>
      <c r="E29">
        <v>2000</v>
      </c>
      <c r="F29">
        <v>66</v>
      </c>
      <c r="G29" t="s">
        <v>752</v>
      </c>
      <c r="H29">
        <v>57</v>
      </c>
      <c r="I29">
        <v>146</v>
      </c>
      <c r="J29">
        <v>23</v>
      </c>
      <c r="M29" s="1">
        <f t="shared" si="1"/>
        <v>0</v>
      </c>
      <c r="N29" s="1"/>
      <c r="O29">
        <f>SUMIF('OI 2023'!$I$158:$I$176,'Vestas turbines hist #'!B29,'OI 2023'!$J$158:$J$176)</f>
        <v>0</v>
      </c>
      <c r="P29" s="1">
        <f>SUMIF('OI 2022'!$I$158:$I$175,'Vestas turbines hist #'!B29,'OI 2022'!$K$158:$K$175)</f>
        <v>0</v>
      </c>
      <c r="Q29" s="1">
        <f>SUMIF('OI 2021'!$I$145:$I$166,'Vestas turbines hist #'!B29,'OI 2021'!$K$145:$K$166)</f>
        <v>0</v>
      </c>
      <c r="R29" s="1">
        <f>SUMIF('OI 2020'!$I$144:$I$165,'Vestas turbines hist #'!B29,'OI 2020'!$K$144:$K$165)</f>
        <v>0</v>
      </c>
      <c r="S29" s="1">
        <f>SUMIF('OI 2019'!$I$113:$I$132,'Vestas turbines hist #'!B29,'OI 2019'!$L$113:$L$132)</f>
        <v>0</v>
      </c>
      <c r="T29" s="1">
        <f>SUMIF('OI 2018'!$I$114:$I$131,'Vestas turbines hist #'!B29,'OI 2018'!$L$114:$L$131)</f>
        <v>0</v>
      </c>
      <c r="U29" s="1">
        <f>SUMIF('OI 2017'!$I$113:$I$130,'Vestas turbines hist #'!B29,'OI 2017'!$L$113:$L$130)</f>
        <v>0</v>
      </c>
      <c r="V29" s="1">
        <f>SUMIF('OI 2016'!$I$87:$I$99,'Vestas turbines hist #'!$B29,'OI 2016'!$L$87:$L$99)</f>
        <v>0</v>
      </c>
      <c r="W29" s="1">
        <f>SUMIF('OI 2015'!$I$87:$I$101,'Vestas turbines hist #'!$B29,'OI 2015'!$L$87:$L$101)</f>
        <v>0</v>
      </c>
      <c r="X29" s="1">
        <f>SUMIF('OI 2014'!$I$87:$I$101,'Vestas turbines hist #'!$B29,'OI 2014'!$L$87:$L$101)</f>
        <v>0</v>
      </c>
      <c r="Y29" s="1">
        <f>SUMIF('OI 2013'!$I$87:$I$101,'Vestas turbines hist #'!$B29,'OI 2013'!$L$87:$L$101)</f>
        <v>0</v>
      </c>
      <c r="Z29" s="1">
        <f>SUMIF('OI 2012'!$I$87:$I$101,'Vestas turbines hist #'!$B29,'OI 2012'!$L$87:$L$101)</f>
        <v>0</v>
      </c>
      <c r="AA29" s="1">
        <f>SUMIF('OI 2011'!$I$95:$I$104,'Vestas turbines hist #'!$B29,'OI 2011'!$L$95:$L$104)</f>
        <v>0</v>
      </c>
      <c r="AB29" s="1">
        <f>SUMIF('OI 2010'!$I$95:$I$107,'Vestas turbines hist #'!$B29,'OI 2010'!$L$95:$L$107)</f>
        <v>0</v>
      </c>
      <c r="AC29" s="1">
        <f>SUMIF('OI 2009'!$I$95:$I$107,'Vestas turbines hist #'!$B29,'OI 2009'!$L$95:$L$107)</f>
        <v>0</v>
      </c>
      <c r="AD29" s="1">
        <f>SUMIF('OI 2008'!$I$95:$I$107,'Vestas turbines hist #'!$B29,'OI 2008'!$L$95:$L$107)</f>
        <v>0</v>
      </c>
    </row>
    <row r="30" spans="2:30" hidden="1" x14ac:dyDescent="0.25">
      <c r="B30" t="s">
        <v>802</v>
      </c>
      <c r="C30" t="s">
        <v>752</v>
      </c>
      <c r="D30" s="24">
        <f t="shared" si="2"/>
        <v>1.65</v>
      </c>
      <c r="E30">
        <v>1650</v>
      </c>
      <c r="F30">
        <v>70</v>
      </c>
      <c r="G30" t="s">
        <v>752</v>
      </c>
      <c r="H30" t="s">
        <v>752</v>
      </c>
      <c r="I30" t="s">
        <v>752</v>
      </c>
      <c r="J30" t="s">
        <v>752</v>
      </c>
      <c r="M30" s="1">
        <f t="shared" si="1"/>
        <v>0</v>
      </c>
      <c r="N30" s="1"/>
      <c r="O30">
        <f>SUMIF('OI 2023'!$I$158:$I$176,'Vestas turbines hist #'!B30,'OI 2023'!$J$158:$J$176)</f>
        <v>0</v>
      </c>
      <c r="P30" s="1">
        <f>SUMIF('OI 2022'!$I$158:$I$175,'Vestas turbines hist #'!B30,'OI 2022'!$K$158:$K$175)</f>
        <v>0</v>
      </c>
      <c r="Q30" s="1">
        <f>SUMIF('OI 2021'!$I$145:$I$166,'Vestas turbines hist #'!B30,'OI 2021'!$K$145:$K$166)</f>
        <v>0</v>
      </c>
      <c r="R30" s="1">
        <f>SUMIF('OI 2020'!$I$144:$I$165,'Vestas turbines hist #'!B30,'OI 2020'!$K$144:$K$165)</f>
        <v>0</v>
      </c>
      <c r="S30" s="1">
        <f>SUMIF('OI 2019'!$I$113:$I$132,'Vestas turbines hist #'!B30,'OI 2019'!$L$113:$L$132)</f>
        <v>0</v>
      </c>
      <c r="T30" s="1">
        <f>SUMIF('OI 2018'!$I$114:$I$131,'Vestas turbines hist #'!B30,'OI 2018'!$L$114:$L$131)</f>
        <v>0</v>
      </c>
      <c r="U30" s="1">
        <f>SUMIF('OI 2017'!$I$113:$I$130,'Vestas turbines hist #'!B30,'OI 2017'!$L$113:$L$130)</f>
        <v>0</v>
      </c>
      <c r="V30" s="1">
        <f>SUMIF('OI 2016'!$I$87:$I$99,'Vestas turbines hist #'!$B30,'OI 2016'!$L$87:$L$99)</f>
        <v>0</v>
      </c>
      <c r="W30" s="1">
        <f>SUMIF('OI 2015'!$I$87:$I$101,'Vestas turbines hist #'!$B30,'OI 2015'!$L$87:$L$101)</f>
        <v>0</v>
      </c>
      <c r="X30" s="1">
        <f>SUMIF('OI 2014'!$I$87:$I$101,'Vestas turbines hist #'!$B30,'OI 2014'!$L$87:$L$101)</f>
        <v>0</v>
      </c>
      <c r="Y30" s="1">
        <f>SUMIF('OI 2013'!$I$87:$I$101,'Vestas turbines hist #'!$B30,'OI 2013'!$L$87:$L$101)</f>
        <v>0</v>
      </c>
      <c r="Z30" s="1">
        <f>SUMIF('OI 2012'!$I$87:$I$101,'Vestas turbines hist #'!$B30,'OI 2012'!$L$87:$L$101)</f>
        <v>0</v>
      </c>
      <c r="AA30" s="1">
        <f>SUMIF('OI 2011'!$I$95:$I$104,'Vestas turbines hist #'!$B30,'OI 2011'!$L$95:$L$104)</f>
        <v>0</v>
      </c>
      <c r="AB30" s="1">
        <f>SUMIF('OI 2010'!$I$95:$I$107,'Vestas turbines hist #'!$B30,'OI 2010'!$L$95:$L$107)</f>
        <v>0</v>
      </c>
      <c r="AC30" s="1">
        <f>SUMIF('OI 2009'!$I$95:$I$107,'Vestas turbines hist #'!$B30,'OI 2009'!$L$95:$L$107)</f>
        <v>0</v>
      </c>
      <c r="AD30" s="1">
        <f>SUMIF('OI 2008'!$I$95:$I$107,'Vestas turbines hist #'!$B30,'OI 2008'!$L$95:$L$107)</f>
        <v>0</v>
      </c>
    </row>
    <row r="31" spans="2:30" hidden="1" x14ac:dyDescent="0.25">
      <c r="B31" t="s">
        <v>803</v>
      </c>
      <c r="C31" t="s">
        <v>755</v>
      </c>
      <c r="D31" s="24">
        <f t="shared" si="2"/>
        <v>1.8</v>
      </c>
      <c r="E31">
        <v>1800</v>
      </c>
      <c r="F31">
        <v>80</v>
      </c>
      <c r="G31" t="s">
        <v>752</v>
      </c>
      <c r="H31">
        <v>67</v>
      </c>
      <c r="I31" t="s">
        <v>765</v>
      </c>
      <c r="J31">
        <v>37</v>
      </c>
      <c r="M31" s="1">
        <f t="shared" si="1"/>
        <v>0</v>
      </c>
      <c r="N31" s="1"/>
      <c r="O31">
        <f>SUMIF('OI 2023'!$I$158:$I$176,'Vestas turbines hist #'!B31,'OI 2023'!$J$158:$J$176)</f>
        <v>0</v>
      </c>
      <c r="P31" s="1">
        <f>SUMIF('OI 2022'!$I$158:$I$175,'Vestas turbines hist #'!B31,'OI 2022'!$K$158:$K$175)</f>
        <v>0</v>
      </c>
      <c r="Q31" s="1">
        <f>SUMIF('OI 2021'!$I$145:$I$166,'Vestas turbines hist #'!B31,'OI 2021'!$K$145:$K$166)</f>
        <v>0</v>
      </c>
      <c r="R31" s="1">
        <f>SUMIF('OI 2020'!$I$144:$I$165,'Vestas turbines hist #'!B31,'OI 2020'!$K$144:$K$165)</f>
        <v>0</v>
      </c>
      <c r="S31" s="1">
        <f>SUMIF('OI 2019'!$I$113:$I$132,'Vestas turbines hist #'!B31,'OI 2019'!$L$113:$L$132)</f>
        <v>0</v>
      </c>
      <c r="T31" s="1">
        <f>SUMIF('OI 2018'!$I$114:$I$131,'Vestas turbines hist #'!B31,'OI 2018'!$L$114:$L$131)</f>
        <v>0</v>
      </c>
      <c r="U31" s="1">
        <f>SUMIF('OI 2017'!$I$113:$I$130,'Vestas turbines hist #'!B31,'OI 2017'!$L$113:$L$130)</f>
        <v>0</v>
      </c>
      <c r="V31" s="1">
        <f>SUMIF('OI 2016'!$I$87:$I$99,'Vestas turbines hist #'!$B31,'OI 2016'!$L$87:$L$99)</f>
        <v>0</v>
      </c>
      <c r="W31" s="1">
        <f>SUMIF('OI 2015'!$I$87:$I$101,'Vestas turbines hist #'!$B31,'OI 2015'!$L$87:$L$101)</f>
        <v>0</v>
      </c>
      <c r="X31" s="1">
        <f>SUMIF('OI 2014'!$I$87:$I$101,'Vestas turbines hist #'!$B31,'OI 2014'!$L$87:$L$101)</f>
        <v>0</v>
      </c>
      <c r="Y31" s="1">
        <f>SUMIF('OI 2013'!$I$87:$I$101,'Vestas turbines hist #'!$B31,'OI 2013'!$L$87:$L$101)</f>
        <v>0</v>
      </c>
      <c r="Z31" s="1">
        <f>SUMIF('OI 2012'!$I$87:$I$101,'Vestas turbines hist #'!$B31,'OI 2012'!$L$87:$L$101)</f>
        <v>0</v>
      </c>
      <c r="AA31" s="1">
        <f>SUMIF('OI 2011'!$I$95:$I$104,'Vestas turbines hist #'!$B31,'OI 2011'!$L$95:$L$104)</f>
        <v>0</v>
      </c>
      <c r="AB31" s="1">
        <f>SUMIF('OI 2010'!$I$95:$I$107,'Vestas turbines hist #'!$B31,'OI 2010'!$L$95:$L$107)</f>
        <v>0</v>
      </c>
      <c r="AC31" s="1">
        <f>SUMIF('OI 2009'!$I$95:$I$107,'Vestas turbines hist #'!$B31,'OI 2009'!$L$95:$L$107)</f>
        <v>0</v>
      </c>
      <c r="AD31" s="1">
        <f>SUMIF('OI 2008'!$I$95:$I$107,'Vestas turbines hist #'!$B31,'OI 2008'!$L$95:$L$107)</f>
        <v>0</v>
      </c>
    </row>
    <row r="32" spans="2:30" x14ac:dyDescent="0.25">
      <c r="B32" t="s">
        <v>462</v>
      </c>
      <c r="C32" t="s">
        <v>751</v>
      </c>
      <c r="D32" s="24">
        <f t="shared" si="2"/>
        <v>2</v>
      </c>
      <c r="E32">
        <v>2000</v>
      </c>
      <c r="F32">
        <v>80</v>
      </c>
      <c r="G32">
        <v>2000</v>
      </c>
      <c r="H32">
        <v>68</v>
      </c>
      <c r="I32" t="s">
        <v>766</v>
      </c>
      <c r="J32">
        <v>37</v>
      </c>
      <c r="M32" s="1">
        <f t="shared" si="1"/>
        <v>299</v>
      </c>
      <c r="N32" s="1"/>
      <c r="O32">
        <f>SUMIF('OI 2023'!$I$158:$I$176,'Vestas turbines hist #'!B32,'OI 2023'!$J$158:$J$176)</f>
        <v>0</v>
      </c>
      <c r="P32" s="1">
        <f>SUMIF('OI 2022'!$I$158:$I$175,'Vestas turbines hist #'!B32,'OI 2022'!$K$158:$K$175)</f>
        <v>0</v>
      </c>
      <c r="Q32" s="1">
        <f>SUMIF('OI 2021'!$I$145:$I$166,'Vestas turbines hist #'!B32,'OI 2021'!$K$145:$K$166)</f>
        <v>0</v>
      </c>
      <c r="R32" s="1">
        <f>SUMIF('OI 2020'!$I$144:$I$165,'Vestas turbines hist #'!B32,'OI 2020'!$K$144:$K$165)</f>
        <v>0</v>
      </c>
      <c r="S32" s="1">
        <f>SUMIF('OI 2019'!$I$113:$I$132,'Vestas turbines hist #'!B32,'OI 2019'!$L$113:$L$132)</f>
        <v>0</v>
      </c>
      <c r="T32" s="1">
        <f>SUMIF('OI 2018'!$I$114:$I$131,'Vestas turbines hist #'!B32,'OI 2018'!$L$114:$L$131)</f>
        <v>0</v>
      </c>
      <c r="U32" s="1">
        <f>SUMIF('OI 2017'!$I$113:$I$130,'Vestas turbines hist #'!B32,'OI 2017'!$L$113:$L$130)</f>
        <v>0</v>
      </c>
      <c r="V32" s="1">
        <f>SUMIF('OI 2016'!$I$87:$I$99,'Vestas turbines hist #'!$B32,'OI 2016'!$L$87:$L$99)</f>
        <v>0</v>
      </c>
      <c r="W32" s="1">
        <f>SUMIF('OI 2015'!$I$87:$I$101,'Vestas turbines hist #'!$B32,'OI 2015'!$L$87:$L$101)</f>
        <v>0</v>
      </c>
      <c r="X32" s="1">
        <f>SUMIF('OI 2014'!$I$87:$I$101,'Vestas turbines hist #'!$B32,'OI 2014'!$L$87:$L$101)</f>
        <v>34</v>
      </c>
      <c r="Y32" s="1">
        <f>SUMIF('OI 2013'!$I$87:$I$101,'Vestas turbines hist #'!$B32,'OI 2013'!$L$87:$L$101)</f>
        <v>0</v>
      </c>
      <c r="Z32" s="1">
        <f>SUMIF('OI 2012'!$I$87:$I$101,'Vestas turbines hist #'!$B32,'OI 2012'!$L$87:$L$101)</f>
        <v>47</v>
      </c>
      <c r="AA32" s="1">
        <f>SUMIF('OI 2011'!$I$95:$I$104,'Vestas turbines hist #'!$B32,'OI 2011'!$L$95:$L$104)</f>
        <v>73</v>
      </c>
      <c r="AB32" s="1">
        <f>SUMIF('OI 2010'!$I$95:$I$107,'Vestas turbines hist #'!$B32,'OI 2010'!$L$95:$L$107)</f>
        <v>57</v>
      </c>
      <c r="AC32" s="1">
        <f>SUMIF('OI 2009'!$I$95:$I$107,'Vestas turbines hist #'!$B32,'OI 2009'!$L$95:$L$107)</f>
        <v>88</v>
      </c>
      <c r="AD32" s="1">
        <f>SUMIF('OI 2008'!$I$95:$I$107,'Vestas turbines hist #'!$B32,'OI 2008'!$L$95:$L$107)</f>
        <v>0</v>
      </c>
    </row>
    <row r="33" spans="2:33" x14ac:dyDescent="0.25">
      <c r="B33" t="s">
        <v>804</v>
      </c>
      <c r="C33" t="s">
        <v>752</v>
      </c>
      <c r="D33" s="24">
        <f t="shared" si="2"/>
        <v>1.5</v>
      </c>
      <c r="E33">
        <v>1500</v>
      </c>
      <c r="F33">
        <v>82</v>
      </c>
      <c r="G33" t="s">
        <v>752</v>
      </c>
      <c r="H33" t="s">
        <v>752</v>
      </c>
      <c r="I33" t="s">
        <v>752</v>
      </c>
      <c r="J33" t="s">
        <v>752</v>
      </c>
      <c r="M33" s="1">
        <f t="shared" si="1"/>
        <v>0</v>
      </c>
      <c r="N33" s="1"/>
      <c r="O33">
        <f>SUMIF('OI 2023'!$I$158:$I$176,'Vestas turbines hist #'!B33,'OI 2023'!$J$158:$J$176)</f>
        <v>0</v>
      </c>
      <c r="P33" s="1">
        <f>SUMIF('OI 2022'!$I$158:$I$175,'Vestas turbines hist #'!B33,'OI 2022'!$K$158:$K$175)</f>
        <v>0</v>
      </c>
      <c r="Q33" s="1">
        <f>SUMIF('OI 2021'!$I$145:$I$166,'Vestas turbines hist #'!B33,'OI 2021'!$K$145:$K$166)</f>
        <v>0</v>
      </c>
      <c r="R33" s="1">
        <f>SUMIF('OI 2020'!$I$144:$I$165,'Vestas turbines hist #'!B33,'OI 2020'!$K$144:$K$165)</f>
        <v>0</v>
      </c>
      <c r="S33" s="1">
        <f>SUMIF('OI 2019'!$I$113:$I$132,'Vestas turbines hist #'!B33,'OI 2019'!$L$113:$L$132)</f>
        <v>0</v>
      </c>
      <c r="T33" s="1">
        <f>SUMIF('OI 2018'!$I$114:$I$131,'Vestas turbines hist #'!B33,'OI 2018'!$L$114:$L$131)</f>
        <v>0</v>
      </c>
      <c r="U33" s="1">
        <f>SUMIF('OI 2017'!$I$113:$I$130,'Vestas turbines hist #'!B33,'OI 2017'!$L$113:$L$130)</f>
        <v>0</v>
      </c>
      <c r="V33" s="1">
        <f>SUMIF('OI 2016'!$I$87:$I$99,'Vestas turbines hist #'!$B33,'OI 2016'!$L$87:$L$99)</f>
        <v>0</v>
      </c>
      <c r="W33" s="1">
        <f>SUMIF('OI 2015'!$I$87:$I$101,'Vestas turbines hist #'!$B33,'OI 2015'!$L$87:$L$101)</f>
        <v>0</v>
      </c>
      <c r="X33" s="1">
        <f>SUMIF('OI 2014'!$I$87:$I$101,'Vestas turbines hist #'!$B33,'OI 2014'!$L$87:$L$101)</f>
        <v>0</v>
      </c>
      <c r="Y33" s="1">
        <f>SUMIF('OI 2013'!$I$87:$I$101,'Vestas turbines hist #'!$B33,'OI 2013'!$L$87:$L$101)</f>
        <v>0</v>
      </c>
      <c r="Z33" s="1">
        <f>SUMIF('OI 2012'!$I$87:$I$101,'Vestas turbines hist #'!$B33,'OI 2012'!$L$87:$L$101)</f>
        <v>0</v>
      </c>
      <c r="AA33" s="1">
        <f>SUMIF('OI 2011'!$I$95:$I$104,'Vestas turbines hist #'!$B33,'OI 2011'!$L$95:$L$104)</f>
        <v>0</v>
      </c>
      <c r="AB33" s="1">
        <f>SUMIF('OI 2010'!$I$95:$I$107,'Vestas turbines hist #'!$B33,'OI 2010'!$L$95:$L$107)</f>
        <v>0</v>
      </c>
      <c r="AC33" s="1">
        <f>SUMIF('OI 2009'!$I$95:$I$107,'Vestas turbines hist #'!$B33,'OI 2009'!$L$95:$L$107)</f>
        <v>0</v>
      </c>
      <c r="AD33" s="1">
        <f>SUMIF('OI 2008'!$I$95:$I$107,'Vestas turbines hist #'!$B33,'OI 2008'!$L$95:$L$107)</f>
        <v>0</v>
      </c>
    </row>
    <row r="34" spans="2:33" x14ac:dyDescent="0.25">
      <c r="B34" t="s">
        <v>805</v>
      </c>
      <c r="C34" t="s">
        <v>754</v>
      </c>
      <c r="D34" s="24">
        <f t="shared" si="2"/>
        <v>1.65</v>
      </c>
      <c r="E34">
        <v>1650</v>
      </c>
      <c r="F34">
        <v>82</v>
      </c>
      <c r="G34">
        <v>2003</v>
      </c>
      <c r="H34">
        <v>52</v>
      </c>
      <c r="I34" t="s">
        <v>767</v>
      </c>
      <c r="J34">
        <v>43</v>
      </c>
      <c r="M34" s="1">
        <f t="shared" si="1"/>
        <v>154</v>
      </c>
      <c r="N34" s="1"/>
      <c r="O34">
        <f>SUMIF('OI 2023'!$I$158:$I$176,'Vestas turbines hist #'!B34,'OI 2023'!$J$158:$J$176)</f>
        <v>0</v>
      </c>
      <c r="P34" s="1">
        <f>SUMIF('OI 2022'!$I$158:$I$175,'Vestas turbines hist #'!B34,'OI 2022'!$K$158:$K$175)</f>
        <v>0</v>
      </c>
      <c r="Q34" s="1">
        <f>SUMIF('OI 2021'!$I$145:$I$166,'Vestas turbines hist #'!B34,'OI 2021'!$K$145:$K$166)</f>
        <v>0</v>
      </c>
      <c r="R34" s="1">
        <f>SUMIF('OI 2020'!$I$144:$I$165,'Vestas turbines hist #'!B34,'OI 2020'!$K$144:$K$165)</f>
        <v>0</v>
      </c>
      <c r="S34" s="1">
        <f>SUMIF('OI 2019'!$I$113:$I$132,'Vestas turbines hist #'!B34,'OI 2019'!$L$113:$L$132)</f>
        <v>0</v>
      </c>
      <c r="T34" s="1">
        <f>SUMIF('OI 2018'!$I$114:$I$131,'Vestas turbines hist #'!B34,'OI 2018'!$L$114:$L$131)</f>
        <v>0</v>
      </c>
      <c r="U34" s="1">
        <f>SUMIF('OI 2017'!$I$113:$I$130,'Vestas turbines hist #'!B34,'OI 2017'!$L$113:$L$130)</f>
        <v>0</v>
      </c>
      <c r="V34" s="1">
        <f>SUMIF('OI 2016'!$I$87:$I$99,'Vestas turbines hist #'!$B34,'OI 2016'!$L$87:$L$99)</f>
        <v>0</v>
      </c>
      <c r="W34" s="1">
        <f>SUMIF('OI 2015'!$I$87:$I$101,'Vestas turbines hist #'!$B34,'OI 2015'!$L$87:$L$101)</f>
        <v>0</v>
      </c>
      <c r="X34" s="1">
        <f>SUMIF('OI 2014'!$I$87:$I$101,'Vestas turbines hist #'!$B34,'OI 2014'!$L$87:$L$101)</f>
        <v>0</v>
      </c>
      <c r="Y34" s="1">
        <f>SUMIF('OI 2013'!$I$87:$I$101,'Vestas turbines hist #'!$B34,'OI 2013'!$L$87:$L$101)</f>
        <v>0</v>
      </c>
      <c r="Z34" s="1">
        <f>SUMIF('OI 2012'!$I$87:$I$101,'Vestas turbines hist #'!$B34,'OI 2012'!$L$87:$L$101)</f>
        <v>0</v>
      </c>
      <c r="AA34" s="1">
        <f>SUMIF('OI 2011'!$I$95:$I$104,'Vestas turbines hist #'!$B34,'OI 2011'!$L$95:$L$104)</f>
        <v>0</v>
      </c>
      <c r="AB34" s="1">
        <f>SUMIF('OI 2010'!$I$95:$I$107,'Vestas turbines hist #'!$B34,'OI 2010'!$L$95:$L$107)</f>
        <v>94</v>
      </c>
      <c r="AC34" s="1">
        <f>SUMIF('OI 2009'!$I$95:$I$107,'Vestas turbines hist #'!$B34,'OI 2009'!$L$95:$L$107)</f>
        <v>60</v>
      </c>
      <c r="AD34" s="1">
        <f>SUMIF('OI 2008'!$I$95:$I$107,'Vestas turbines hist #'!$B34,'OI 2008'!$L$95:$L$107)</f>
        <v>0</v>
      </c>
    </row>
    <row r="35" spans="2:33" x14ac:dyDescent="0.25">
      <c r="B35" t="s">
        <v>806</v>
      </c>
      <c r="C35" t="s">
        <v>760</v>
      </c>
      <c r="D35" s="24">
        <f t="shared" si="2"/>
        <v>1.8</v>
      </c>
      <c r="E35">
        <v>1800</v>
      </c>
      <c r="F35">
        <v>90</v>
      </c>
      <c r="G35" t="s">
        <v>752</v>
      </c>
      <c r="H35">
        <v>68</v>
      </c>
      <c r="I35" t="s">
        <v>768</v>
      </c>
      <c r="J35">
        <v>38</v>
      </c>
      <c r="M35" s="1">
        <f t="shared" si="1"/>
        <v>795.77777777777783</v>
      </c>
      <c r="N35" s="1"/>
      <c r="O35">
        <f>SUMIF('OI 2023'!$I$158:$I$176,'Vestas turbines hist #'!B35,'OI 2023'!$J$158:$J$176)</f>
        <v>0</v>
      </c>
      <c r="P35" s="1">
        <f>SUMIF('OI 2022'!$I$158:$I$175,'Vestas turbines hist #'!B35,'OI 2022'!$K$158:$K$175)</f>
        <v>0</v>
      </c>
      <c r="Q35" s="1">
        <f>SUMIF('OI 2021'!$I$145:$I$166,'Vestas turbines hist #'!B35,'OI 2021'!$K$145:$K$166)</f>
        <v>0</v>
      </c>
      <c r="R35" s="1">
        <f>SUMIF('OI 2020'!$I$144:$I$165,'Vestas turbines hist #'!B35,'OI 2020'!$K$144:$K$165)</f>
        <v>0</v>
      </c>
      <c r="S35" s="1">
        <f>SUMIF('OI 2019'!$I$113:$I$132,'Vestas turbines hist #'!B35,'OI 2019'!$L$113:$L$132)</f>
        <v>0</v>
      </c>
      <c r="T35" s="1">
        <f>SUMIF('OI 2018'!$I$114:$I$131,'Vestas turbines hist #'!B35,'OI 2018'!$L$114:$L$131)</f>
        <v>0</v>
      </c>
      <c r="U35" s="1">
        <f>SUMIF('OI 2017'!$I$113:$I$130,'Vestas turbines hist #'!B35,'OI 2017'!$L$113:$L$130)</f>
        <v>0</v>
      </c>
      <c r="V35" s="1">
        <f>SUMIF('OI 2016'!$I$87:$I$99,'Vestas turbines hist #'!$B35,'OI 2016'!$L$87:$L$99)</f>
        <v>0</v>
      </c>
      <c r="W35" s="1">
        <f>SUMIF('OI 2015'!$I$87:$I$101,'Vestas turbines hist #'!$B35,'OI 2015'!$L$87:$L$101)</f>
        <v>0</v>
      </c>
      <c r="X35" s="1">
        <f>SUMIF('OI 2014'!$I$87:$I$101,'Vestas turbines hist #'!$B35,'OI 2014'!$L$87:$L$101)</f>
        <v>0</v>
      </c>
      <c r="Y35" s="1">
        <f>SUMIF('OI 2013'!$I$87:$I$101,'Vestas turbines hist #'!$B35,'OI 2013'!$L$87:$L$101)</f>
        <v>0</v>
      </c>
      <c r="Z35" s="1">
        <f>SUMIF('OI 2012'!$I$87:$I$101,'Vestas turbines hist #'!$B35,'OI 2012'!$L$87:$L$101)</f>
        <v>0</v>
      </c>
      <c r="AA35" s="1">
        <f>SUMIF('OI 2011'!$I$95:$I$104,'Vestas turbines hist #'!$B35,'OI 2011'!$L$95:$L$104)</f>
        <v>342.77777777777777</v>
      </c>
      <c r="AB35" s="1">
        <f>SUMIF('OI 2010'!$I$95:$I$107,'Vestas turbines hist #'!$B35,'OI 2010'!$L$95:$L$107)</f>
        <v>427</v>
      </c>
      <c r="AC35" s="1">
        <f>SUMIF('OI 2009'!$I$95:$I$107,'Vestas turbines hist #'!$B35,'OI 2009'!$L$95:$L$107)</f>
        <v>0</v>
      </c>
      <c r="AD35" s="1">
        <f>SUMIF('OI 2008'!$I$95:$I$107,'Vestas turbines hist #'!$B35,'OI 2008'!$L$95:$L$107)</f>
        <v>26</v>
      </c>
    </row>
    <row r="36" spans="2:33" x14ac:dyDescent="0.25">
      <c r="B36" t="s">
        <v>244</v>
      </c>
      <c r="C36" t="s">
        <v>760</v>
      </c>
      <c r="D36" s="24">
        <f t="shared" si="2"/>
        <v>2</v>
      </c>
      <c r="E36">
        <v>2000</v>
      </c>
      <c r="F36">
        <v>90</v>
      </c>
      <c r="G36">
        <v>2004</v>
      </c>
      <c r="H36">
        <v>68</v>
      </c>
      <c r="I36" t="s">
        <v>769</v>
      </c>
      <c r="J36">
        <v>36</v>
      </c>
      <c r="M36" s="1">
        <f t="shared" si="1"/>
        <v>1445.5</v>
      </c>
      <c r="N36" s="1"/>
      <c r="O36">
        <f>SUMIF('OI 2023'!$I$158:$I$176,'Vestas turbines hist #'!B36,'OI 2023'!$J$158:$J$176)</f>
        <v>0</v>
      </c>
      <c r="P36" s="1">
        <f>SUMIF('OI 2022'!$I$158:$I$175,'Vestas turbines hist #'!B36,'OI 2022'!$K$158:$K$175)</f>
        <v>0</v>
      </c>
      <c r="Q36" s="1">
        <f>SUMIF('OI 2021'!$I$145:$I$166,'Vestas turbines hist #'!B36,'OI 2021'!$K$145:$K$166)</f>
        <v>2</v>
      </c>
      <c r="R36" s="1">
        <f>SUMIF('OI 2020'!$I$144:$I$165,'Vestas turbines hist #'!B36,'OI 2020'!$K$144:$K$165)</f>
        <v>1</v>
      </c>
      <c r="S36" s="1">
        <f>SUMIF('OI 2019'!$I$113:$I$132,'Vestas turbines hist #'!B36,'OI 2019'!$L$113:$L$132)</f>
        <v>0</v>
      </c>
      <c r="T36" s="1">
        <f>SUMIF('OI 2018'!$I$114:$I$131,'Vestas turbines hist #'!B36,'OI 2018'!$L$114:$L$131)</f>
        <v>0</v>
      </c>
      <c r="U36" s="1">
        <f>SUMIF('OI 2017'!$I$113:$I$130,'Vestas turbines hist #'!B36,'OI 2017'!$L$113:$L$130)</f>
        <v>0</v>
      </c>
      <c r="V36" s="1">
        <f>SUMIF('OI 2016'!$I$87:$I$99,'Vestas turbines hist #'!$B36,'OI 2016'!$L$87:$L$99)</f>
        <v>0</v>
      </c>
      <c r="W36" s="1">
        <f>SUMIF('OI 2015'!$I$87:$I$101,'Vestas turbines hist #'!$B36,'OI 2015'!$L$87:$L$101)</f>
        <v>49</v>
      </c>
      <c r="X36" s="1">
        <f>SUMIF('OI 2014'!$I$87:$I$101,'Vestas turbines hist #'!$B36,'OI 2014'!$L$87:$L$101)</f>
        <v>21</v>
      </c>
      <c r="Y36" s="1">
        <f>SUMIF('OI 2013'!$I$87:$I$101,'Vestas turbines hist #'!$B36,'OI 2013'!$L$87:$L$101)</f>
        <v>202.5</v>
      </c>
      <c r="Z36" s="1">
        <f>SUMIF('OI 2012'!$I$87:$I$101,'Vestas turbines hist #'!$B36,'OI 2012'!$L$87:$L$101)</f>
        <v>151</v>
      </c>
      <c r="AA36" s="1">
        <f>SUMIF('OI 2011'!$I$95:$I$104,'Vestas turbines hist #'!$B36,'OI 2011'!$L$95:$L$104)</f>
        <v>373</v>
      </c>
      <c r="AB36" s="1">
        <f>SUMIF('OI 2010'!$I$95:$I$107,'Vestas turbines hist #'!$B36,'OI 2010'!$L$95:$L$107)</f>
        <v>415</v>
      </c>
      <c r="AC36" s="1">
        <f>SUMIF('OI 2009'!$I$95:$I$107,'Vestas turbines hist #'!$B36,'OI 2009'!$L$95:$L$107)</f>
        <v>130</v>
      </c>
      <c r="AD36" s="1">
        <f>SUMIF('OI 2008'!$I$95:$I$107,'Vestas turbines hist #'!$B36,'OI 2008'!$L$95:$L$107)</f>
        <v>101</v>
      </c>
    </row>
    <row r="37" spans="2:33" x14ac:dyDescent="0.25">
      <c r="B37" t="s">
        <v>233</v>
      </c>
      <c r="C37" t="s">
        <v>761</v>
      </c>
      <c r="D37" s="24">
        <f t="shared" si="2"/>
        <v>3</v>
      </c>
      <c r="E37">
        <v>3000</v>
      </c>
      <c r="F37">
        <v>90</v>
      </c>
      <c r="G37">
        <v>2002</v>
      </c>
      <c r="H37">
        <v>68</v>
      </c>
      <c r="I37" t="s">
        <v>770</v>
      </c>
      <c r="J37">
        <v>28</v>
      </c>
      <c r="M37" s="1">
        <f t="shared" si="1"/>
        <v>1421</v>
      </c>
      <c r="N37" s="1"/>
      <c r="O37">
        <f>SUMIF('OI 2023'!$I$158:$I$176,'Vestas turbines hist #'!B37,'OI 2023'!$J$158:$J$176)</f>
        <v>0</v>
      </c>
      <c r="P37" s="1">
        <f>SUMIF('OI 2022'!$I$158:$I$175,'Vestas turbines hist #'!B37,'OI 2022'!$K$158:$K$175)</f>
        <v>0</v>
      </c>
      <c r="Q37" s="1">
        <f>SUMIF('OI 2021'!$I$145:$I$166,'Vestas turbines hist #'!B37,'OI 2021'!$K$145:$K$166)</f>
        <v>0</v>
      </c>
      <c r="R37" s="1">
        <f>SUMIF('OI 2020'!$I$144:$I$165,'Vestas turbines hist #'!B37,'OI 2020'!$K$144:$K$165)</f>
        <v>0</v>
      </c>
      <c r="S37" s="1">
        <f>SUMIF('OI 2019'!$I$113:$I$132,'Vestas turbines hist #'!B37,'OI 2019'!$L$113:$L$132)</f>
        <v>0</v>
      </c>
      <c r="T37" s="1">
        <f>SUMIF('OI 2018'!$I$114:$I$131,'Vestas turbines hist #'!B37,'OI 2018'!$L$114:$L$131)</f>
        <v>0</v>
      </c>
      <c r="U37" s="1">
        <f>SUMIF('OI 2017'!$I$113:$I$130,'Vestas turbines hist #'!B37,'OI 2017'!$L$113:$L$130)</f>
        <v>0</v>
      </c>
      <c r="V37" s="1">
        <f>SUMIF('OI 2016'!$I$87:$I$99,'Vestas turbines hist #'!$B37,'OI 2016'!$L$87:$L$99)</f>
        <v>40</v>
      </c>
      <c r="W37" s="1">
        <f>SUMIF('OI 2015'!$I$87:$I$101,'Vestas turbines hist #'!$B37,'OI 2015'!$L$87:$L$101)</f>
        <v>29</v>
      </c>
      <c r="X37" s="1">
        <f>SUMIF('OI 2014'!$I$87:$I$101,'Vestas turbines hist #'!$B37,'OI 2014'!$L$87:$L$101)</f>
        <v>61</v>
      </c>
      <c r="Y37" s="1">
        <f>SUMIF('OI 2013'!$I$87:$I$101,'Vestas turbines hist #'!$B37,'OI 2013'!$L$87:$L$101)</f>
        <v>43</v>
      </c>
      <c r="Z37" s="1">
        <f>SUMIF('OI 2012'!$I$87:$I$101,'Vestas turbines hist #'!$B37,'OI 2012'!$L$87:$L$101)</f>
        <v>208</v>
      </c>
      <c r="AA37" s="1">
        <f>SUMIF('OI 2011'!$I$95:$I$104,'Vestas turbines hist #'!$B37,'OI 2011'!$L$95:$L$104)</f>
        <v>193</v>
      </c>
      <c r="AB37" s="1">
        <f>SUMIF('OI 2010'!$I$95:$I$107,'Vestas turbines hist #'!$B37,'OI 2010'!$L$95:$L$107)</f>
        <v>342</v>
      </c>
      <c r="AC37" s="1">
        <f>SUMIF('OI 2009'!$I$95:$I$107,'Vestas turbines hist #'!$B37,'OI 2009'!$L$95:$L$107)</f>
        <v>286</v>
      </c>
      <c r="AD37" s="1">
        <f>SUMIF('OI 2008'!$I$95:$I$107,'Vestas turbines hist #'!$B37,'OI 2008'!$L$95:$L$107)</f>
        <v>219</v>
      </c>
    </row>
    <row r="38" spans="2:33" x14ac:dyDescent="0.25">
      <c r="B38" t="s">
        <v>807</v>
      </c>
      <c r="C38" t="s">
        <v>761</v>
      </c>
      <c r="D38" s="24">
        <f t="shared" si="2"/>
        <v>3</v>
      </c>
      <c r="E38">
        <v>3000</v>
      </c>
      <c r="F38">
        <v>90</v>
      </c>
      <c r="G38" t="s">
        <v>752</v>
      </c>
      <c r="H38" t="s">
        <v>752</v>
      </c>
      <c r="I38" t="s">
        <v>752</v>
      </c>
      <c r="J38" t="s">
        <v>752</v>
      </c>
      <c r="M38" s="1">
        <f t="shared" si="1"/>
        <v>0</v>
      </c>
      <c r="N38" s="1"/>
      <c r="O38">
        <f>SUMIF('OI 2023'!$I$158:$I$176,'Vestas turbines hist #'!B38,'OI 2023'!$J$158:$J$176)</f>
        <v>0</v>
      </c>
      <c r="P38" s="1">
        <f>SUMIF('OI 2022'!$I$158:$I$175,'Vestas turbines hist #'!B38,'OI 2022'!$K$158:$K$175)</f>
        <v>0</v>
      </c>
      <c r="Q38" s="1">
        <f>SUMIF('OI 2021'!$I$145:$I$166,'Vestas turbines hist #'!B38,'OI 2021'!$K$145:$K$166)</f>
        <v>0</v>
      </c>
      <c r="R38" s="1">
        <f>SUMIF('OI 2020'!$I$144:$I$165,'Vestas turbines hist #'!B38,'OI 2020'!$K$144:$K$165)</f>
        <v>0</v>
      </c>
      <c r="S38" s="1">
        <f>SUMIF('OI 2019'!$I$113:$I$132,'Vestas turbines hist #'!B38,'OI 2019'!$L$113:$L$132)</f>
        <v>0</v>
      </c>
      <c r="T38" s="1">
        <f>SUMIF('OI 2018'!$I$114:$I$131,'Vestas turbines hist #'!B38,'OI 2018'!$L$114:$L$131)</f>
        <v>0</v>
      </c>
      <c r="U38" s="1">
        <f>SUMIF('OI 2017'!$I$113:$I$130,'Vestas turbines hist #'!B38,'OI 2017'!$L$113:$L$130)</f>
        <v>0</v>
      </c>
      <c r="V38" s="1">
        <f>SUMIF('OI 2016'!$I$87:$I$99,'Vestas turbines hist #'!$B38,'OI 2016'!$L$87:$L$99)</f>
        <v>0</v>
      </c>
      <c r="W38" s="1">
        <f>SUMIF('OI 2015'!$I$87:$I$101,'Vestas turbines hist #'!$B38,'OI 2015'!$L$87:$L$101)</f>
        <v>0</v>
      </c>
      <c r="X38" s="1">
        <f>SUMIF('OI 2014'!$I$87:$I$101,'Vestas turbines hist #'!$B38,'OI 2014'!$L$87:$L$101)</f>
        <v>0</v>
      </c>
      <c r="Y38" s="1">
        <f>SUMIF('OI 2013'!$I$87:$I$101,'Vestas turbines hist #'!$B38,'OI 2013'!$L$87:$L$101)</f>
        <v>0</v>
      </c>
      <c r="Z38" s="1">
        <f>SUMIF('OI 2012'!$I$87:$I$101,'Vestas turbines hist #'!$B38,'OI 2012'!$L$87:$L$101)</f>
        <v>0</v>
      </c>
      <c r="AA38" s="1">
        <f>SUMIF('OI 2011'!$I$66:$I$77,'Vestas turbines hist #'!$B38,'OI 2011'!$L$66:$L$77)</f>
        <v>0</v>
      </c>
      <c r="AB38" s="1">
        <f>SUMIF('OI 2010'!$I$95:$I$107,'Vestas turbines hist #'!$B38,'OI 2010'!$L$95:$L$107)</f>
        <v>0</v>
      </c>
      <c r="AC38" s="1">
        <f>SUMIF('OI 2009'!$I$95:$I$107,'Vestas turbines hist #'!$B38,'OI 2009'!$L$95:$L$107)</f>
        <v>0</v>
      </c>
      <c r="AD38" s="1">
        <f>SUMIF('OI 2008'!$I$95:$I$107,'Vestas turbines hist #'!$B38,'OI 2008'!$L$95:$L$107)</f>
        <v>0</v>
      </c>
    </row>
    <row r="39" spans="2:33" x14ac:dyDescent="0.25">
      <c r="B39" t="s">
        <v>222</v>
      </c>
      <c r="C39" t="s">
        <v>748</v>
      </c>
      <c r="D39" s="24">
        <f t="shared" si="2"/>
        <v>1.8</v>
      </c>
      <c r="E39">
        <v>1800</v>
      </c>
      <c r="F39">
        <v>100</v>
      </c>
      <c r="G39">
        <v>2009</v>
      </c>
      <c r="H39" t="s">
        <v>752</v>
      </c>
      <c r="I39" t="s">
        <v>752</v>
      </c>
      <c r="J39" t="s">
        <v>752</v>
      </c>
      <c r="M39" s="1">
        <f t="shared" si="1"/>
        <v>1138.1111111111111</v>
      </c>
      <c r="N39" s="1"/>
      <c r="O39">
        <f>SUMIF('OI 2023'!$I$158:$I$176,'Vestas turbines hist #'!B39,'OI 2023'!$J$158:$J$176)</f>
        <v>0</v>
      </c>
      <c r="P39" s="1">
        <f>SUMIF('OI 2022'!$I$158:$I$175,'Vestas turbines hist #'!B39,'OI 2022'!$K$158:$K$175)</f>
        <v>0</v>
      </c>
      <c r="Q39" s="1">
        <f>SUMIF('OI 2021'!$I$145:$I$166,'Vestas turbines hist #'!B39,'OI 2021'!$K$145:$K$166)</f>
        <v>0</v>
      </c>
      <c r="R39" s="1">
        <f>SUMIF('OI 2020'!$I$144:$I$165,'Vestas turbines hist #'!B39,'OI 2020'!$K$144:$K$165)</f>
        <v>0</v>
      </c>
      <c r="S39" s="1">
        <f>SUMIF('OI 2019'!$I$113:$I$132,'Vestas turbines hist #'!B39,'OI 2019'!$L$113:$L$132)</f>
        <v>0</v>
      </c>
      <c r="T39" s="1">
        <f>SUMIF('OI 2018'!$I$114:$I$131,'Vestas turbines hist #'!B39,'OI 2018'!$L$114:$L$131)</f>
        <v>0</v>
      </c>
      <c r="U39" s="1">
        <f>SUMIF('OI 2017'!$I$113:$I$130,'Vestas turbines hist #'!B39,'OI 2017'!$L$113:$L$130)</f>
        <v>0</v>
      </c>
      <c r="V39" s="1">
        <f>SUMIF('OI 2016'!$I$87:$I$99,'Vestas turbines hist #'!$B39,'OI 2016'!$L$87:$L$99)</f>
        <v>15</v>
      </c>
      <c r="W39" s="1">
        <f>SUMIF('OI 2015'!$I$87:$I$101,'Vestas turbines hist #'!$B39,'OI 2015'!$L$87:$L$101)</f>
        <v>70</v>
      </c>
      <c r="X39" s="1">
        <f>SUMIF('OI 2014'!$I$87:$I$101,'Vestas turbines hist #'!$B39,'OI 2014'!$L$87:$L$101)</f>
        <v>0</v>
      </c>
      <c r="Y39" s="1">
        <f>SUMIF('OI 2013'!$I$87:$I$101,'Vestas turbines hist #'!$B39,'OI 2013'!$L$87:$L$101)</f>
        <v>212.11111111111111</v>
      </c>
      <c r="Z39" s="1">
        <f>SUMIF('OI 2012'!$I$87:$I$101,'Vestas turbines hist #'!$B39,'OI 2012'!$L$87:$L$101)</f>
        <v>163</v>
      </c>
      <c r="AA39" s="1">
        <f>SUMIF('OI 2011'!$I$95:$I$104,'Vestas turbines hist #'!$B39,'OI 2011'!$L$95:$L$104)</f>
        <v>376</v>
      </c>
      <c r="AB39" s="1">
        <f>SUMIF('OI 2010'!$I$95:$I$107,'Vestas turbines hist #'!$B39,'OI 2010'!$L$95:$L$107)</f>
        <v>252</v>
      </c>
      <c r="AC39" s="35">
        <f>SUMIF('OI 2009'!$I$95:$I$107,'Vestas turbines hist #'!$B39,'OI 2009'!$L$95:$L$107)</f>
        <v>50</v>
      </c>
      <c r="AD39" s="1">
        <f>SUMIF('OI 2008'!$I$95:$I$107,'Vestas turbines hist #'!$B39,'OI 2008'!$L$95:$L$107)</f>
        <v>0</v>
      </c>
      <c r="AG39">
        <v>8</v>
      </c>
    </row>
    <row r="40" spans="2:33" x14ac:dyDescent="0.25">
      <c r="B40" t="s">
        <v>113</v>
      </c>
      <c r="C40" t="s">
        <v>749</v>
      </c>
      <c r="D40" s="24">
        <f t="shared" ref="D40:D79" si="3">E40/1000</f>
        <v>2</v>
      </c>
      <c r="E40">
        <v>2000</v>
      </c>
      <c r="F40">
        <v>100</v>
      </c>
      <c r="G40">
        <v>2013</v>
      </c>
      <c r="H40">
        <v>78</v>
      </c>
      <c r="I40">
        <v>250</v>
      </c>
      <c r="J40">
        <v>45</v>
      </c>
      <c r="M40" s="1">
        <f t="shared" si="1"/>
        <v>2177</v>
      </c>
      <c r="N40" s="1"/>
      <c r="O40">
        <f>SUMIF('OI 2023'!$I$158:$I$176,'Vestas turbines hist #'!B40,'OI 2023'!$J$158:$J$176)</f>
        <v>40</v>
      </c>
      <c r="P40" s="1">
        <f>SUMIF('OI 2022'!$I$158:$I$175,'Vestas turbines hist #'!B40,'OI 2022'!$K$158:$K$175)</f>
        <v>2</v>
      </c>
      <c r="Q40" s="1">
        <f>SUMIF('OI 2021'!$I$145:$I$166,'Vestas turbines hist #'!B40,'OI 2021'!$K$145:$K$166)</f>
        <v>86</v>
      </c>
      <c r="R40" s="1">
        <f>SUMIF('OI 2020'!$I$144:$I$165,'Vestas turbines hist #'!B40,'OI 2020'!$K$144:$K$165)</f>
        <v>124</v>
      </c>
      <c r="S40" s="1">
        <f>SUMIF('OI 2019'!$I$113:$I$132,'Vestas turbines hist #'!B40,'OI 2019'!$L$113:$L$132)</f>
        <v>0</v>
      </c>
      <c r="T40" s="1">
        <f>SUMIF('OI 2018'!$I$114:$I$131,'Vestas turbines hist #'!B40,'OI 2018'!$L$114:$L$131)</f>
        <v>141</v>
      </c>
      <c r="U40" s="1">
        <f>SUMIF('OI 2017'!$I$113:$I$130,'Vestas turbines hist #'!B40,'OI 2017'!$L$113:$L$130)</f>
        <v>72</v>
      </c>
      <c r="V40" s="1">
        <f>SUMIF('OI 2016'!$I$87:$I$99,'Vestas turbines hist #'!$B40,'OI 2016'!$L$87:$L$99)</f>
        <v>104</v>
      </c>
      <c r="W40" s="1">
        <f>SUMIF('OI 2015'!$I$87:$I$101,'Vestas turbines hist #'!$B40,'OI 2015'!$L$87:$L$101)</f>
        <v>486</v>
      </c>
      <c r="X40" s="1">
        <f>SUMIF('OI 2014'!$I$87:$I$101,'Vestas turbines hist #'!$B40,'OI 2014'!$L$87:$L$101)</f>
        <v>659</v>
      </c>
      <c r="Y40" s="35">
        <f>SUMIF('OI 2013'!$I$87:$I$101,'Vestas turbines hist #'!$B40,'OI 2013'!$L$87:$L$101)</f>
        <v>445</v>
      </c>
      <c r="Z40" s="1">
        <f>SUMIF('OI 2012'!$I$87:$I$101,'Vestas turbines hist #'!$B40,'OI 2012'!$L$87:$L$101)</f>
        <v>18</v>
      </c>
      <c r="AA40" s="1">
        <f>SUMIF('OI 2011'!$I$95:$I$104,'Vestas turbines hist #'!$B40,'OI 2011'!$L$95:$L$104)</f>
        <v>0</v>
      </c>
      <c r="AB40" s="1">
        <f>SUMIF('OI 2010'!$I$95:$I$107,'Vestas turbines hist #'!$B40,'OI 2010'!$L$95:$L$107)</f>
        <v>0</v>
      </c>
      <c r="AC40" s="1">
        <f>SUMIF('OI 2009'!$I$95:$I$107,'Vestas turbines hist #'!$B40,'OI 2009'!$L$95:$L$107)</f>
        <v>0</v>
      </c>
      <c r="AD40" s="1">
        <f>SUMIF('OI 2008'!$I$95:$I$107,'Vestas turbines hist #'!$B40,'OI 2008'!$L$95:$L$107)</f>
        <v>0</v>
      </c>
      <c r="AG40">
        <v>11</v>
      </c>
    </row>
    <row r="41" spans="2:33" x14ac:dyDescent="0.25">
      <c r="B41" t="s">
        <v>778</v>
      </c>
      <c r="C41" t="s">
        <v>749</v>
      </c>
      <c r="D41" s="24">
        <f t="shared" si="3"/>
        <v>2.6</v>
      </c>
      <c r="E41">
        <v>2600</v>
      </c>
      <c r="F41">
        <v>100</v>
      </c>
      <c r="G41" t="s">
        <v>752</v>
      </c>
      <c r="H41" t="s">
        <v>752</v>
      </c>
      <c r="I41" t="s">
        <v>752</v>
      </c>
      <c r="J41" t="s">
        <v>752</v>
      </c>
      <c r="M41" s="1">
        <f t="shared" si="1"/>
        <v>75</v>
      </c>
      <c r="N41" s="1"/>
      <c r="O41">
        <f>SUMIF('OI 2023'!$I$158:$I$176,'Vestas turbines hist #'!B41,'OI 2023'!$J$158:$J$176)</f>
        <v>0</v>
      </c>
      <c r="P41" s="1">
        <f>SUMIF('OI 2022'!$I$158:$I$175,'Vestas turbines hist #'!B41,'OI 2022'!$K$158:$K$175)</f>
        <v>0</v>
      </c>
      <c r="Q41" s="1">
        <f>SUMIF('OI 2021'!$I$145:$I$166,'Vestas turbines hist #'!B41,'OI 2021'!$K$145:$K$166)</f>
        <v>0</v>
      </c>
      <c r="R41" s="1">
        <f>SUMIF('OI 2020'!$I$144:$I$165,'Vestas turbines hist #'!B41,'OI 2020'!$K$144:$K$165)</f>
        <v>0</v>
      </c>
      <c r="S41" s="1">
        <f>SUMIF('OI 2019'!$I$113:$I$132,'Vestas turbines hist #'!B41,'OI 2019'!$L$113:$L$132)</f>
        <v>0</v>
      </c>
      <c r="T41" s="1">
        <f>SUMIF('OI 2018'!$I$114:$I$131,'Vestas turbines hist #'!B41,'OI 2018'!$L$114:$L$131)</f>
        <v>0</v>
      </c>
      <c r="U41" s="1">
        <f>SUMIF('OI 2017'!$I$113:$I$130,'Vestas turbines hist #'!B41,'OI 2017'!$L$113:$L$130)</f>
        <v>0</v>
      </c>
      <c r="V41" s="1">
        <f>SUMIF('OI 2016'!$I$87:$I$99,'Vestas turbines hist #'!$B41,'OI 2016'!$L$87:$L$99)</f>
        <v>0</v>
      </c>
      <c r="W41" s="1">
        <f>SUMIF('OI 2015'!$I$87:$I$101,'Vestas turbines hist #'!$B41,'OI 2015'!$L$87:$L$101)</f>
        <v>0</v>
      </c>
      <c r="X41" s="1">
        <f>SUMIF('OI 2014'!$I$87:$I$101,'Vestas turbines hist #'!$B41,'OI 2014'!$L$87:$L$101)</f>
        <v>0</v>
      </c>
      <c r="Y41" s="1">
        <f>SUMIF('OI 2013'!$I$87:$I$101,'Vestas turbines hist #'!$B41,'OI 2013'!$L$87:$L$101)</f>
        <v>24</v>
      </c>
      <c r="Z41" s="1">
        <f>SUMIF('OI 2012'!$I$87:$I$101,'Vestas turbines hist #'!$B41,'OI 2012'!$L$87:$L$101)</f>
        <v>21</v>
      </c>
      <c r="AA41" s="1">
        <f>SUMIF('OI 2011'!$I$95:$I$104,'Vestas turbines hist #'!$B41,'OI 2011'!$L$95:$L$104)</f>
        <v>30</v>
      </c>
      <c r="AB41" s="1">
        <f>SUMIF('OI 2010'!$I$95:$I$107,'Vestas turbines hist #'!$B41,'OI 2010'!$L$95:$L$107)</f>
        <v>0</v>
      </c>
      <c r="AC41" s="1">
        <f>SUMIF('OI 2009'!$I$95:$I$107,'Vestas turbines hist #'!$B41,'OI 2009'!$L$95:$L$107)</f>
        <v>0</v>
      </c>
      <c r="AD41" s="1">
        <f>SUMIF('OI 2008'!$I$95:$I$107,'Vestas turbines hist #'!$B41,'OI 2008'!$L$95:$L$107)</f>
        <v>0</v>
      </c>
      <c r="AG41">
        <v>11</v>
      </c>
    </row>
    <row r="42" spans="2:33" x14ac:dyDescent="0.25">
      <c r="B42" t="s">
        <v>779</v>
      </c>
      <c r="C42" t="s">
        <v>750</v>
      </c>
      <c r="D42" s="24">
        <f t="shared" si="3"/>
        <v>2.75</v>
      </c>
      <c r="E42">
        <v>2750</v>
      </c>
      <c r="F42">
        <v>100</v>
      </c>
      <c r="G42" t="s">
        <v>752</v>
      </c>
      <c r="H42">
        <v>70</v>
      </c>
      <c r="I42">
        <v>235</v>
      </c>
      <c r="J42">
        <v>44</v>
      </c>
      <c r="M42" s="1">
        <f t="shared" si="1"/>
        <v>0</v>
      </c>
      <c r="N42" s="1"/>
      <c r="O42">
        <f>SUMIF('OI 2023'!$I$158:$I$176,'Vestas turbines hist #'!B42,'OI 2023'!$J$158:$J$176)</f>
        <v>0</v>
      </c>
      <c r="P42" s="1">
        <f>SUMIF('OI 2022'!$I$158:$I$175,'Vestas turbines hist #'!B42,'OI 2022'!$K$158:$K$175)</f>
        <v>0</v>
      </c>
      <c r="Q42" s="1">
        <f>SUMIF('OI 2021'!$I$145:$I$166,'Vestas turbines hist #'!B42,'OI 2021'!$K$145:$K$166)</f>
        <v>0</v>
      </c>
      <c r="R42" s="1">
        <f>SUMIF('OI 2020'!$I$144:$I$165,'Vestas turbines hist #'!B42,'OI 2020'!$K$144:$K$165)</f>
        <v>0</v>
      </c>
      <c r="S42" s="1">
        <f>SUMIF('OI 2019'!$I$113:$I$132,'Vestas turbines hist #'!B42,'OI 2019'!$L$113:$L$132)</f>
        <v>0</v>
      </c>
      <c r="T42" s="1">
        <f>SUMIF('OI 2018'!$I$114:$I$131,'Vestas turbines hist #'!B42,'OI 2018'!$L$114:$L$131)</f>
        <v>0</v>
      </c>
      <c r="U42" s="1">
        <f>SUMIF('OI 2017'!$I$113:$I$130,'Vestas turbines hist #'!B42,'OI 2017'!$L$113:$L$130)</f>
        <v>0</v>
      </c>
      <c r="V42" s="1">
        <f>SUMIF('OI 2016'!$I$87:$I$99,'Vestas turbines hist #'!$B42,'OI 2016'!$L$87:$L$99)</f>
        <v>0</v>
      </c>
      <c r="W42" s="1">
        <f>SUMIF('OI 2015'!$I$87:$I$101,'Vestas turbines hist #'!$B42,'OI 2015'!$L$87:$L$101)</f>
        <v>0</v>
      </c>
      <c r="X42" s="1">
        <f>SUMIF('OI 2014'!$I$87:$I$101,'Vestas turbines hist #'!$B42,'OI 2014'!$L$87:$L$101)</f>
        <v>0</v>
      </c>
      <c r="Y42" s="1">
        <f>SUMIF('OI 2013'!$I$87:$I$101,'Vestas turbines hist #'!$B42,'OI 2013'!$L$87:$L$101)</f>
        <v>0</v>
      </c>
      <c r="Z42" s="1">
        <f>SUMIF('OI 2012'!$I$87:$I$101,'Vestas turbines hist #'!$B42,'OI 2012'!$L$87:$L$101)</f>
        <v>0</v>
      </c>
      <c r="AA42" s="1">
        <f>SUMIF('OI 2011'!$I$95:$I$104,'Vestas turbines hist #'!$B42,'OI 2011'!$L$95:$L$104)</f>
        <v>0</v>
      </c>
      <c r="AB42" s="1">
        <f>SUMIF('OI 2010'!$I$95:$I$107,'Vestas turbines hist #'!$B42,'OI 2010'!$L$95:$L$107)</f>
        <v>0</v>
      </c>
      <c r="AC42" s="1">
        <f>SUMIF('OI 2009'!$I$95:$I$107,'Vestas turbines hist #'!$B42,'OI 2009'!$L$95:$L$107)</f>
        <v>0</v>
      </c>
      <c r="AD42" s="1">
        <f>SUMIF('OI 2008'!$I$95:$I$107,'Vestas turbines hist #'!$B42,'OI 2008'!$L$95:$L$107)</f>
        <v>0</v>
      </c>
    </row>
    <row r="43" spans="2:33" x14ac:dyDescent="0.25">
      <c r="B43" t="s">
        <v>780</v>
      </c>
      <c r="C43" t="s">
        <v>751</v>
      </c>
      <c r="D43" s="24">
        <f t="shared" si="3"/>
        <v>3.3</v>
      </c>
      <c r="E43">
        <v>3300</v>
      </c>
      <c r="F43">
        <v>105</v>
      </c>
      <c r="G43">
        <v>2013</v>
      </c>
      <c r="H43" t="s">
        <v>752</v>
      </c>
      <c r="I43" t="s">
        <v>752</v>
      </c>
      <c r="J43" t="s">
        <v>752</v>
      </c>
      <c r="M43" s="1">
        <f t="shared" si="1"/>
        <v>0</v>
      </c>
      <c r="N43" s="1"/>
      <c r="O43">
        <f>SUMIF('OI 2023'!$I$158:$I$176,'Vestas turbines hist #'!B43,'OI 2023'!$J$158:$J$176)</f>
        <v>0</v>
      </c>
      <c r="P43" s="1">
        <f>SUMIF('OI 2022'!$I$158:$I$175,'Vestas turbines hist #'!B43,'OI 2022'!$K$158:$K$175)</f>
        <v>0</v>
      </c>
      <c r="Q43" s="1">
        <f>SUMIF('OI 2021'!$I$145:$I$166,'Vestas turbines hist #'!B43,'OI 2021'!$K$145:$K$166)</f>
        <v>0</v>
      </c>
      <c r="R43" s="1">
        <f>SUMIF('OI 2020'!$I$144:$I$165,'Vestas turbines hist #'!B43,'OI 2020'!$K$144:$K$165)</f>
        <v>0</v>
      </c>
      <c r="S43" s="1">
        <f>SUMIF('OI 2019'!$I$113:$I$132,'Vestas turbines hist #'!B43,'OI 2019'!$L$113:$L$132)</f>
        <v>0</v>
      </c>
      <c r="T43" s="1">
        <f>SUMIF('OI 2018'!$I$114:$I$131,'Vestas turbines hist #'!B43,'OI 2018'!$L$114:$L$131)</f>
        <v>0</v>
      </c>
      <c r="U43" s="1">
        <f>SUMIF('OI 2017'!$I$113:$I$130,'Vestas turbines hist #'!B43,'OI 2017'!$L$113:$L$130)</f>
        <v>0</v>
      </c>
      <c r="V43" s="1">
        <f>SUMIF('OI 2016'!$I$87:$I$99,'Vestas turbines hist #'!$B43,'OI 2016'!$L$87:$L$99)</f>
        <v>0</v>
      </c>
      <c r="W43" s="1">
        <f>SUMIF('OI 2015'!$I$87:$I$101,'Vestas turbines hist #'!$B43,'OI 2015'!$L$87:$L$101)</f>
        <v>0</v>
      </c>
      <c r="X43" s="1">
        <f>SUMIF('OI 2014'!$I$87:$I$101,'Vestas turbines hist #'!$B43,'OI 2014'!$L$87:$L$101)</f>
        <v>0</v>
      </c>
      <c r="Y43" s="1">
        <f>SUMIF('OI 2013'!$I$87:$I$101,'Vestas turbines hist #'!$B43,'OI 2013'!$L$87:$L$101)</f>
        <v>0</v>
      </c>
      <c r="Z43" s="1">
        <f>SUMIF('OI 2012'!$I$87:$I$101,'Vestas turbines hist #'!$B43,'OI 2012'!$L$87:$L$101)</f>
        <v>0</v>
      </c>
      <c r="AA43" s="1">
        <f>SUMIF('OI 2011'!$I$95:$I$104,'Vestas turbines hist #'!$B43,'OI 2011'!$L$95:$L$104)</f>
        <v>0</v>
      </c>
      <c r="AB43" s="1">
        <f>SUMIF('OI 2010'!$I$95:$I$107,'Vestas turbines hist #'!$B43,'OI 2010'!$L$95:$L$107)</f>
        <v>0</v>
      </c>
      <c r="AC43" s="1">
        <f>SUMIF('OI 2009'!$I$95:$I$107,'Vestas turbines hist #'!$B43,'OI 2009'!$L$95:$L$107)</f>
        <v>0</v>
      </c>
      <c r="AD43" s="1">
        <f>SUMIF('OI 2008'!$I$95:$I$107,'Vestas turbines hist #'!$B43,'OI 2008'!$L$95:$L$107)</f>
        <v>0</v>
      </c>
    </row>
    <row r="44" spans="2:33" x14ac:dyDescent="0.25">
      <c r="B44" t="s">
        <v>114</v>
      </c>
      <c r="C44" t="s">
        <v>751</v>
      </c>
      <c r="D44" s="24">
        <f t="shared" si="3"/>
        <v>3.45</v>
      </c>
      <c r="E44">
        <v>3450</v>
      </c>
      <c r="F44" s="17">
        <v>105</v>
      </c>
      <c r="G44">
        <v>2016</v>
      </c>
      <c r="H44" t="s">
        <v>752</v>
      </c>
      <c r="I44" t="s">
        <v>752</v>
      </c>
      <c r="J44" t="s">
        <v>752</v>
      </c>
      <c r="M44" s="1">
        <f t="shared" si="1"/>
        <v>217.70048309178745</v>
      </c>
      <c r="N44" s="1"/>
      <c r="O44">
        <f>SUMIF('OI 2023'!$I$158:$I$176,'Vestas turbines hist #'!B44,'OI 2023'!$J$158:$J$176)</f>
        <v>0</v>
      </c>
      <c r="P44" s="1">
        <f>SUMIF('OI 2022'!$I$158:$I$175,'Vestas turbines hist #'!B44,'OI 2022'!$K$158:$K$175)</f>
        <v>8</v>
      </c>
      <c r="Q44" s="1">
        <f>SUMIF('OI 2021'!$I$145:$I$166,'Vestas turbines hist #'!B44,'OI 2021'!$K$145:$K$166)</f>
        <v>25</v>
      </c>
      <c r="R44" s="1">
        <f>SUMIF('OI 2020'!$I$144:$I$165,'Vestas turbines hist #'!B44,'OI 2020'!$K$144:$K$165)</f>
        <v>127</v>
      </c>
      <c r="S44" s="1">
        <f>SUMIF('OI 2019'!$I$113:$I$132,'Vestas turbines hist #'!B44,'OI 2019'!$L$113:$L$132)</f>
        <v>17</v>
      </c>
      <c r="T44" s="1">
        <f>SUMIF('OI 2018'!$I$114:$I$131,'Vestas turbines hist #'!B44,'OI 2018'!$L$114:$L$131)</f>
        <v>0</v>
      </c>
      <c r="U44" s="1">
        <f>SUMIF('OI 2017'!$I$113:$I$130,'Vestas turbines hist #'!B44,'OI 2017'!$L$113:$L$130)</f>
        <v>31.714975845410628</v>
      </c>
      <c r="V44" s="35">
        <f>SUMIF('OI 2016'!$I$87:$I$99,'Vestas turbines hist #'!$B44,'OI 2016'!$L$87:$L$99)</f>
        <v>8.9855072463768106</v>
      </c>
      <c r="W44" s="1">
        <f>SUMIF('OI 2015'!$I$87:$I$101,'Vestas turbines hist #'!$B44,'OI 2015'!$L$87:$L$101)</f>
        <v>0</v>
      </c>
      <c r="X44" s="1">
        <f>SUMIF('OI 2014'!$I$87:$I$101,'Vestas turbines hist #'!$B44,'OI 2014'!$L$87:$L$101)</f>
        <v>0</v>
      </c>
      <c r="Y44" s="1">
        <f>SUMIF('OI 2013'!$I$87:$I$101,'Vestas turbines hist #'!$B44,'OI 2013'!$L$87:$L$101)</f>
        <v>0</v>
      </c>
      <c r="Z44" s="1">
        <f>SUMIF('OI 2012'!$I$87:$I$101,'Vestas turbines hist #'!$B44,'OI 2012'!$L$87:$L$101)</f>
        <v>0</v>
      </c>
      <c r="AA44" s="1">
        <f>SUMIF('OI 2011'!$I$95:$I$104,'Vestas turbines hist #'!$B44,'OI 2011'!$L$95:$L$104)</f>
        <v>0</v>
      </c>
      <c r="AB44" s="1">
        <f>SUMIF('OI 2010'!$I$95:$I$107,'Vestas turbines hist #'!$B44,'OI 2010'!$L$95:$L$107)</f>
        <v>0</v>
      </c>
      <c r="AC44" s="1">
        <f>SUMIF('OI 2009'!$I$95:$I$107,'Vestas turbines hist #'!$B44,'OI 2009'!$L$95:$L$107)</f>
        <v>0</v>
      </c>
      <c r="AD44" s="1">
        <f>SUMIF('OI 2008'!$I$95:$I$107,'Vestas turbines hist #'!$B44,'OI 2008'!$L$95:$L$107)</f>
        <v>0</v>
      </c>
    </row>
    <row r="45" spans="2:33" x14ac:dyDescent="0.25">
      <c r="B45" t="s">
        <v>781</v>
      </c>
      <c r="C45" t="s">
        <v>752</v>
      </c>
      <c r="D45" s="24">
        <f t="shared" si="3"/>
        <v>3.6</v>
      </c>
      <c r="E45">
        <v>3600</v>
      </c>
      <c r="F45">
        <v>126</v>
      </c>
      <c r="G45">
        <v>2016</v>
      </c>
      <c r="H45" t="s">
        <v>752</v>
      </c>
      <c r="I45" t="s">
        <v>752</v>
      </c>
      <c r="J45" t="s">
        <v>752</v>
      </c>
      <c r="M45" s="1">
        <f t="shared" si="1"/>
        <v>11</v>
      </c>
      <c r="N45" s="1"/>
      <c r="O45">
        <f>SUMIF('OI 2023'!$I$158:$I$176,'Vestas turbines hist #'!B45,'OI 2023'!$J$158:$J$176)</f>
        <v>0</v>
      </c>
      <c r="P45" s="1">
        <f>SUMIF('OI 2022'!$I$158:$I$175,'Vestas turbines hist #'!B45,'OI 2022'!$K$158:$K$175)</f>
        <v>0</v>
      </c>
      <c r="Q45" s="1">
        <f>SUMIF('OI 2021'!$I$145:$I$166,'Vestas turbines hist #'!B45,'OI 2021'!$K$145:$K$166)</f>
        <v>0</v>
      </c>
      <c r="R45" s="1">
        <f>SUMIF('OI 2020'!$I$144:$I$165,'Vestas turbines hist #'!B45,'OI 2020'!$K$144:$K$165)</f>
        <v>11</v>
      </c>
      <c r="S45" s="1">
        <f>SUMIF('OI 2019'!$I$113:$I$132,'Vestas turbines hist #'!B45,'OI 2019'!$L$113:$L$132)</f>
        <v>0</v>
      </c>
      <c r="T45" s="1">
        <f>SUMIF('OI 2018'!$I$114:$I$131,'Vestas turbines hist #'!B45,'OI 2018'!$L$114:$L$131)</f>
        <v>0</v>
      </c>
      <c r="U45" s="1">
        <f>SUMIF('OI 2017'!$I$113:$I$130,'Vestas turbines hist #'!B45,'OI 2017'!$L$113:$L$130)</f>
        <v>0</v>
      </c>
      <c r="V45" s="1">
        <f>SUMIF('OI 2016'!$I$87:$I$99,'Vestas turbines hist #'!$B45,'OI 2016'!$L$87:$L$99)</f>
        <v>0</v>
      </c>
      <c r="W45" s="1">
        <f>SUMIF('OI 2015'!$I$87:$I$101,'Vestas turbines hist #'!$B45,'OI 2015'!$L$87:$L$101)</f>
        <v>0</v>
      </c>
      <c r="X45" s="1">
        <f>SUMIF('OI 2014'!$I$87:$I$101,'Vestas turbines hist #'!$B45,'OI 2014'!$L$87:$L$101)</f>
        <v>0</v>
      </c>
      <c r="Y45" s="1">
        <f>SUMIF('OI 2013'!$I$87:$I$101,'Vestas turbines hist #'!$B45,'OI 2013'!$L$87:$L$101)</f>
        <v>0</v>
      </c>
      <c r="Z45" s="1">
        <f>SUMIF('OI 2012'!$I$87:$I$101,'Vestas turbines hist #'!$B45,'OI 2012'!$L$87:$L$101)</f>
        <v>0</v>
      </c>
      <c r="AA45" s="1">
        <f>SUMIF('OI 2011'!$I$95:$I$104,'Vestas turbines hist #'!$B45,'OI 2011'!$L$95:$L$104)</f>
        <v>0</v>
      </c>
      <c r="AB45" s="1">
        <f>SUMIF('OI 2010'!$I$95:$I$107,'Vestas turbines hist #'!$B45,'OI 2010'!$L$95:$L$107)</f>
        <v>0</v>
      </c>
      <c r="AC45" s="1">
        <f>SUMIF('OI 2009'!$I$95:$I$107,'Vestas turbines hist #'!$B45,'OI 2009'!$L$95:$L$107)</f>
        <v>0</v>
      </c>
      <c r="AD45" s="1">
        <f>SUMIF('OI 2008'!$I$95:$I$107,'Vestas turbines hist #'!$B45,'OI 2008'!$L$95:$L$107)</f>
        <v>0</v>
      </c>
    </row>
    <row r="46" spans="2:33" x14ac:dyDescent="0.25">
      <c r="B46" t="s">
        <v>110</v>
      </c>
      <c r="C46" t="s">
        <v>753</v>
      </c>
      <c r="D46" s="24">
        <f t="shared" si="3"/>
        <v>2</v>
      </c>
      <c r="E46">
        <v>2000</v>
      </c>
      <c r="F46">
        <v>110</v>
      </c>
      <c r="G46">
        <v>2013</v>
      </c>
      <c r="H46" t="s">
        <v>752</v>
      </c>
      <c r="I46" t="s">
        <v>752</v>
      </c>
      <c r="J46" t="s">
        <v>752</v>
      </c>
      <c r="M46" s="1">
        <f t="shared" si="1"/>
        <v>5402.954545454545</v>
      </c>
      <c r="N46" s="1"/>
      <c r="O46">
        <f>SUMIF('OI 2023'!$I$158:$I$176,'Vestas turbines hist #'!B46,'OI 2023'!$J$158:$J$176)</f>
        <v>259</v>
      </c>
      <c r="P46" s="1">
        <f>SUMIF('OI 2022'!$I$158:$I$175,'Vestas turbines hist #'!B46,'OI 2022'!$K$158:$K$175)</f>
        <v>0</v>
      </c>
      <c r="Q46" s="1">
        <f>SUMIF('OI 2021'!$I$145:$I$166,'Vestas turbines hist #'!B46,'OI 2021'!$K$145:$K$166)</f>
        <v>59</v>
      </c>
      <c r="R46" s="1">
        <f>SUMIF('OI 2020'!$I$144:$I$165,'Vestas turbines hist #'!B46,'OI 2020'!$K$144:$K$165)</f>
        <v>215</v>
      </c>
      <c r="S46" s="1">
        <f>SUMIF('OI 2019'!$I$113:$I$132,'Vestas turbines hist #'!B46,'OI 2019'!$L$113:$L$132)</f>
        <v>255</v>
      </c>
      <c r="T46" s="1">
        <f>SUMIF('OI 2018'!$I$114:$I$131,'Vestas turbines hist #'!B46,'OI 2018'!$L$114:$L$131)</f>
        <v>360.09090909090912</v>
      </c>
      <c r="U46" s="1">
        <f>SUMIF('OI 2017'!$I$113:$I$130,'Vestas turbines hist #'!B46,'OI 2017'!$L$113:$L$130)</f>
        <v>1409.5</v>
      </c>
      <c r="V46" s="1">
        <f>SUMIF('OI 2016'!$I$87:$I$99,'Vestas turbines hist #'!$B46,'OI 2016'!$L$87:$L$99)</f>
        <v>1354.3636363636363</v>
      </c>
      <c r="W46" s="1">
        <f>SUMIF('OI 2015'!$I$87:$I$101,'Vestas turbines hist #'!$B46,'OI 2015'!$L$87:$L$101)</f>
        <v>860</v>
      </c>
      <c r="X46" s="1">
        <f>SUMIF('OI 2014'!$I$87:$I$101,'Vestas turbines hist #'!$B46,'OI 2014'!$L$87:$L$101)</f>
        <v>336</v>
      </c>
      <c r="Y46" s="35">
        <f>SUMIF('OI 2013'!$I$87:$I$101,'Vestas turbines hist #'!$B46,'OI 2013'!$L$87:$L$101)</f>
        <v>295</v>
      </c>
      <c r="Z46" s="1">
        <f>SUMIF('OI 2012'!$I$87:$I$101,'Vestas turbines hist #'!$B46,'OI 2012'!$L$87:$L$101)</f>
        <v>0</v>
      </c>
      <c r="AA46" s="1">
        <f>SUMIF('OI 2011'!$I$95:$I$104,'Vestas turbines hist #'!$B46,'OI 2011'!$L$95:$L$104)</f>
        <v>0</v>
      </c>
      <c r="AB46" s="1">
        <f>SUMIF('OI 2010'!$I$95:$I$107,'Vestas turbines hist #'!$B46,'OI 2010'!$L$95:$L$107)</f>
        <v>0</v>
      </c>
      <c r="AC46" s="1">
        <f>SUMIF('OI 2009'!$I$95:$I$107,'Vestas turbines hist #'!$B46,'OI 2009'!$L$95:$L$107)</f>
        <v>0</v>
      </c>
      <c r="AD46" s="1">
        <f>SUMIF('OI 2008'!$I$95:$I$107,'Vestas turbines hist #'!$B46,'OI 2008'!$L$95:$L$107)</f>
        <v>0</v>
      </c>
    </row>
    <row r="47" spans="2:33" x14ac:dyDescent="0.25">
      <c r="B47" t="s">
        <v>119</v>
      </c>
      <c r="C47" t="s">
        <v>753</v>
      </c>
      <c r="D47" s="24">
        <f>E47/1000</f>
        <v>2.2000000000000002</v>
      </c>
      <c r="E47">
        <v>2200</v>
      </c>
      <c r="F47">
        <v>110</v>
      </c>
      <c r="M47" s="1">
        <f t="shared" si="1"/>
        <v>478.63636363636363</v>
      </c>
      <c r="N47" s="1"/>
      <c r="O47">
        <f>SUMIF('OI 2023'!$I$158:$I$176,'Vestas turbines hist #'!B47,'OI 2023'!$J$158:$J$176)</f>
        <v>0</v>
      </c>
      <c r="P47" s="1">
        <f>SUMIF('OI 2022'!$I$158:$I$175,'Vestas turbines hist #'!B47,'OI 2022'!$K$158:$K$175)</f>
        <v>66</v>
      </c>
      <c r="Q47" s="1">
        <f>SUMIF('OI 2021'!$I$145:$I$166,'Vestas turbines hist #'!B47,'OI 2021'!$K$145:$K$166)</f>
        <v>60.090909090909093</v>
      </c>
      <c r="R47" s="1">
        <f>SUMIF('OI 2020'!$I$144:$I$165,'Vestas turbines hist #'!B47,'OI 2020'!$K$144:$K$165)</f>
        <v>63</v>
      </c>
      <c r="S47" s="1">
        <f>SUMIF('OI 2019'!$I$113:$I$132,'Vestas turbines hist #'!B47,'OI 2019'!$L$113:$L$132)</f>
        <v>66</v>
      </c>
      <c r="T47" s="1">
        <f>SUMIF('OI 2018'!$I$114:$I$131,'Vestas turbines hist #'!B47,'OI 2018'!$L$114:$L$131)</f>
        <v>183.18181818181816</v>
      </c>
      <c r="U47" s="35">
        <f>SUMIF('OI 2017'!$I$113:$I$130,'Vestas turbines hist #'!B47,'OI 2017'!$L$113:$L$130)</f>
        <v>40.36363636363636</v>
      </c>
      <c r="V47" s="1">
        <f>SUMIF('OI 2016'!$I$87:$I$99,'Vestas turbines hist #'!$B47,'OI 2016'!$L$87:$L$99)</f>
        <v>0</v>
      </c>
      <c r="W47" s="1">
        <f>SUMIF('OI 2015'!$I$87:$I$101,'Vestas turbines hist #'!$B47,'OI 2015'!$L$87:$L$101)</f>
        <v>0</v>
      </c>
      <c r="X47" s="1">
        <f>SUMIF('OI 2014'!$I$87:$I$101,'Vestas turbines hist #'!$B47,'OI 2014'!$L$87:$L$101)</f>
        <v>0</v>
      </c>
      <c r="Y47" s="1">
        <f>SUMIF('OI 2013'!$I$87:$I$101,'Vestas turbines hist #'!$B47,'OI 2013'!$L$87:$L$101)</f>
        <v>0</v>
      </c>
      <c r="Z47" s="1">
        <f>SUMIF('OI 2012'!$I$87:$I$101,'Vestas turbines hist #'!$B47,'OI 2012'!$L$87:$L$101)</f>
        <v>0</v>
      </c>
      <c r="AA47" s="1">
        <f>SUMIF('OI 2011'!$I$95:$I$104,'Vestas turbines hist #'!$B47,'OI 2011'!$L$95:$L$104)</f>
        <v>0</v>
      </c>
      <c r="AB47" s="1">
        <f>SUMIF('OI 2010'!$I$95:$I$107,'Vestas turbines hist #'!$B47,'OI 2010'!$L$95:$L$107)</f>
        <v>0</v>
      </c>
      <c r="AC47" s="1">
        <f>SUMIF('OI 2009'!$I$95:$I$107,'Vestas turbines hist #'!$B47,'OI 2009'!$L$95:$L$107)</f>
        <v>0</v>
      </c>
      <c r="AD47" s="1">
        <f>SUMIF('OI 2008'!$I$95:$I$107,'Vestas turbines hist #'!$B47,'OI 2008'!$L$95:$L$107)</f>
        <v>0</v>
      </c>
    </row>
    <row r="48" spans="2:33" x14ac:dyDescent="0.25">
      <c r="B48" t="s">
        <v>321</v>
      </c>
      <c r="C48" t="s">
        <v>754</v>
      </c>
      <c r="D48" s="24">
        <f t="shared" si="3"/>
        <v>3</v>
      </c>
      <c r="E48">
        <v>3000</v>
      </c>
      <c r="F48">
        <v>112</v>
      </c>
      <c r="G48">
        <v>2009</v>
      </c>
      <c r="H48" t="s">
        <v>752</v>
      </c>
      <c r="I48" t="s">
        <v>752</v>
      </c>
      <c r="J48" t="s">
        <v>752</v>
      </c>
      <c r="M48" s="1">
        <f t="shared" si="1"/>
        <v>1068.3333333333333</v>
      </c>
      <c r="N48" s="1"/>
      <c r="O48">
        <f>SUMIF('OI 2023'!$I$158:$I$176,'Vestas turbines hist #'!B48,'OI 2023'!$J$158:$J$176)</f>
        <v>0</v>
      </c>
      <c r="P48" s="1">
        <f>SUMIF('OI 2022'!$I$158:$I$175,'Vestas turbines hist #'!B48,'OI 2022'!$K$158:$K$175)</f>
        <v>0</v>
      </c>
      <c r="Q48" s="1">
        <f>SUMIF('OI 2021'!$I$145:$I$166,'Vestas turbines hist #'!B48,'OI 2021'!$K$145:$K$166)</f>
        <v>0</v>
      </c>
      <c r="R48" s="1">
        <f>SUMIF('OI 2020'!$I$144:$I$165,'Vestas turbines hist #'!B48,'OI 2020'!$K$144:$K$165)</f>
        <v>0</v>
      </c>
      <c r="S48" s="1">
        <f>SUMIF('OI 2019'!$I$113:$I$132,'Vestas turbines hist #'!B48,'OI 2019'!$L$113:$L$132)</f>
        <v>0</v>
      </c>
      <c r="T48" s="1">
        <f>SUMIF('OI 2018'!$I$114:$I$131,'Vestas turbines hist #'!B48,'OI 2018'!$L$114:$L$131)</f>
        <v>19</v>
      </c>
      <c r="U48" s="1">
        <f>SUMIF('OI 2017'!$I$113:$I$130,'Vestas turbines hist #'!B48,'OI 2017'!$L$113:$L$130)</f>
        <v>0</v>
      </c>
      <c r="V48" s="1">
        <f>SUMIF('OI 2016'!$I$87:$I$99,'Vestas turbines hist #'!$B48,'OI 2016'!$L$87:$L$99)</f>
        <v>0</v>
      </c>
      <c r="W48" s="1">
        <f>SUMIF('OI 2015'!$I$87:$I$101,'Vestas turbines hist #'!$B48,'OI 2015'!$L$87:$L$101)</f>
        <v>12</v>
      </c>
      <c r="X48" s="1">
        <f>SUMIF('OI 2014'!$I$87:$I$101,'Vestas turbines hist #'!$B48,'OI 2014'!$L$87:$L$101)</f>
        <v>97.333333333333329</v>
      </c>
      <c r="Y48" s="1">
        <f>SUMIF('OI 2013'!$I$87:$I$101,'Vestas turbines hist #'!$B48,'OI 2013'!$L$87:$L$101)</f>
        <v>378</v>
      </c>
      <c r="Z48" s="1">
        <f>SUMIF('OI 2012'!$I$87:$I$101,'Vestas turbines hist #'!$B48,'OI 2012'!$L$87:$L$101)</f>
        <v>112</v>
      </c>
      <c r="AA48" s="1">
        <f>SUMIF('OI 2011'!$I$95:$I$104,'Vestas turbines hist #'!$B48,'OI 2011'!$L$95:$L$104)</f>
        <v>250</v>
      </c>
      <c r="AB48" s="1">
        <f>SUMIF('OI 2010'!$I$95:$I$107,'Vestas turbines hist #'!$B48,'OI 2010'!$L$95:$L$107)</f>
        <v>200</v>
      </c>
      <c r="AC48" s="35">
        <f>SUMIF('OI 2009'!$I$95:$I$107,'Vestas turbines hist #'!$B48,'OI 2009'!$L$95:$L$107)</f>
        <v>0</v>
      </c>
      <c r="AD48" s="1">
        <f>SUMIF('OI 2008'!$I$95:$I$107,'Vestas turbines hist #'!$B48,'OI 2008'!$L$95:$L$107)</f>
        <v>0</v>
      </c>
      <c r="AG48">
        <v>6</v>
      </c>
    </row>
    <row r="49" spans="2:30" x14ac:dyDescent="0.25">
      <c r="B49" t="s">
        <v>333</v>
      </c>
      <c r="C49" t="s">
        <v>755</v>
      </c>
      <c r="D49" s="24">
        <f t="shared" si="3"/>
        <v>3.0750000000000002</v>
      </c>
      <c r="E49">
        <v>3075</v>
      </c>
      <c r="F49">
        <v>112</v>
      </c>
      <c r="G49">
        <v>2015</v>
      </c>
      <c r="H49" t="s">
        <v>752</v>
      </c>
      <c r="I49" t="s">
        <v>752</v>
      </c>
      <c r="J49" t="s">
        <v>752</v>
      </c>
      <c r="M49" s="1">
        <f t="shared" si="1"/>
        <v>13.008130081300813</v>
      </c>
      <c r="N49" s="1"/>
      <c r="O49">
        <f>SUMIF('OI 2023'!$I$158:$I$176,'Vestas turbines hist #'!B49,'OI 2023'!$J$158:$J$176)</f>
        <v>0</v>
      </c>
      <c r="P49" s="1">
        <f>SUMIF('OI 2022'!$I$158:$I$175,'Vestas turbines hist #'!B49,'OI 2022'!$K$158:$K$175)</f>
        <v>0</v>
      </c>
      <c r="Q49" s="1">
        <f>SUMIF('OI 2021'!$I$145:$I$166,'Vestas turbines hist #'!B49,'OI 2021'!$K$145:$K$166)</f>
        <v>0</v>
      </c>
      <c r="R49" s="1">
        <f>SUMIF('OI 2020'!$I$144:$I$165,'Vestas turbines hist #'!B49,'OI 2020'!$K$144:$K$165)</f>
        <v>0</v>
      </c>
      <c r="S49" s="1">
        <f>SUMIF('OI 2019'!$I$113:$I$132,'Vestas turbines hist #'!B49,'OI 2019'!$L$113:$L$132)</f>
        <v>0</v>
      </c>
      <c r="T49" s="1">
        <f>SUMIF('OI 2018'!$I$114:$I$131,'Vestas turbines hist #'!B49,'OI 2018'!$L$114:$L$131)</f>
        <v>0</v>
      </c>
      <c r="U49" s="1">
        <f>SUMIF('OI 2017'!$I$113:$I$130,'Vestas turbines hist #'!B49,'OI 2017'!$L$113:$L$130)</f>
        <v>0</v>
      </c>
      <c r="V49" s="1">
        <f>SUMIF('OI 2016'!$I$87:$I$99,'Vestas turbines hist #'!$B49,'OI 2016'!$L$87:$L$99)</f>
        <v>0</v>
      </c>
      <c r="W49" s="35">
        <f>SUMIF('OI 2015'!$I$87:$I$101,'Vestas turbines hist #'!$B49,'OI 2015'!$L$87:$L$101)</f>
        <v>13.008130081300813</v>
      </c>
      <c r="X49" s="1">
        <f>SUMIF('OI 2014'!$I$87:$I$101,'Vestas turbines hist #'!$B49,'OI 2014'!$L$87:$L$101)</f>
        <v>0</v>
      </c>
      <c r="Y49" s="1">
        <f>SUMIF('OI 2013'!$I$87:$I$101,'Vestas turbines hist #'!$B49,'OI 2013'!$L$87:$L$101)</f>
        <v>0</v>
      </c>
      <c r="Z49" s="1">
        <f>SUMIF('OI 2012'!$I$87:$I$101,'Vestas turbines hist #'!$B49,'OI 2012'!$L$87:$L$101)</f>
        <v>0</v>
      </c>
      <c r="AA49" s="1">
        <f>SUMIF('OI 2011'!$I$95:$I$104,'Vestas turbines hist #'!$B49,'OI 2011'!$L$95:$L$104)</f>
        <v>0</v>
      </c>
      <c r="AB49" s="1">
        <f>SUMIF('OI 2010'!$I$95:$I$107,'Vestas turbines hist #'!$B49,'OI 2010'!$L$95:$L$107)</f>
        <v>0</v>
      </c>
      <c r="AC49" s="1">
        <f>SUMIF('OI 2009'!$I$95:$I$107,'Vestas turbines hist #'!$B49,'OI 2009'!$L$95:$L$107)</f>
        <v>0</v>
      </c>
      <c r="AD49" s="1">
        <f>SUMIF('OI 2008'!$I$95:$I$107,'Vestas turbines hist #'!$B49,'OI 2008'!$L$95:$L$107)</f>
        <v>0</v>
      </c>
    </row>
    <row r="50" spans="2:30" x14ac:dyDescent="0.25">
      <c r="B50" t="s">
        <v>111</v>
      </c>
      <c r="C50" t="s">
        <v>756</v>
      </c>
      <c r="D50" s="24">
        <f t="shared" si="3"/>
        <v>3.3</v>
      </c>
      <c r="E50">
        <v>3300</v>
      </c>
      <c r="F50">
        <v>112</v>
      </c>
      <c r="G50">
        <v>2013</v>
      </c>
      <c r="H50" t="s">
        <v>752</v>
      </c>
      <c r="I50" t="s">
        <v>752</v>
      </c>
      <c r="J50" t="s">
        <v>752</v>
      </c>
      <c r="M50" s="1">
        <f t="shared" si="1"/>
        <v>571.18181818181813</v>
      </c>
      <c r="N50" s="1"/>
      <c r="O50">
        <f>SUMIF('OI 2023'!$I$158:$I$176,'Vestas turbines hist #'!B50,'OI 2023'!$J$158:$J$176)</f>
        <v>0</v>
      </c>
      <c r="P50" s="1">
        <f>SUMIF('OI 2022'!$I$158:$I$175,'Vestas turbines hist #'!B50,'OI 2022'!$K$158:$K$175)</f>
        <v>0</v>
      </c>
      <c r="Q50" s="1">
        <f>SUMIF('OI 2021'!$I$145:$I$166,'Vestas turbines hist #'!B50,'OI 2021'!$K$145:$K$166)</f>
        <v>0</v>
      </c>
      <c r="R50" s="1">
        <f>SUMIF('OI 2020'!$I$144:$I$165,'Vestas turbines hist #'!B50,'OI 2020'!$K$144:$K$165)</f>
        <v>0</v>
      </c>
      <c r="S50" s="1">
        <f>SUMIF('OI 2019'!$I$113:$I$132,'Vestas turbines hist #'!B50,'OI 2019'!$L$113:$L$132)</f>
        <v>9</v>
      </c>
      <c r="T50" s="1">
        <f>SUMIF('OI 2018'!$I$114:$I$131,'Vestas turbines hist #'!B50,'OI 2018'!$L$114:$L$131)</f>
        <v>0</v>
      </c>
      <c r="U50" s="1">
        <f>SUMIF('OI 2017'!$I$113:$I$130,'Vestas turbines hist #'!B50,'OI 2017'!$L$113:$L$130)</f>
        <v>26.060606060606062</v>
      </c>
      <c r="V50" s="1">
        <f>SUMIF('OI 2016'!$I$87:$I$99,'Vestas turbines hist #'!$B50,'OI 2016'!$L$87:$L$99)</f>
        <v>34.848484848484851</v>
      </c>
      <c r="W50" s="1">
        <f>SUMIF('OI 2015'!$I$87:$I$101,'Vestas turbines hist #'!$B50,'OI 2015'!$L$87:$L$101)</f>
        <v>212.12121212121212</v>
      </c>
      <c r="X50" s="1">
        <f>SUMIF('OI 2014'!$I$87:$I$101,'Vestas turbines hist #'!$B50,'OI 2014'!$L$87:$L$101)</f>
        <v>200.06060606060606</v>
      </c>
      <c r="Y50" s="35">
        <f>SUMIF('OI 2013'!$I$87:$I$101,'Vestas turbines hist #'!$B50,'OI 2013'!$L$87:$L$101)</f>
        <v>89.090909090909093</v>
      </c>
      <c r="Z50" s="1">
        <f>SUMIF('OI 2012'!$I$87:$I$101,'Vestas turbines hist #'!$B50,'OI 2012'!$L$87:$L$101)</f>
        <v>0</v>
      </c>
      <c r="AA50" s="1">
        <f>SUMIF('OI 2011'!$I$95:$I$104,'Vestas turbines hist #'!$B50,'OI 2011'!$L$95:$L$104)</f>
        <v>0</v>
      </c>
      <c r="AB50" s="1">
        <f>SUMIF('OI 2010'!$I$95:$I$107,'Vestas turbines hist #'!$B50,'OI 2010'!$L$95:$L$107)</f>
        <v>0</v>
      </c>
      <c r="AC50" s="1">
        <f>SUMIF('OI 2009'!$I$95:$I$107,'Vestas turbines hist #'!$B50,'OI 2009'!$L$95:$L$107)</f>
        <v>0</v>
      </c>
      <c r="AD50" s="1">
        <f>SUMIF('OI 2008'!$I$95:$I$107,'Vestas turbines hist #'!$B50,'OI 2008'!$L$95:$L$107)</f>
        <v>0</v>
      </c>
    </row>
    <row r="51" spans="2:30" x14ac:dyDescent="0.25">
      <c r="B51" t="s">
        <v>112</v>
      </c>
      <c r="C51" t="s">
        <v>757</v>
      </c>
      <c r="D51" s="24">
        <f t="shared" si="3"/>
        <v>3.45</v>
      </c>
      <c r="E51">
        <v>3450</v>
      </c>
      <c r="F51">
        <v>112</v>
      </c>
      <c r="G51">
        <v>2015</v>
      </c>
      <c r="H51" t="s">
        <v>752</v>
      </c>
      <c r="I51" t="s">
        <v>752</v>
      </c>
      <c r="J51" t="s">
        <v>752</v>
      </c>
      <c r="M51" s="1">
        <f t="shared" si="1"/>
        <v>485.93279580496448</v>
      </c>
      <c r="N51" s="1"/>
      <c r="O51">
        <f>SUMIF('OI 2023'!$I$158:$I$176,'Vestas turbines hist #'!B51,'OI 2023'!$J$158:$J$176)</f>
        <v>0</v>
      </c>
      <c r="P51" s="1">
        <f>SUMIF('OI 2022'!$I$158:$I$175,'Vestas turbines hist #'!B51,'OI 2022'!$K$158:$K$175)</f>
        <v>2</v>
      </c>
      <c r="Q51" s="1">
        <f>SUMIF('OI 2021'!$I$145:$I$166,'Vestas turbines hist #'!B51,'OI 2021'!$K$145:$K$166)</f>
        <v>10</v>
      </c>
      <c r="R51" s="1">
        <f>SUMIF('OI 2020'!$I$144:$I$165,'Vestas turbines hist #'!B51,'OI 2020'!$K$144:$K$165)</f>
        <v>34</v>
      </c>
      <c r="S51" s="1">
        <f>SUMIF('OI 2019'!$I$113:$I$132,'Vestas turbines hist #'!B51,'OI 2019'!$L$113:$L$132)</f>
        <v>72</v>
      </c>
      <c r="T51" s="1">
        <f>SUMIF('OI 2018'!$I$114:$I$131,'Vestas turbines hist #'!B51,'OI 2018'!$L$114:$L$131)</f>
        <v>22.95125164690382</v>
      </c>
      <c r="U51" s="1">
        <f>SUMIF('OI 2017'!$I$113:$I$130,'Vestas turbines hist #'!B51,'OI 2017'!$L$113:$L$130)</f>
        <v>40.125603864734295</v>
      </c>
      <c r="V51" s="1">
        <f>SUMIF('OI 2016'!$I$87:$I$99,'Vestas turbines hist #'!$B51,'OI 2016'!$L$87:$L$99)</f>
        <v>164.15942028985506</v>
      </c>
      <c r="W51" s="35">
        <f>SUMIF('OI 2015'!$I$87:$I$101,'Vestas turbines hist #'!$B51,'OI 2015'!$L$87:$L$101)</f>
        <v>140.69652000347131</v>
      </c>
      <c r="X51" s="1">
        <f>SUMIF('OI 2014'!$I$87:$I$101,'Vestas turbines hist #'!$B51,'OI 2014'!$L$87:$L$101)</f>
        <v>0</v>
      </c>
      <c r="Y51" s="1">
        <f>SUMIF('OI 2013'!$I$87:$I$101,'Vestas turbines hist #'!$B51,'OI 2013'!$L$87:$L$101)</f>
        <v>0</v>
      </c>
      <c r="Z51" s="1">
        <f>SUMIF('OI 2012'!$I$87:$I$101,'Vestas turbines hist #'!$B51,'OI 2012'!$L$87:$L$101)</f>
        <v>0</v>
      </c>
      <c r="AA51" s="1">
        <f>SUMIF('OI 2011'!$I$95:$I$104,'Vestas turbines hist #'!$B51,'OI 2011'!$L$95:$L$104)</f>
        <v>0</v>
      </c>
      <c r="AB51" s="1">
        <f>SUMIF('OI 2010'!$I$95:$I$107,'Vestas turbines hist #'!$B51,'OI 2010'!$L$95:$L$107)</f>
        <v>0</v>
      </c>
      <c r="AC51" s="1">
        <f>SUMIF('OI 2009'!$I$95:$I$107,'Vestas turbines hist #'!$B51,'OI 2009'!$L$95:$L$107)</f>
        <v>0</v>
      </c>
      <c r="AD51" s="1">
        <f>SUMIF('OI 2008'!$I$95:$I$107,'Vestas turbines hist #'!$B51,'OI 2008'!$L$95:$L$107)</f>
        <v>0</v>
      </c>
    </row>
    <row r="52" spans="2:30" hidden="1" x14ac:dyDescent="0.25">
      <c r="B52" t="s">
        <v>782</v>
      </c>
      <c r="C52" t="s">
        <v>752</v>
      </c>
      <c r="D52" s="24">
        <f t="shared" si="3"/>
        <v>3.6</v>
      </c>
      <c r="E52">
        <v>3600</v>
      </c>
      <c r="F52">
        <v>126</v>
      </c>
      <c r="G52">
        <v>2016</v>
      </c>
      <c r="H52" t="s">
        <v>752</v>
      </c>
      <c r="I52" t="s">
        <v>752</v>
      </c>
      <c r="J52" t="s">
        <v>752</v>
      </c>
      <c r="K52" t="s">
        <v>112</v>
      </c>
      <c r="M52" s="1">
        <f t="shared" si="1"/>
        <v>0</v>
      </c>
      <c r="N52" s="1"/>
      <c r="O52">
        <f>SUMIF('OI 2023'!$I$158:$I$176,'Vestas turbines hist #'!B52,'OI 2023'!$J$158:$J$176)</f>
        <v>0</v>
      </c>
      <c r="P52" s="1">
        <f>SUMIF('OI 2022'!$I$158:$I$175,'Vestas turbines hist #'!B52,'OI 2022'!$K$158:$K$175)</f>
        <v>0</v>
      </c>
      <c r="Q52" s="1">
        <f>SUMIF('OI 2021'!$I$145:$I$166,'Vestas turbines hist #'!B52,'OI 2021'!$K$145:$K$166)</f>
        <v>0</v>
      </c>
      <c r="R52" s="1">
        <f>SUMIF('OI 2020'!$I$144:$I$165,'Vestas turbines hist #'!B52,'OI 2020'!$K$144:$K$165)</f>
        <v>0</v>
      </c>
      <c r="S52" s="1">
        <f>SUMIF('OI 2019'!$I$113:$I$132,'Vestas turbines hist #'!B52,'OI 2019'!$L$113:$L$132)</f>
        <v>0</v>
      </c>
      <c r="T52" s="1">
        <f>SUMIF('OI 2018'!$I$114:$I$131,'Vestas turbines hist #'!B52,'OI 2018'!$L$114:$L$131)</f>
        <v>0</v>
      </c>
      <c r="U52" s="1">
        <f>SUMIF('OI 2017'!$I$113:$I$130,'Vestas turbines hist #'!B52,'OI 2017'!$L$113:$L$130)</f>
        <v>0</v>
      </c>
      <c r="V52" s="1">
        <f>SUMIF('OI 2016'!$I$87:$I$99,'Vestas turbines hist #'!$B52,'OI 2016'!$L$87:$L$99)</f>
        <v>0</v>
      </c>
      <c r="W52" s="1">
        <f>SUMIF('OI 2015'!$I$87:$I$101,'Vestas turbines hist #'!$B52,'OI 2015'!$L$87:$L$101)</f>
        <v>0</v>
      </c>
      <c r="X52" s="1">
        <f>SUMIF('OI 2014'!$I$87:$I$101,'Vestas turbines hist #'!$B52,'OI 2014'!$L$87:$L$101)</f>
        <v>0</v>
      </c>
      <c r="Y52" s="1">
        <f>SUMIF('OI 2013'!$I$87:$I$101,'Vestas turbines hist #'!$B52,'OI 2013'!$L$87:$L$101)</f>
        <v>0</v>
      </c>
      <c r="Z52" s="1">
        <f>SUMIF('OI 2012'!$I$87:$I$101,'Vestas turbines hist #'!$B52,'OI 2012'!$L$87:$L$101)</f>
        <v>0</v>
      </c>
      <c r="AA52" s="1">
        <f>SUMIF('OI 2011'!$I$95:$I$104,'Vestas turbines hist #'!$B52,'OI 2011'!$L$95:$L$104)</f>
        <v>0</v>
      </c>
      <c r="AB52" s="1">
        <f>SUMIF('OI 2010'!$I$95:$I$107,'Vestas turbines hist #'!$B52,'OI 2010'!$L$95:$L$107)</f>
        <v>0</v>
      </c>
      <c r="AC52" s="1">
        <f>SUMIF('OI 2009'!$I$95:$I$107,'Vestas turbines hist #'!$B52,'OI 2009'!$L$95:$L$107)</f>
        <v>0</v>
      </c>
      <c r="AD52" s="1">
        <f>SUMIF('OI 2008'!$I$95:$I$107,'Vestas turbines hist #'!$B52,'OI 2008'!$L$95:$L$107)</f>
        <v>0</v>
      </c>
    </row>
    <row r="53" spans="2:30" x14ac:dyDescent="0.25">
      <c r="B53" t="s">
        <v>122</v>
      </c>
      <c r="C53" t="s">
        <v>749</v>
      </c>
      <c r="D53" s="24">
        <f t="shared" si="3"/>
        <v>2</v>
      </c>
      <c r="E53">
        <v>2000</v>
      </c>
      <c r="F53">
        <v>116</v>
      </c>
      <c r="G53">
        <v>2017</v>
      </c>
      <c r="H53" t="s">
        <v>752</v>
      </c>
      <c r="I53" t="s">
        <v>752</v>
      </c>
      <c r="J53" t="s">
        <v>752</v>
      </c>
      <c r="M53" s="1">
        <f t="shared" si="1"/>
        <v>249</v>
      </c>
      <c r="N53" s="1"/>
      <c r="O53">
        <f>SUMIF('OI 2023'!$I$158:$I$176,'Vestas turbines hist #'!B53,'OI 2023'!$J$158:$J$176)</f>
        <v>0</v>
      </c>
      <c r="P53" s="1">
        <f>SUMIF('OI 2022'!$I$158:$I$175,'Vestas turbines hist #'!B53,'OI 2022'!$K$158:$K$175)</f>
        <v>0</v>
      </c>
      <c r="Q53" s="1">
        <f>SUMIF('OI 2021'!$I$145:$I$166,'Vestas turbines hist #'!B53,'OI 2021'!$K$145:$K$166)</f>
        <v>0</v>
      </c>
      <c r="R53" s="1">
        <f>SUMIF('OI 2020'!$I$144:$I$165,'Vestas turbines hist #'!B53,'OI 2020'!$K$144:$K$165)</f>
        <v>0</v>
      </c>
      <c r="S53" s="1">
        <f>SUMIF('OI 2019'!$I$113:$I$132,'Vestas turbines hist #'!B53,'OI 2019'!$L$113:$L$132)</f>
        <v>0</v>
      </c>
      <c r="T53" s="1">
        <f>SUMIF('OI 2018'!$I$114:$I$131,'Vestas turbines hist #'!B53,'OI 2018'!$L$114:$L$131)</f>
        <v>216</v>
      </c>
      <c r="U53" s="35">
        <f>SUMIF('OI 2017'!$I$113:$I$130,'Vestas turbines hist #'!B53,'OI 2017'!$L$113:$L$130)</f>
        <v>33</v>
      </c>
      <c r="V53" s="1">
        <f>SUMIF('OI 2016'!$I$87:$I$99,'Vestas turbines hist #'!$B53,'OI 2016'!$L$87:$L$99)</f>
        <v>0</v>
      </c>
      <c r="W53" s="1">
        <f>SUMIF('OI 2015'!$I$87:$I$101,'Vestas turbines hist #'!$B53,'OI 2015'!$L$87:$L$101)</f>
        <v>0</v>
      </c>
      <c r="X53" s="1">
        <f>SUMIF('OI 2014'!$I$87:$I$101,'Vestas turbines hist #'!$B53,'OI 2014'!$L$87:$L$101)</f>
        <v>0</v>
      </c>
      <c r="Y53" s="1">
        <f>SUMIF('OI 2013'!$I$87:$I$101,'Vestas turbines hist #'!$B53,'OI 2013'!$L$87:$L$101)</f>
        <v>0</v>
      </c>
      <c r="Z53" s="1">
        <f>SUMIF('OI 2012'!$I$87:$I$101,'Vestas turbines hist #'!$B53,'OI 2012'!$L$87:$L$101)</f>
        <v>0</v>
      </c>
      <c r="AA53" s="1">
        <f>SUMIF('OI 2011'!$I$95:$I$104,'Vestas turbines hist #'!$B53,'OI 2011'!$L$95:$L$104)</f>
        <v>0</v>
      </c>
      <c r="AB53" s="1">
        <f>SUMIF('OI 2010'!$I$95:$I$107,'Vestas turbines hist #'!$B53,'OI 2010'!$L$95:$L$107)</f>
        <v>0</v>
      </c>
      <c r="AC53" s="1">
        <f>SUMIF('OI 2009'!$I$95:$I$107,'Vestas turbines hist #'!$B53,'OI 2009'!$L$95:$L$107)</f>
        <v>0</v>
      </c>
      <c r="AD53" s="1">
        <f>SUMIF('OI 2008'!$I$95:$I$107,'Vestas turbines hist #'!$B53,'OI 2008'!$L$95:$L$107)</f>
        <v>0</v>
      </c>
    </row>
    <row r="54" spans="2:30" x14ac:dyDescent="0.25">
      <c r="B54" s="13" t="s">
        <v>224</v>
      </c>
      <c r="C54" s="14" t="s">
        <v>758</v>
      </c>
      <c r="D54" s="65">
        <f t="shared" si="3"/>
        <v>3.3</v>
      </c>
      <c r="E54" s="14">
        <v>3300</v>
      </c>
      <c r="F54" s="14">
        <v>117</v>
      </c>
      <c r="G54" s="14">
        <v>2013</v>
      </c>
      <c r="H54" s="14" t="s">
        <v>752</v>
      </c>
      <c r="I54" s="14" t="s">
        <v>752</v>
      </c>
      <c r="J54" s="14" t="s">
        <v>752</v>
      </c>
      <c r="K54" s="14"/>
      <c r="L54" s="14"/>
      <c r="M54" s="1">
        <f t="shared" si="1"/>
        <v>448.39393939393938</v>
      </c>
      <c r="N54" s="54"/>
      <c r="O54">
        <f>SUMIF('OI 2023'!$I$158:$I$176,'Vestas turbines hist #'!B54,'OI 2023'!$J$158:$J$176)</f>
        <v>0</v>
      </c>
      <c r="P54" s="54">
        <f>SUMIF('OI 2022'!$I$158:$I$175,'Vestas turbines hist #'!B54,'OI 2022'!$K$158:$K$175)</f>
        <v>0</v>
      </c>
      <c r="Q54" s="54">
        <f>SUMIF('OI 2021'!$I$145:$I$166,'Vestas turbines hist #'!B54,'OI 2021'!$K$145:$K$166)</f>
        <v>0</v>
      </c>
      <c r="R54" s="54">
        <f>SUMIF('OI 2020'!$I$144:$I$165,'Vestas turbines hist #'!B54,'OI 2020'!$K$144:$K$165)</f>
        <v>0</v>
      </c>
      <c r="S54" s="54">
        <f>SUMIF('OI 2019'!$I$113:$I$132,'Vestas turbines hist #'!B54,'OI 2019'!$L$113:$L$132)</f>
        <v>0</v>
      </c>
      <c r="T54" s="54">
        <f>SUMIF('OI 2018'!$I$114:$I$131,'Vestas turbines hist #'!B54,'OI 2018'!$L$114:$L$131)</f>
        <v>10</v>
      </c>
      <c r="U54" s="54">
        <f>SUMIF('OI 2017'!$I$113:$I$130,'Vestas turbines hist #'!B54,'OI 2017'!$L$113:$L$130)</f>
        <v>0</v>
      </c>
      <c r="V54" s="54">
        <f>SUMIF('OI 2016'!$I$87:$I$99,'Vestas turbines hist #'!$B54,'OI 2016'!$L$87:$L$99)</f>
        <v>53.939393939393945</v>
      </c>
      <c r="W54" s="54">
        <f>SUMIF('OI 2015'!$I$87:$I$101,'Vestas turbines hist #'!$B54,'OI 2015'!$L$87:$L$101)</f>
        <v>365.45454545454544</v>
      </c>
      <c r="X54" s="54">
        <f>SUMIF('OI 2014'!$I$87:$I$101,'Vestas turbines hist #'!$B54,'OI 2014'!$L$87:$L$101)</f>
        <v>19</v>
      </c>
      <c r="Y54" s="113">
        <f>SUMIF('OI 2013'!$I$87:$I$101,'Vestas turbines hist #'!$B54,'OI 2013'!$L$87:$L$101)</f>
        <v>0</v>
      </c>
      <c r="Z54" s="54">
        <f>SUMIF('OI 2012'!$I$87:$I$101,'Vestas turbines hist #'!$B54,'OI 2012'!$L$87:$L$101)</f>
        <v>0</v>
      </c>
      <c r="AA54" s="54">
        <f>SUMIF('OI 2011'!$I$95:$I$104,'Vestas turbines hist #'!$B54,'OI 2011'!$L$95:$L$104)</f>
        <v>0</v>
      </c>
      <c r="AB54" s="54">
        <f>SUMIF('OI 2010'!$I$95:$I$107,'Vestas turbines hist #'!$B54,'OI 2010'!$L$95:$L$107)</f>
        <v>0</v>
      </c>
      <c r="AC54" s="54">
        <f>SUMIF('OI 2009'!$I$95:$I$107,'Vestas turbines hist #'!$B54,'OI 2009'!$L$95:$L$107)</f>
        <v>0</v>
      </c>
      <c r="AD54" s="42">
        <f>SUMIF('OI 2008'!$I$95:$I$107,'Vestas turbines hist #'!$B54,'OI 2008'!$L$95:$L$107)</f>
        <v>0</v>
      </c>
    </row>
    <row r="55" spans="2:30" x14ac:dyDescent="0.25">
      <c r="B55" s="8" t="s">
        <v>115</v>
      </c>
      <c r="C55" t="s">
        <v>757</v>
      </c>
      <c r="D55" s="24">
        <f t="shared" si="3"/>
        <v>3.45</v>
      </c>
      <c r="E55">
        <v>3450</v>
      </c>
      <c r="F55">
        <v>126</v>
      </c>
      <c r="G55">
        <v>2016</v>
      </c>
      <c r="H55" t="s">
        <v>752</v>
      </c>
      <c r="I55" t="s">
        <v>752</v>
      </c>
      <c r="J55" t="s">
        <v>752</v>
      </c>
      <c r="M55" s="1">
        <f t="shared" si="1"/>
        <v>789.05555555555554</v>
      </c>
      <c r="N55" s="1"/>
      <c r="O55">
        <f>SUMIF('OI 2023'!$I$158:$I$176,'Vestas turbines hist #'!B55,'OI 2023'!$J$158:$J$176)</f>
        <v>0</v>
      </c>
      <c r="P55" s="1">
        <f>SUMIF('OI 2022'!$I$158:$I$175,'Vestas turbines hist #'!B55,'OI 2022'!$K$158:$K$175)</f>
        <v>13</v>
      </c>
      <c r="Q55" s="1">
        <f>SUMIF('OI 2021'!$I$145:$I$166,'Vestas turbines hist #'!B55,'OI 2021'!$K$145:$K$166)</f>
        <v>23</v>
      </c>
      <c r="R55" s="1">
        <f>SUMIF('OI 2020'!$I$144:$I$165,'Vestas turbines hist #'!B55,'OI 2020'!$K$144:$K$165)</f>
        <v>33</v>
      </c>
      <c r="S55" s="1">
        <f>SUMIF('OI 2019'!$I$113:$I$132,'Vestas turbines hist #'!B55,'OI 2019'!$L$113:$L$132)</f>
        <v>46</v>
      </c>
      <c r="T55" s="1">
        <f>SUMIF('OI 2018'!$I$114:$I$131,'Vestas turbines hist #'!B55,'OI 2018'!$L$114:$L$131)</f>
        <v>178.15217391304347</v>
      </c>
      <c r="U55" s="1">
        <f>SUMIF('OI 2017'!$I$113:$I$130,'Vestas turbines hist #'!B55,'OI 2017'!$L$113:$L$130)</f>
        <v>66.932367149758448</v>
      </c>
      <c r="V55" s="35">
        <f>SUMIF('OI 2016'!$I$87:$I$99,'Vestas turbines hist #'!$B55,'OI 2016'!$L$87:$L$99)</f>
        <v>398.97101449275362</v>
      </c>
      <c r="W55" s="1">
        <f>SUMIF('OI 2015'!$I$87:$I$101,'Vestas turbines hist #'!$B55,'OI 2015'!$L$87:$L$101)</f>
        <v>30</v>
      </c>
      <c r="X55" s="1">
        <f>SUMIF('OI 2014'!$I$87:$I$101,'Vestas turbines hist #'!$B55,'OI 2014'!$L$87:$L$101)</f>
        <v>0</v>
      </c>
      <c r="Y55" s="1">
        <f>SUMIF('OI 2013'!$I$87:$I$101,'Vestas turbines hist #'!$B55,'OI 2013'!$L$87:$L$101)</f>
        <v>0</v>
      </c>
      <c r="Z55" s="1">
        <f>SUMIF('OI 2012'!$I$87:$I$101,'Vestas turbines hist #'!$B55,'OI 2012'!$L$87:$L$101)</f>
        <v>0</v>
      </c>
      <c r="AA55" s="1">
        <f>SUMIF('OI 2011'!$I$95:$I$104,'Vestas turbines hist #'!$B55,'OI 2011'!$L$95:$L$104)</f>
        <v>0</v>
      </c>
      <c r="AB55" s="1">
        <f>SUMIF('OI 2010'!$I$95:$I$107,'Vestas turbines hist #'!$B55,'OI 2010'!$L$95:$L$107)</f>
        <v>0</v>
      </c>
      <c r="AC55" s="1">
        <f>SUMIF('OI 2009'!$I$95:$I$107,'Vestas turbines hist #'!$B55,'OI 2009'!$L$95:$L$107)</f>
        <v>0</v>
      </c>
      <c r="AD55" s="19">
        <f>SUMIF('OI 2008'!$I$95:$I$107,'Vestas turbines hist #'!$B55,'OI 2008'!$L$95:$L$107)</f>
        <v>0</v>
      </c>
    </row>
    <row r="56" spans="2:30" x14ac:dyDescent="0.25">
      <c r="B56" s="10" t="s">
        <v>1156</v>
      </c>
      <c r="C56" s="11" t="s">
        <v>756</v>
      </c>
      <c r="D56" s="31">
        <f t="shared" si="3"/>
        <v>4.2</v>
      </c>
      <c r="E56" s="11">
        <v>4200</v>
      </c>
      <c r="F56" s="11">
        <v>117</v>
      </c>
      <c r="G56" s="11">
        <v>2017</v>
      </c>
      <c r="H56" s="11" t="s">
        <v>752</v>
      </c>
      <c r="I56" s="11" t="s">
        <v>752</v>
      </c>
      <c r="J56" s="11" t="s">
        <v>752</v>
      </c>
      <c r="K56" s="11"/>
      <c r="L56" s="11"/>
      <c r="M56" s="1">
        <f t="shared" si="1"/>
        <v>481</v>
      </c>
      <c r="N56" s="28"/>
      <c r="O56">
        <f>SUMIF('OI 2023'!$I$158:$I$176,'Vestas turbines hist #'!B56,'OI 2023'!$J$158:$J$176)</f>
        <v>44</v>
      </c>
      <c r="P56" s="28">
        <f>SUMIF('OI 2022'!$I$158:$I$175,'Vestas turbines hist #'!B56,'OI 2022'!$K$158:$K$175)</f>
        <v>36</v>
      </c>
      <c r="Q56" s="28">
        <f>SUMIF('OI 2021'!$I$145:$I$166,'Vestas turbines hist #'!B56,'OI 2021'!$K$145:$K$166)</f>
        <v>97</v>
      </c>
      <c r="R56" s="28">
        <f>SUMIF('OI 2020'!$I$144:$I$165,'Vestas turbines hist #'!B56,'OI 2020'!$K$144:$K$165)</f>
        <v>166</v>
      </c>
      <c r="S56" s="28">
        <f>SUMIF('OI 2019'!$I$113:$I$132,'Vestas turbines hist #'!B56,'OI 2019'!$L$113:$L$132)</f>
        <v>107</v>
      </c>
      <c r="T56" s="28">
        <f>SUMIF('OI 2018'!$I$114:$I$131,'Vestas turbines hist #'!B56,'OI 2018'!$L$114:$L$131)</f>
        <v>31</v>
      </c>
      <c r="U56" s="114">
        <f>SUMIF('OI 2017'!$I$113:$I$130,'Vestas turbines hist #'!B56,'OI 2017'!$L$113:$L$130)</f>
        <v>0</v>
      </c>
      <c r="V56" s="28">
        <f>SUMIF('OI 2016'!$I$87:$I$99,'Vestas turbines hist #'!$B56,'OI 2016'!$L$87:$L$99)</f>
        <v>0</v>
      </c>
      <c r="W56" s="28">
        <f>SUMIF('OI 2015'!$I$87:$I$101,'Vestas turbines hist #'!$B56,'OI 2015'!$L$87:$L$101)</f>
        <v>0</v>
      </c>
      <c r="X56" s="28">
        <f>SUMIF('OI 2014'!$I$87:$I$101,'Vestas turbines hist #'!$B56,'OI 2014'!$L$87:$L$101)</f>
        <v>0</v>
      </c>
      <c r="Y56" s="28">
        <f>SUMIF('OI 2013'!$I$87:$I$101,'Vestas turbines hist #'!$B56,'OI 2013'!$L$87:$L$101)</f>
        <v>0</v>
      </c>
      <c r="Z56" s="28">
        <f>SUMIF('OI 2012'!$I$87:$I$101,'Vestas turbines hist #'!$B56,'OI 2012'!$L$87:$L$101)</f>
        <v>0</v>
      </c>
      <c r="AA56" s="28">
        <f>SUMIF('OI 2011'!$I$95:$I$104,'Vestas turbines hist #'!$B56,'OI 2011'!$L$95:$L$104)</f>
        <v>0</v>
      </c>
      <c r="AB56" s="28">
        <f>SUMIF('OI 2010'!$I$95:$I$107,'Vestas turbines hist #'!$B56,'OI 2010'!$L$95:$L$107)</f>
        <v>0</v>
      </c>
      <c r="AC56" s="28">
        <f>SUMIF('OI 2009'!$I$95:$I$107,'Vestas turbines hist #'!$B56,'OI 2009'!$L$95:$L$107)</f>
        <v>0</v>
      </c>
      <c r="AD56" s="20">
        <f>SUMIF('OI 2008'!$I$95:$I$107,'Vestas turbines hist #'!$B56,'OI 2008'!$L$95:$L$107)</f>
        <v>0</v>
      </c>
    </row>
    <row r="57" spans="2:30" x14ac:dyDescent="0.25">
      <c r="B57" s="13" t="s">
        <v>578</v>
      </c>
      <c r="C57" s="14" t="s">
        <v>759</v>
      </c>
      <c r="D57" s="65">
        <f t="shared" si="3"/>
        <v>2</v>
      </c>
      <c r="E57" s="14">
        <v>2000</v>
      </c>
      <c r="F57" s="14">
        <v>120</v>
      </c>
      <c r="G57" s="14">
        <v>2018</v>
      </c>
      <c r="H57" s="14" t="s">
        <v>752</v>
      </c>
      <c r="I57" s="14" t="s">
        <v>752</v>
      </c>
      <c r="J57" s="14" t="s">
        <v>752</v>
      </c>
      <c r="K57" s="14"/>
      <c r="L57" s="14"/>
      <c r="M57" s="1">
        <f t="shared" si="1"/>
        <v>210</v>
      </c>
      <c r="N57" s="54"/>
      <c r="O57">
        <f>SUMIF('OI 2023'!$I$158:$I$176,'Vestas turbines hist #'!B57,'OI 2023'!$J$158:$J$176)</f>
        <v>0</v>
      </c>
      <c r="P57" s="54">
        <f>SUMIF('OI 2022'!$I$158:$I$175,'Vestas turbines hist #'!B57,'OI 2022'!$K$158:$K$175)</f>
        <v>0</v>
      </c>
      <c r="Q57" s="54">
        <f>SUMIF('OI 2021'!$I$145:$I$166,'Vestas turbines hist #'!B57,'OI 2021'!$K$145:$K$166)</f>
        <v>0</v>
      </c>
      <c r="R57" s="54">
        <f>SUMIF('OI 2020'!$I$144:$I$165,'Vestas turbines hist #'!B57,'OI 2020'!$K$144:$K$165)</f>
        <v>0</v>
      </c>
      <c r="S57" s="54">
        <f>SUMIF('OI 2019'!$I$113:$I$132,'Vestas turbines hist #'!B57,'OI 2019'!$L$113:$L$132)</f>
        <v>15</v>
      </c>
      <c r="T57" s="54">
        <f>SUMIF('OI 2018'!$I$114:$I$131,'Vestas turbines hist #'!B57,'OI 2018'!$L$114:$L$131)</f>
        <v>195</v>
      </c>
      <c r="U57" s="113">
        <f>SUMIF('OI 2017'!$I$113:$I$130,'Vestas turbines hist #'!B57,'OI 2017'!$L$113:$L$130)</f>
        <v>0</v>
      </c>
      <c r="V57" s="54">
        <f>SUMIF('OI 2016'!$I$87:$I$99,'Vestas turbines hist #'!$B57,'OI 2016'!$L$87:$L$99)</f>
        <v>0</v>
      </c>
      <c r="W57" s="54">
        <f>SUMIF('OI 2015'!$I$87:$I$101,'Vestas turbines hist #'!$B57,'OI 2015'!$L$87:$L$101)</f>
        <v>0</v>
      </c>
      <c r="X57" s="54">
        <f>SUMIF('OI 2014'!$I$87:$I$101,'Vestas turbines hist #'!$B57,'OI 2014'!$L$87:$L$101)</f>
        <v>0</v>
      </c>
      <c r="Y57" s="54">
        <f>SUMIF('OI 2013'!$I$87:$I$101,'Vestas turbines hist #'!$B57,'OI 2013'!$L$87:$L$101)</f>
        <v>0</v>
      </c>
      <c r="Z57" s="54">
        <f>SUMIF('OI 2012'!$I$87:$I$101,'Vestas turbines hist #'!$B57,'OI 2012'!$L$87:$L$101)</f>
        <v>0</v>
      </c>
      <c r="AA57" s="54">
        <f>SUMIF('OI 2011'!$I$95:$I$104,'Vestas turbines hist #'!$B57,'OI 2011'!$L$95:$L$104)</f>
        <v>0</v>
      </c>
      <c r="AB57" s="54">
        <f>SUMIF('OI 2010'!$I$95:$I$107,'Vestas turbines hist #'!$B57,'OI 2010'!$L$95:$L$107)</f>
        <v>0</v>
      </c>
      <c r="AC57" s="54">
        <f>SUMIF('OI 2009'!$I$95:$I$107,'Vestas turbines hist #'!$B57,'OI 2009'!$L$95:$L$107)</f>
        <v>0</v>
      </c>
      <c r="AD57" s="42">
        <f>SUMIF('OI 2008'!$I$95:$I$107,'Vestas turbines hist #'!$B57,'OI 2008'!$L$95:$L$107)</f>
        <v>0</v>
      </c>
    </row>
    <row r="58" spans="2:30" x14ac:dyDescent="0.25">
      <c r="B58" s="10" t="s">
        <v>574</v>
      </c>
      <c r="C58" s="11" t="s">
        <v>759</v>
      </c>
      <c r="D58" s="31">
        <f>E58/1000</f>
        <v>2.2000000000000002</v>
      </c>
      <c r="E58" s="11">
        <v>2200</v>
      </c>
      <c r="F58" s="11">
        <v>120</v>
      </c>
      <c r="G58" s="11">
        <v>2018</v>
      </c>
      <c r="H58" s="11"/>
      <c r="I58" s="11"/>
      <c r="J58" s="11"/>
      <c r="K58" s="11"/>
      <c r="L58" s="11"/>
      <c r="M58" s="1">
        <f t="shared" si="1"/>
        <v>2189.545454545454</v>
      </c>
      <c r="N58" s="28"/>
      <c r="O58">
        <f>SUMIF('OI 2023'!$I$158:$I$176,'Vestas turbines hist #'!B58,'OI 2023'!$J$158:$J$176)</f>
        <v>72</v>
      </c>
      <c r="P58" s="28">
        <f>SUMIF('OI 2022'!$I$158:$I$175,'Vestas turbines hist #'!B58,'OI 2022'!$K$158:$K$175)</f>
        <v>23</v>
      </c>
      <c r="Q58" s="28">
        <f>SUMIF('OI 2021'!$I$145:$I$166,'Vestas turbines hist #'!B58,'OI 2021'!$K$145:$K$166)</f>
        <v>255</v>
      </c>
      <c r="R58" s="28">
        <f>SUMIF('OI 2020'!$I$144:$I$165,'Vestas turbines hist #'!B58,'OI 2020'!$K$144:$K$165)</f>
        <v>320</v>
      </c>
      <c r="S58" s="28">
        <f>SUMIF('OI 2019'!$I$113:$I$132,'Vestas turbines hist #'!B58,'OI 2019'!$L$113:$L$132)</f>
        <v>1254.8181818181815</v>
      </c>
      <c r="T58" s="28">
        <f>SUMIF('OI 2018'!$I$114:$I$131,'Vestas turbines hist #'!B58,'OI 2018'!$L$114:$L$131)</f>
        <v>264.72727272727275</v>
      </c>
      <c r="U58" s="114">
        <f>SUMIF('OI 2017'!$I$113:$I$130,'Vestas turbines hist #'!B58,'OI 2017'!$L$113:$L$130)</f>
        <v>0</v>
      </c>
      <c r="V58" s="28">
        <f>SUMIF('OI 2016'!$I$87:$I$99,'Vestas turbines hist #'!$B58,'OI 2016'!$L$87:$L$99)</f>
        <v>0</v>
      </c>
      <c r="W58" s="28">
        <f>SUMIF('OI 2015'!$I$87:$I$101,'Vestas turbines hist #'!$B58,'OI 2015'!$L$87:$L$101)</f>
        <v>0</v>
      </c>
      <c r="X58" s="28">
        <f>SUMIF('OI 2014'!$I$87:$I$101,'Vestas turbines hist #'!$B58,'OI 2014'!$L$87:$L$101)</f>
        <v>0</v>
      </c>
      <c r="Y58" s="28">
        <f>SUMIF('OI 2013'!$I$87:$I$101,'Vestas turbines hist #'!$B58,'OI 2013'!$L$87:$L$101)</f>
        <v>0</v>
      </c>
      <c r="Z58" s="28">
        <f>SUMIF('OI 2012'!$I$87:$I$101,'Vestas turbines hist #'!$B58,'OI 2012'!$L$87:$L$101)</f>
        <v>0</v>
      </c>
      <c r="AA58" s="28">
        <f>SUMIF('OI 2011'!$I$95:$I$104,'Vestas turbines hist #'!$B58,'OI 2011'!$L$95:$L$104)</f>
        <v>0</v>
      </c>
      <c r="AB58" s="28">
        <f>SUMIF('OI 2010'!$I$95:$I$107,'Vestas turbines hist #'!$B58,'OI 2010'!$L$95:$L$107)</f>
        <v>0</v>
      </c>
      <c r="AC58" s="28">
        <f>SUMIF('OI 2009'!$I$95:$I$107,'Vestas turbines hist #'!$B58,'OI 2009'!$L$95:$L$107)</f>
        <v>0</v>
      </c>
      <c r="AD58" s="20">
        <f>SUMIF('OI 2008'!$I$95:$I$107,'Vestas turbines hist #'!$B58,'OI 2008'!$L$95:$L$107)</f>
        <v>0</v>
      </c>
    </row>
    <row r="59" spans="2:30" x14ac:dyDescent="0.25">
      <c r="B59" s="13" t="s">
        <v>809</v>
      </c>
      <c r="C59" s="14" t="s">
        <v>759</v>
      </c>
      <c r="D59" s="65">
        <f t="shared" si="3"/>
        <v>3</v>
      </c>
      <c r="E59" s="14">
        <v>3000</v>
      </c>
      <c r="F59" s="14">
        <v>126</v>
      </c>
      <c r="G59" s="14" t="s">
        <v>752</v>
      </c>
      <c r="H59" s="14" t="s">
        <v>752</v>
      </c>
      <c r="I59" s="14" t="s">
        <v>752</v>
      </c>
      <c r="J59" s="14" t="s">
        <v>752</v>
      </c>
      <c r="K59" s="14"/>
      <c r="L59" s="14"/>
      <c r="M59" s="1">
        <f t="shared" si="1"/>
        <v>3</v>
      </c>
      <c r="N59" s="54"/>
      <c r="O59">
        <f>SUMIF('OI 2023'!$I$158:$I$176,'Vestas turbines hist #'!B59,'OI 2023'!$J$158:$J$176)</f>
        <v>0</v>
      </c>
      <c r="P59" s="54">
        <f>SUMIF('OI 2022'!$I$158:$I$175,'Vestas turbines hist #'!B59,'OI 2022'!$K$158:$K$175)</f>
        <v>0</v>
      </c>
      <c r="Q59" s="54">
        <f>SUMIF('OI 2021'!$I$145:$I$166,'Vestas turbines hist #'!B59,'OI 2021'!$K$145:$K$166)</f>
        <v>0</v>
      </c>
      <c r="R59" s="54">
        <f>SUMIF('OI 2020'!$I$144:$I$165,'Vestas turbines hist #'!B59,'OI 2020'!$K$144:$K$165)</f>
        <v>0</v>
      </c>
      <c r="S59" s="54">
        <f>SUMIF('OI 2019'!$I$113:$I$132,'Vestas turbines hist #'!B59,'OI 2019'!$L$113:$L$132)</f>
        <v>0</v>
      </c>
      <c r="T59" s="54">
        <f>SUMIF('OI 2018'!$I$114:$I$131,'Vestas turbines hist #'!B59,'OI 2018'!$L$114:$L$131)</f>
        <v>0</v>
      </c>
      <c r="U59" s="54">
        <f>SUMIF('OI 2017'!$I$113:$I$130,'Vestas turbines hist #'!B59,'OI 2017'!$L$113:$L$130)</f>
        <v>0</v>
      </c>
      <c r="V59" s="54">
        <f>SUMIF('OI 2016'!$I$87:$I$99,'Vestas turbines hist #'!$B59,'OI 2016'!$L$87:$L$99)</f>
        <v>0</v>
      </c>
      <c r="W59" s="54">
        <f>SUMIF('OI 2015'!$I$87:$I$101,'Vestas turbines hist #'!$B59,'OI 2015'!$L$87:$L$101)</f>
        <v>0</v>
      </c>
      <c r="X59" s="54">
        <f>SUMIF('OI 2014'!$I$87:$I$101,'Vestas turbines hist #'!$B59,'OI 2014'!$L$87:$L$101)</f>
        <v>0</v>
      </c>
      <c r="Y59" s="54">
        <f>SUMIF('OI 2013'!$I$87:$I$101,'Vestas turbines hist #'!$B59,'OI 2013'!$L$87:$L$101)</f>
        <v>0</v>
      </c>
      <c r="Z59" s="54">
        <f>SUMIF('OI 2012'!$I$87:$I$101,'Vestas turbines hist #'!$B59,'OI 2012'!$L$87:$L$101)</f>
        <v>3</v>
      </c>
      <c r="AA59" s="54">
        <f>SUMIF('OI 2011'!$I$95:$I$104,'Vestas turbines hist #'!$B59,'OI 2011'!$L$95:$L$104)</f>
        <v>0</v>
      </c>
      <c r="AB59" s="54">
        <f>SUMIF('OI 2010'!$I$95:$I$107,'Vestas turbines hist #'!$B59,'OI 2010'!$L$95:$L$107)</f>
        <v>0</v>
      </c>
      <c r="AC59" s="54">
        <f>SUMIF('OI 2009'!$I$95:$I$107,'Vestas turbines hist #'!$B59,'OI 2009'!$L$95:$L$107)</f>
        <v>0</v>
      </c>
      <c r="AD59" s="42">
        <f>SUMIF('OI 2008'!$I$95:$I$107,'Vestas turbines hist #'!$B59,'OI 2008'!$L$95:$L$107)</f>
        <v>0</v>
      </c>
    </row>
    <row r="60" spans="2:30" x14ac:dyDescent="0.25">
      <c r="B60" s="8" t="s">
        <v>106</v>
      </c>
      <c r="C60" t="s">
        <v>753</v>
      </c>
      <c r="D60" s="24">
        <f t="shared" si="3"/>
        <v>3.3</v>
      </c>
      <c r="E60">
        <v>3300</v>
      </c>
      <c r="F60">
        <v>126</v>
      </c>
      <c r="G60">
        <v>2013</v>
      </c>
      <c r="H60" t="s">
        <v>752</v>
      </c>
      <c r="I60" t="s">
        <v>752</v>
      </c>
      <c r="J60" t="s">
        <v>752</v>
      </c>
      <c r="M60" s="1">
        <f t="shared" si="1"/>
        <v>397.78787878787875</v>
      </c>
      <c r="N60" s="1"/>
      <c r="O60">
        <f>SUMIF('OI 2023'!$I$158:$I$176,'Vestas turbines hist #'!B60,'OI 2023'!$J$158:$J$176)</f>
        <v>0</v>
      </c>
      <c r="P60" s="1">
        <f>SUMIF('OI 2022'!$I$158:$I$175,'Vestas turbines hist #'!B60,'OI 2022'!$K$158:$K$175)</f>
        <v>0</v>
      </c>
      <c r="Q60" s="1">
        <f>SUMIF('OI 2021'!$I$145:$I$166,'Vestas turbines hist #'!B60,'OI 2021'!$K$145:$K$166)</f>
        <v>0</v>
      </c>
      <c r="R60" s="1">
        <f>SUMIF('OI 2020'!$I$144:$I$165,'Vestas turbines hist #'!B60,'OI 2020'!$K$144:$K$165)</f>
        <v>0</v>
      </c>
      <c r="S60" s="1">
        <f>SUMIF('OI 2019'!$I$113:$I$132,'Vestas turbines hist #'!B60,'OI 2019'!$L$113:$L$132)</f>
        <v>0</v>
      </c>
      <c r="T60" s="1">
        <f>SUMIF('OI 2018'!$I$114:$I$131,'Vestas turbines hist #'!B60,'OI 2018'!$L$114:$L$131)</f>
        <v>0</v>
      </c>
      <c r="U60" s="1">
        <f>SUMIF('OI 2017'!$I$113:$I$130,'Vestas turbines hist #'!B60,'OI 2017'!$L$113:$L$130)</f>
        <v>22.121212121212121</v>
      </c>
      <c r="V60" s="1">
        <f>SUMIF('OI 2016'!$I$87:$I$99,'Vestas turbines hist #'!$B60,'OI 2016'!$L$87:$L$99)</f>
        <v>58.787878787878796</v>
      </c>
      <c r="W60" s="1">
        <f>SUMIF('OI 2015'!$I$87:$I$101,'Vestas turbines hist #'!$B60,'OI 2015'!$L$87:$L$101)</f>
        <v>218.78787878787878</v>
      </c>
      <c r="X60" s="1">
        <f>SUMIF('OI 2014'!$I$87:$I$101,'Vestas turbines hist #'!$B60,'OI 2014'!$L$87:$L$101)</f>
        <v>98.090909090909093</v>
      </c>
      <c r="Y60" s="35">
        <f>SUMIF('OI 2013'!$I$87:$I$101,'Vestas turbines hist #'!$B60,'OI 2013'!$L$87:$L$101)</f>
        <v>0</v>
      </c>
      <c r="Z60" s="1">
        <f>SUMIF('OI 2012'!$I$87:$I$101,'Vestas turbines hist #'!$B60,'OI 2012'!$L$87:$L$101)</f>
        <v>0</v>
      </c>
      <c r="AA60" s="1">
        <f>SUMIF('OI 2011'!$I$95:$I$104,'Vestas turbines hist #'!$B60,'OI 2011'!$L$95:$L$104)</f>
        <v>0</v>
      </c>
      <c r="AB60" s="1">
        <f>SUMIF('OI 2010'!$I$95:$I$107,'Vestas turbines hist #'!$B60,'OI 2010'!$L$95:$L$107)</f>
        <v>0</v>
      </c>
      <c r="AC60" s="1">
        <f>SUMIF('OI 2009'!$I$95:$I$107,'Vestas turbines hist #'!$B60,'OI 2009'!$L$95:$L$107)</f>
        <v>0</v>
      </c>
      <c r="AD60" s="19">
        <f>SUMIF('OI 2008'!$I$95:$I$107,'Vestas turbines hist #'!$B60,'OI 2008'!$L$95:$L$107)</f>
        <v>0</v>
      </c>
    </row>
    <row r="61" spans="2:30" x14ac:dyDescent="0.25">
      <c r="B61" s="8" t="s">
        <v>109</v>
      </c>
      <c r="C61" t="s">
        <v>753</v>
      </c>
      <c r="D61" s="24">
        <f t="shared" si="3"/>
        <v>3.45</v>
      </c>
      <c r="E61">
        <v>3450</v>
      </c>
      <c r="F61">
        <v>126</v>
      </c>
      <c r="G61">
        <v>2015</v>
      </c>
      <c r="H61" t="s">
        <v>752</v>
      </c>
      <c r="I61" t="s">
        <v>752</v>
      </c>
      <c r="J61" t="s">
        <v>752</v>
      </c>
      <c r="M61" s="1">
        <f t="shared" si="1"/>
        <v>1289.2425629290617</v>
      </c>
      <c r="N61" s="1"/>
      <c r="O61">
        <f>SUMIF('OI 2023'!$I$158:$I$176,'Vestas turbines hist #'!B61,'OI 2023'!$J$158:$J$176)</f>
        <v>7</v>
      </c>
      <c r="P61" s="1">
        <f>SUMIF('OI 2022'!$I$158:$I$175,'Vestas turbines hist #'!B61,'OI 2022'!$K$158:$K$175)</f>
        <v>25</v>
      </c>
      <c r="Q61" s="1">
        <f>SUMIF('OI 2021'!$I$145:$I$166,'Vestas turbines hist #'!B61,'OI 2021'!$K$145:$K$166)</f>
        <v>107</v>
      </c>
      <c r="R61" s="1">
        <f>SUMIF('OI 2020'!$I$144:$I$165,'Vestas turbines hist #'!B61,'OI 2020'!$K$144:$K$165)</f>
        <v>99</v>
      </c>
      <c r="S61" s="1">
        <f>SUMIF('OI 2019'!$I$113:$I$132,'Vestas turbines hist #'!B61,'OI 2019'!$L$113:$L$132)</f>
        <v>132.44927536231884</v>
      </c>
      <c r="T61" s="1">
        <f>SUMIF('OI 2018'!$I$114:$I$131,'Vestas turbines hist #'!B61,'OI 2018'!$L$114:$L$131)</f>
        <v>230.11212814645307</v>
      </c>
      <c r="U61" s="1">
        <f>SUMIF('OI 2017'!$I$113:$I$130,'Vestas turbines hist #'!B61,'OI 2017'!$L$113:$L$130)</f>
        <v>310.80676328502415</v>
      </c>
      <c r="V61" s="1">
        <f>SUMIF('OI 2016'!$I$87:$I$99,'Vestas turbines hist #'!$B61,'OI 2016'!$L$87:$L$99)</f>
        <v>350.91787439613523</v>
      </c>
      <c r="W61" s="35">
        <f>SUMIF('OI 2015'!$I$87:$I$101,'Vestas turbines hist #'!$B61,'OI 2015'!$L$87:$L$101)</f>
        <v>26.956521739130434</v>
      </c>
      <c r="X61" s="1">
        <f>SUMIF('OI 2014'!$I$87:$I$101,'Vestas turbines hist #'!$B61,'OI 2014'!$L$87:$L$101)</f>
        <v>0</v>
      </c>
      <c r="Y61" s="1">
        <f>SUMIF('OI 2013'!$I$87:$I$101,'Vestas turbines hist #'!$B61,'OI 2013'!$L$87:$L$101)</f>
        <v>0</v>
      </c>
      <c r="Z61" s="1">
        <f>SUMIF('OI 2012'!$I$87:$I$101,'Vestas turbines hist #'!$B61,'OI 2012'!$L$87:$L$101)</f>
        <v>0</v>
      </c>
      <c r="AA61" s="1">
        <f>SUMIF('OI 2011'!$I$95:$I$104,'Vestas turbines hist #'!$B61,'OI 2011'!$L$95:$L$104)</f>
        <v>0</v>
      </c>
      <c r="AB61" s="1">
        <f>SUMIF('OI 2010'!$I$95:$I$107,'Vestas turbines hist #'!$B61,'OI 2010'!$L$95:$L$107)</f>
        <v>0</v>
      </c>
      <c r="AC61" s="1">
        <f>SUMIF('OI 2009'!$I$95:$I$107,'Vestas turbines hist #'!$B61,'OI 2009'!$L$95:$L$107)</f>
        <v>0</v>
      </c>
      <c r="AD61" s="19">
        <f>SUMIF('OI 2008'!$I$95:$I$107,'Vestas turbines hist #'!$B61,'OI 2008'!$L$95:$L$107)</f>
        <v>0</v>
      </c>
    </row>
    <row r="62" spans="2:30" x14ac:dyDescent="0.25">
      <c r="B62" s="8" t="s">
        <v>120</v>
      </c>
      <c r="C62" t="s">
        <v>753</v>
      </c>
      <c r="D62" s="24">
        <f>E62/1000</f>
        <v>3.6</v>
      </c>
      <c r="E62">
        <v>3600</v>
      </c>
      <c r="F62">
        <v>126</v>
      </c>
      <c r="G62">
        <v>2016</v>
      </c>
      <c r="M62" s="1">
        <f t="shared" si="1"/>
        <v>55.444444444444443</v>
      </c>
      <c r="N62" s="1"/>
      <c r="O62">
        <f>SUMIF('OI 2023'!$I$158:$I$176,'Vestas turbines hist #'!B62,'OI 2023'!$J$158:$J$176)</f>
        <v>0</v>
      </c>
      <c r="P62" s="1">
        <f>SUMIF('OI 2022'!$I$158:$I$175,'Vestas turbines hist #'!B62,'OI 2022'!$K$158:$K$175)</f>
        <v>0</v>
      </c>
      <c r="Q62" s="1">
        <f>SUMIF('OI 2021'!$I$145:$I$166,'Vestas turbines hist #'!B62,'OI 2021'!$K$145:$K$166)</f>
        <v>0</v>
      </c>
      <c r="R62" s="1">
        <f>SUMIF('OI 2020'!$I$144:$I$165,'Vestas turbines hist #'!B62,'OI 2020'!$K$144:$K$165)</f>
        <v>0</v>
      </c>
      <c r="S62" s="1">
        <f>SUMIF('OI 2019'!$I$113:$I$132,'Vestas turbines hist #'!B62,'OI 2019'!$L$113:$L$132)</f>
        <v>0</v>
      </c>
      <c r="T62" s="1">
        <f>SUMIF('OI 2018'!$I$114:$I$131,'Vestas turbines hist #'!B62,'OI 2018'!$L$114:$L$131)</f>
        <v>31</v>
      </c>
      <c r="U62" s="1">
        <f>SUMIF('OI 2017'!$I$113:$I$130,'Vestas turbines hist #'!B62,'OI 2017'!$L$113:$L$130)</f>
        <v>24.444444444444443</v>
      </c>
      <c r="V62" s="1">
        <f>SUMIF('OI 2016'!$I$87:$I$99,'Vestas turbines hist #'!$B62,'OI 2016'!$L$87:$L$99)</f>
        <v>0</v>
      </c>
      <c r="W62" s="35">
        <f>SUMIF('OI 2015'!$I$87:$I$101,'Vestas turbines hist #'!$B62,'OI 2015'!$L$87:$L$101)</f>
        <v>0</v>
      </c>
      <c r="X62" s="1">
        <f>SUMIF('OI 2014'!$I$87:$I$101,'Vestas turbines hist #'!$B62,'OI 2014'!$L$87:$L$101)</f>
        <v>0</v>
      </c>
      <c r="Y62" s="1">
        <f>SUMIF('OI 2013'!$I$87:$I$101,'Vestas turbines hist #'!$B62,'OI 2013'!$L$87:$L$101)</f>
        <v>0</v>
      </c>
      <c r="Z62" s="1">
        <f>SUMIF('OI 2012'!$I$87:$I$101,'Vestas turbines hist #'!$B62,'OI 2012'!$L$87:$L$101)</f>
        <v>0</v>
      </c>
      <c r="AA62" s="1">
        <f>SUMIF('OI 2011'!$I$95:$I$104,'Vestas turbines hist #'!$B62,'OI 2011'!$L$95:$L$104)</f>
        <v>0</v>
      </c>
      <c r="AB62" s="1">
        <f>SUMIF('OI 2010'!$I$95:$I$107,'Vestas turbines hist #'!$B62,'OI 2010'!$L$95:$L$107)</f>
        <v>0</v>
      </c>
      <c r="AC62" s="1">
        <f>SUMIF('OI 2009'!$I$95:$I$107,'Vestas turbines hist #'!$B62,'OI 2009'!$L$95:$L$107)</f>
        <v>0</v>
      </c>
      <c r="AD62" s="19">
        <f>SUMIF('OI 2008'!$I$95:$I$107,'Vestas turbines hist #'!$B62,'OI 2008'!$L$95:$L$107)</f>
        <v>0</v>
      </c>
    </row>
    <row r="63" spans="2:30" x14ac:dyDescent="0.25">
      <c r="B63" s="10" t="s">
        <v>1364</v>
      </c>
      <c r="C63" s="11"/>
      <c r="D63" s="31"/>
      <c r="E63" s="11"/>
      <c r="F63" s="11"/>
      <c r="G63" s="11"/>
      <c r="H63" s="11"/>
      <c r="I63" s="11"/>
      <c r="J63" s="11"/>
      <c r="K63" s="11"/>
      <c r="L63" s="11"/>
      <c r="M63" s="1">
        <f t="shared" si="1"/>
        <v>234</v>
      </c>
      <c r="N63" s="28"/>
      <c r="O63">
        <f>SUMIF('OI 2023'!$I$158:$I$176,'Vestas turbines hist #'!B63,'OI 2023'!$J$158:$J$176)</f>
        <v>0</v>
      </c>
      <c r="P63" s="28">
        <f>SUMIF('OI 2022'!$I$158:$I$175,'Vestas turbines hist #'!B63,'OI 2022'!$K$158:$K$175)</f>
        <v>0</v>
      </c>
      <c r="Q63" s="28">
        <f>SUMIF('OI 2021'!$I$145:$I$166,'Vestas turbines hist #'!B63,'OI 2021'!$K$145:$K$166)</f>
        <v>60</v>
      </c>
      <c r="R63" s="28">
        <f>SUMIF('OI 2020'!$I$144:$I$165,'Vestas turbines hist #'!B63,'OI 2020'!$K$144:$K$165)</f>
        <v>114</v>
      </c>
      <c r="S63" s="114">
        <f>SUMIF('OI 2019'!$I$113:$I$132,'Vestas turbines hist #'!B63,'OI 2019'!$L$113:$L$132)</f>
        <v>60</v>
      </c>
      <c r="T63" s="28">
        <f>SUMIF('OI 2018'!$I$114:$I$131,'Vestas turbines hist #'!B63,'OI 2018'!$L$114:$L$131)</f>
        <v>0</v>
      </c>
      <c r="U63" s="28">
        <f>SUMIF('OI 2017'!$I$113:$I$130,'Vestas turbines hist #'!B63,'OI 2017'!$L$113:$L$130)</f>
        <v>0</v>
      </c>
      <c r="V63" s="28">
        <f>SUMIF('OI 2016'!$I$87:$I$99,'Vestas turbines hist #'!$B63,'OI 2016'!$L$87:$L$99)</f>
        <v>0</v>
      </c>
      <c r="W63" s="28">
        <f>SUMIF('OI 2015'!$I$87:$I$101,'Vestas turbines hist #'!$B63,'OI 2015'!$L$87:$L$101)</f>
        <v>0</v>
      </c>
      <c r="X63" s="28">
        <f>SUMIF('OI 2014'!$I$87:$I$101,'Vestas turbines hist #'!$B63,'OI 2014'!$L$87:$L$101)</f>
        <v>0</v>
      </c>
      <c r="Y63" s="28">
        <f>SUMIF('OI 2013'!$I$87:$I$101,'Vestas turbines hist #'!$B63,'OI 2013'!$L$87:$L$101)</f>
        <v>0</v>
      </c>
      <c r="Z63" s="28">
        <f>SUMIF('OI 2012'!$I$87:$I$101,'Vestas turbines hist #'!$B63,'OI 2012'!$L$87:$L$101)</f>
        <v>0</v>
      </c>
      <c r="AA63" s="28">
        <f>SUMIF('OI 2011'!$I$95:$I$104,'Vestas turbines hist #'!$B63,'OI 2011'!$L$95:$L$104)</f>
        <v>0</v>
      </c>
      <c r="AB63" s="28">
        <f>SUMIF('OI 2010'!$I$95:$I$107,'Vestas turbines hist #'!$B63,'OI 2010'!$L$95:$L$107)</f>
        <v>0</v>
      </c>
      <c r="AC63" s="28">
        <f>SUMIF('OI 2009'!$I$95:$I$107,'Vestas turbines hist #'!$B63,'OI 2009'!$L$95:$L$107)</f>
        <v>0</v>
      </c>
      <c r="AD63" s="20">
        <f>SUMIF('OI 2008'!$I$95:$I$107,'Vestas turbines hist #'!$B63,'OI 2008'!$L$95:$L$107)</f>
        <v>0</v>
      </c>
    </row>
    <row r="64" spans="2:30" x14ac:dyDescent="0.25">
      <c r="B64" s="13" t="s">
        <v>117</v>
      </c>
      <c r="C64" s="14" t="s">
        <v>755</v>
      </c>
      <c r="D64" s="65">
        <f>E64/1000</f>
        <v>3</v>
      </c>
      <c r="E64" s="14">
        <v>3000</v>
      </c>
      <c r="F64" s="14">
        <v>136</v>
      </c>
      <c r="G64" s="14"/>
      <c r="H64" s="14"/>
      <c r="I64" s="14"/>
      <c r="J64" s="14"/>
      <c r="K64" s="14"/>
      <c r="L64" s="14"/>
      <c r="M64" s="1">
        <f t="shared" si="1"/>
        <v>60</v>
      </c>
      <c r="N64" s="54"/>
      <c r="O64">
        <f>SUMIF('OI 2023'!$I$158:$I$176,'Vestas turbines hist #'!B64,'OI 2023'!$J$158:$J$176)</f>
        <v>0</v>
      </c>
      <c r="P64" s="54">
        <f>SUMIF('OI 2022'!$I$158:$I$175,'Vestas turbines hist #'!B64,'OI 2022'!$K$158:$K$175)</f>
        <v>0</v>
      </c>
      <c r="Q64" s="54">
        <f>SUMIF('OI 2021'!$I$145:$I$166,'Vestas turbines hist #'!B64,'OI 2021'!$K$145:$K$166)</f>
        <v>0</v>
      </c>
      <c r="R64" s="54">
        <f>SUMIF('OI 2020'!$I$144:$I$165,'Vestas turbines hist #'!B64,'OI 2020'!$K$144:$K$165)</f>
        <v>0</v>
      </c>
      <c r="S64" s="54">
        <f>SUMIF('OI 2019'!$I$113:$I$132,'Vestas turbines hist #'!B64,'OI 2019'!$L$113:$L$132)</f>
        <v>0</v>
      </c>
      <c r="T64" s="54">
        <f>SUMIF('OI 2018'!$I$114:$I$131,'Vestas turbines hist #'!B64,'OI 2018'!$L$114:$L$131)</f>
        <v>0</v>
      </c>
      <c r="U64" s="54">
        <f>SUMIF('OI 2017'!$I$113:$I$130,'Vestas turbines hist #'!B64,'OI 2017'!$L$113:$L$130)</f>
        <v>60</v>
      </c>
      <c r="V64" s="54">
        <f>SUMIF('OI 2016'!$I$87:$I$99,'Vestas turbines hist #'!$B64,'OI 2016'!$L$87:$L$99)</f>
        <v>0</v>
      </c>
      <c r="W64" s="113">
        <f>SUMIF('OI 2015'!$I$87:$I$101,'Vestas turbines hist #'!$B64,'OI 2015'!$L$87:$L$101)</f>
        <v>0</v>
      </c>
      <c r="X64" s="54">
        <f>SUMIF('OI 2014'!$I$87:$I$101,'Vestas turbines hist #'!$B64,'OI 2014'!$L$87:$L$101)</f>
        <v>0</v>
      </c>
      <c r="Y64" s="54">
        <f>SUMIF('OI 2013'!$I$87:$I$101,'Vestas turbines hist #'!$B64,'OI 2013'!$L$87:$L$101)</f>
        <v>0</v>
      </c>
      <c r="Z64" s="54">
        <f>SUMIF('OI 2012'!$I$87:$I$101,'Vestas turbines hist #'!$B64,'OI 2012'!$L$87:$L$101)</f>
        <v>0</v>
      </c>
      <c r="AA64" s="54">
        <f>SUMIF('OI 2011'!$I$95:$I$104,'Vestas turbines hist #'!$B64,'OI 2011'!$L$95:$L$104)</f>
        <v>0</v>
      </c>
      <c r="AB64" s="54">
        <f>SUMIF('OI 2010'!$I$95:$I$107,'Vestas turbines hist #'!$B64,'OI 2010'!$L$95:$L$107)</f>
        <v>0</v>
      </c>
      <c r="AC64" s="54">
        <f>SUMIF('OI 2009'!$I$95:$I$107,'Vestas turbines hist #'!$B64,'OI 2009'!$L$95:$L$107)</f>
        <v>0</v>
      </c>
      <c r="AD64" s="42">
        <f>SUMIF('OI 2008'!$I$95:$I$107,'Vestas turbines hist #'!$B64,'OI 2008'!$L$95:$L$107)</f>
        <v>0</v>
      </c>
    </row>
    <row r="65" spans="2:30" x14ac:dyDescent="0.25">
      <c r="B65" s="8" t="s">
        <v>108</v>
      </c>
      <c r="C65" t="s">
        <v>755</v>
      </c>
      <c r="D65" s="24">
        <f t="shared" si="3"/>
        <v>3.45</v>
      </c>
      <c r="E65">
        <v>3450</v>
      </c>
      <c r="F65">
        <v>136</v>
      </c>
      <c r="G65">
        <v>2015</v>
      </c>
      <c r="H65" t="s">
        <v>752</v>
      </c>
      <c r="I65" t="s">
        <v>752</v>
      </c>
      <c r="J65" t="s">
        <v>752</v>
      </c>
      <c r="M65" s="1">
        <f t="shared" si="1"/>
        <v>1865.3539282990084</v>
      </c>
      <c r="N65" s="1"/>
      <c r="O65">
        <f>SUMIF('OI 2023'!$I$158:$I$176,'Vestas turbines hist #'!B65,'OI 2023'!$J$158:$J$176)</f>
        <v>0</v>
      </c>
      <c r="P65" s="1">
        <f>SUMIF('OI 2022'!$I$158:$I$175,'Vestas turbines hist #'!B65,'OI 2022'!$K$158:$K$175)</f>
        <v>11</v>
      </c>
      <c r="Q65" s="1">
        <f>SUMIF('OI 2021'!$I$145:$I$166,'Vestas turbines hist #'!B65,'OI 2021'!$K$145:$K$166)</f>
        <v>79</v>
      </c>
      <c r="R65" s="1">
        <f>SUMIF('OI 2020'!$I$144:$I$165,'Vestas turbines hist #'!B65,'OI 2020'!$K$144:$K$165)</f>
        <v>274</v>
      </c>
      <c r="S65" s="1">
        <f>SUMIF('OI 2019'!$I$113:$I$132,'Vestas turbines hist #'!B65,'OI 2019'!$L$113:$L$132)</f>
        <v>114.88888888888889</v>
      </c>
      <c r="T65" s="1">
        <f>SUMIF('OI 2018'!$I$114:$I$131,'Vestas turbines hist #'!B65,'OI 2018'!$L$114:$L$131)</f>
        <v>717.71789982201881</v>
      </c>
      <c r="U65" s="1">
        <f>SUMIF('OI 2017'!$I$113:$I$130,'Vestas turbines hist #'!B65,'OI 2017'!$L$113:$L$130)</f>
        <v>634.83409610983983</v>
      </c>
      <c r="V65" s="1">
        <f>SUMIF('OI 2016'!$I$87:$I$99,'Vestas turbines hist #'!$B65,'OI 2016'!$L$87:$L$99)</f>
        <v>0</v>
      </c>
      <c r="W65" s="35">
        <f>SUMIF('OI 2015'!$I$87:$I$101,'Vestas turbines hist #'!$B65,'OI 2015'!$L$87:$L$101)</f>
        <v>33.913043478260867</v>
      </c>
      <c r="X65" s="1">
        <f>SUMIF('OI 2014'!$I$87:$I$101,'Vestas turbines hist #'!$B65,'OI 2014'!$L$87:$L$101)</f>
        <v>0</v>
      </c>
      <c r="Y65" s="1">
        <f>SUMIF('OI 2013'!$I$87:$I$101,'Vestas turbines hist #'!$B65,'OI 2013'!$L$87:$L$101)</f>
        <v>0</v>
      </c>
      <c r="Z65" s="1">
        <f>SUMIF('OI 2012'!$I$87:$I$101,'Vestas turbines hist #'!$B65,'OI 2012'!$L$87:$L$101)</f>
        <v>0</v>
      </c>
      <c r="AA65" s="1">
        <f>SUMIF('OI 2011'!$I$95:$I$104,'Vestas turbines hist #'!$B65,'OI 2011'!$L$95:$L$104)</f>
        <v>0</v>
      </c>
      <c r="AB65" s="1">
        <f>SUMIF('OI 2010'!$I$95:$I$107,'Vestas turbines hist #'!$B65,'OI 2010'!$L$95:$L$107)</f>
        <v>0</v>
      </c>
      <c r="AC65" s="1">
        <f>SUMIF('OI 2009'!$I$95:$I$107,'Vestas turbines hist #'!$B65,'OI 2009'!$L$95:$L$107)</f>
        <v>0</v>
      </c>
      <c r="AD65" s="19">
        <f>SUMIF('OI 2008'!$I$95:$I$107,'Vestas turbines hist #'!$B65,'OI 2008'!$L$95:$L$107)</f>
        <v>0</v>
      </c>
    </row>
    <row r="66" spans="2:30" x14ac:dyDescent="0.25">
      <c r="B66" s="8" t="s">
        <v>118</v>
      </c>
      <c r="C66" t="s">
        <v>752</v>
      </c>
      <c r="D66" s="24">
        <f t="shared" si="3"/>
        <v>3.6</v>
      </c>
      <c r="E66">
        <v>3600</v>
      </c>
      <c r="F66">
        <v>126</v>
      </c>
      <c r="G66">
        <v>2016</v>
      </c>
      <c r="H66" t="s">
        <v>752</v>
      </c>
      <c r="I66" t="s">
        <v>752</v>
      </c>
      <c r="J66" t="s">
        <v>752</v>
      </c>
      <c r="M66" s="1">
        <f t="shared" si="1"/>
        <v>160.16666666666669</v>
      </c>
      <c r="N66" s="1"/>
      <c r="O66">
        <f>SUMIF('OI 2023'!$I$158:$I$176,'Vestas turbines hist #'!B66,'OI 2023'!$J$158:$J$176)</f>
        <v>0</v>
      </c>
      <c r="P66" s="1">
        <f>SUMIF('OI 2022'!$I$158:$I$175,'Vestas turbines hist #'!B66,'OI 2022'!$K$158:$K$175)</f>
        <v>0</v>
      </c>
      <c r="Q66" s="1">
        <f>SUMIF('OI 2021'!$I$145:$I$166,'Vestas turbines hist #'!B66,'OI 2021'!$K$145:$K$166)</f>
        <v>0</v>
      </c>
      <c r="R66" s="1">
        <f>SUMIF('OI 2020'!$I$144:$I$165,'Vestas turbines hist #'!B66,'OI 2020'!$K$144:$K$165)</f>
        <v>1</v>
      </c>
      <c r="S66" s="1">
        <f>SUMIF('OI 2019'!$I$113:$I$132,'Vestas turbines hist #'!B66,'OI 2019'!$L$113:$L$132)</f>
        <v>12</v>
      </c>
      <c r="T66" s="1">
        <f>SUMIF('OI 2018'!$I$114:$I$131,'Vestas turbines hist #'!B66,'OI 2018'!$L$114:$L$131)</f>
        <v>103</v>
      </c>
      <c r="U66" s="1">
        <f>SUMIF('OI 2017'!$I$113:$I$130,'Vestas turbines hist #'!B66,'OI 2017'!$L$113:$L$130)</f>
        <v>44.166666666666671</v>
      </c>
      <c r="V66" s="35">
        <f>SUMIF('OI 2016'!$I$87:$I$99,'Vestas turbines hist #'!$B66,'OI 2016'!$L$87:$L$99)</f>
        <v>0</v>
      </c>
      <c r="W66" s="1">
        <f>SUMIF('OI 2015'!$I$87:$I$101,'Vestas turbines hist #'!$B66,'OI 2015'!$L$87:$L$101)</f>
        <v>0</v>
      </c>
      <c r="X66" s="1">
        <f>SUMIF('OI 2014'!$I$87:$I$101,'Vestas turbines hist #'!$B66,'OI 2014'!$L$87:$L$101)</f>
        <v>0</v>
      </c>
      <c r="Y66" s="1">
        <f>SUMIF('OI 2013'!$I$87:$I$101,'Vestas turbines hist #'!$B66,'OI 2013'!$L$87:$L$101)</f>
        <v>0</v>
      </c>
      <c r="Z66" s="1">
        <f>SUMIF('OI 2012'!$I$87:$I$101,'Vestas turbines hist #'!$B66,'OI 2012'!$L$87:$L$101)</f>
        <v>0</v>
      </c>
      <c r="AA66" s="1">
        <f>SUMIF('OI 2011'!$I$95:$I$104,'Vestas turbines hist #'!$B66,'OI 2011'!$L$95:$L$104)</f>
        <v>0</v>
      </c>
      <c r="AB66" s="1">
        <f>SUMIF('OI 2010'!$I$95:$I$107,'Vestas turbines hist #'!$B66,'OI 2010'!$L$95:$L$107)</f>
        <v>0</v>
      </c>
      <c r="AC66" s="1">
        <f>SUMIF('OI 2009'!$I$95:$I$107,'Vestas turbines hist #'!$B66,'OI 2009'!$L$95:$L$107)</f>
        <v>0</v>
      </c>
      <c r="AD66" s="19">
        <f>SUMIF('OI 2008'!$I$95:$I$107,'Vestas turbines hist #'!$B66,'OI 2008'!$L$95:$L$107)</f>
        <v>0</v>
      </c>
    </row>
    <row r="67" spans="2:30" x14ac:dyDescent="0.25">
      <c r="B67" s="8" t="s">
        <v>121</v>
      </c>
      <c r="C67" t="s">
        <v>749</v>
      </c>
      <c r="D67" s="24">
        <f t="shared" si="3"/>
        <v>4</v>
      </c>
      <c r="E67">
        <v>4000</v>
      </c>
      <c r="F67">
        <v>136</v>
      </c>
      <c r="G67">
        <v>2017</v>
      </c>
      <c r="H67" t="s">
        <v>752</v>
      </c>
      <c r="I67" t="s">
        <v>752</v>
      </c>
      <c r="J67" t="s">
        <v>752</v>
      </c>
      <c r="M67" s="1">
        <f t="shared" si="1"/>
        <v>1122.7198228128461</v>
      </c>
      <c r="N67" s="1"/>
      <c r="O67">
        <f>SUMIF('OI 2023'!$I$158:$I$176,'Vestas turbines hist #'!B67,'OI 2023'!$J$158:$J$176)</f>
        <v>30</v>
      </c>
      <c r="P67" s="1">
        <f>SUMIF('OI 2022'!$I$158:$I$175,'Vestas turbines hist #'!B67,'OI 2022'!$K$158:$K$175)</f>
        <v>63</v>
      </c>
      <c r="Q67" s="1">
        <f>SUMIF('OI 2021'!$I$145:$I$166,'Vestas turbines hist #'!B67,'OI 2021'!$K$145:$K$166)</f>
        <v>79</v>
      </c>
      <c r="R67" s="1">
        <f>SUMIF('OI 2020'!$I$144:$I$165,'Vestas turbines hist #'!B67,'OI 2020'!$K$144:$K$165)</f>
        <v>221</v>
      </c>
      <c r="S67" s="1">
        <f>SUMIF('OI 2019'!$I$113:$I$132,'Vestas turbines hist #'!B67,'OI 2019'!$L$113:$L$132)</f>
        <v>237.91029900332228</v>
      </c>
      <c r="T67" s="1">
        <f>SUMIF('OI 2018'!$I$114:$I$131,'Vestas turbines hist #'!B67,'OI 2018'!$L$114:$L$131)</f>
        <v>406.8095238095238</v>
      </c>
      <c r="U67" s="35">
        <f>SUMIF('OI 2017'!$I$113:$I$130,'Vestas turbines hist #'!B67,'OI 2017'!$L$113:$L$130)</f>
        <v>85</v>
      </c>
      <c r="V67" s="1">
        <f>SUMIF('OI 2016'!$I$87:$I$99,'Vestas turbines hist #'!$B67,'OI 2016'!$L$87:$L$99)</f>
        <v>0</v>
      </c>
      <c r="W67" s="1">
        <f>SUMIF('OI 2015'!$I$87:$I$101,'Vestas turbines hist #'!$B67,'OI 2015'!$L$87:$L$101)</f>
        <v>0</v>
      </c>
      <c r="X67" s="1">
        <f>SUMIF('OI 2014'!$I$87:$I$101,'Vestas turbines hist #'!$B67,'OI 2014'!$L$87:$L$101)</f>
        <v>0</v>
      </c>
      <c r="Y67" s="1">
        <f>SUMIF('OI 2013'!$I$87:$I$101,'Vestas turbines hist #'!$B67,'OI 2013'!$L$87:$L$101)</f>
        <v>0</v>
      </c>
      <c r="Z67" s="1">
        <f>SUMIF('OI 2012'!$I$87:$I$101,'Vestas turbines hist #'!$B67,'OI 2012'!$L$87:$L$101)</f>
        <v>0</v>
      </c>
      <c r="AA67" s="1">
        <f>SUMIF('OI 2011'!$I$95:$I$104,'Vestas turbines hist #'!$B67,'OI 2011'!$L$95:$L$104)</f>
        <v>0</v>
      </c>
      <c r="AB67" s="1">
        <f>SUMIF('OI 2010'!$I$95:$I$107,'Vestas turbines hist #'!$B67,'OI 2010'!$L$95:$L$107)</f>
        <v>0</v>
      </c>
      <c r="AC67" s="1">
        <f>SUMIF('OI 2009'!$I$95:$I$107,'Vestas turbines hist #'!$B67,'OI 2009'!$L$95:$L$107)</f>
        <v>0</v>
      </c>
      <c r="AD67" s="19">
        <f>SUMIF('OI 2008'!$I$95:$I$107,'Vestas turbines hist #'!$B67,'OI 2008'!$L$95:$L$107)</f>
        <v>0</v>
      </c>
    </row>
    <row r="68" spans="2:30" x14ac:dyDescent="0.25">
      <c r="B68" s="10" t="s">
        <v>1559</v>
      </c>
      <c r="C68" s="11"/>
      <c r="D68" s="31"/>
      <c r="E68" s="11"/>
      <c r="F68" s="11"/>
      <c r="G68" s="11"/>
      <c r="H68" s="11"/>
      <c r="I68" s="11"/>
      <c r="J68" s="11"/>
      <c r="K68" s="11"/>
      <c r="L68" s="11"/>
      <c r="M68" s="1">
        <f t="shared" si="1"/>
        <v>252</v>
      </c>
      <c r="N68" s="28"/>
      <c r="O68">
        <f>SUMIF('OI 2023'!$I$158:$I$176,'Vestas turbines hist #'!B68,'OI 2023'!$J$158:$J$176)</f>
        <v>136</v>
      </c>
      <c r="P68" s="28">
        <f>SUMIF('OI 2022'!$I$158:$I$175,'Vestas turbines hist #'!B68,'OI 2022'!$K$158:$K$175)</f>
        <v>116</v>
      </c>
      <c r="Q68" s="28">
        <f>SUMIF('OI 2021'!$I$145:$I$166,'Vestas turbines hist #'!B68,'OI 2021'!$K$145:$K$166)</f>
        <v>0</v>
      </c>
      <c r="R68" s="28">
        <f>SUMIF('OI 2020'!$I$144:$I$165,'Vestas turbines hist #'!B68,'OI 2020'!$K$144:$K$165)</f>
        <v>0</v>
      </c>
      <c r="S68" s="28">
        <f>SUMIF('OI 2019'!$I$113:$I$132,'Vestas turbines hist #'!B68,'OI 2019'!$L$113:$L$132)</f>
        <v>0</v>
      </c>
      <c r="T68" s="28">
        <f>SUMIF('OI 2018'!$I$114:$I$131,'Vestas turbines hist #'!B68,'OI 2018'!$L$114:$L$131)</f>
        <v>0</v>
      </c>
      <c r="U68" s="114">
        <f>SUMIF('OI 2017'!$I$113:$I$130,'Vestas turbines hist #'!B68,'OI 2017'!$L$113:$L$130)</f>
        <v>0</v>
      </c>
      <c r="V68" s="28">
        <f>SUMIF('OI 2016'!$I$87:$I$99,'Vestas turbines hist #'!$B68,'OI 2016'!$L$87:$L$99)</f>
        <v>0</v>
      </c>
      <c r="W68" s="28">
        <f>SUMIF('OI 2015'!$I$87:$I$101,'Vestas turbines hist #'!$B68,'OI 2015'!$L$87:$L$101)</f>
        <v>0</v>
      </c>
      <c r="X68" s="28">
        <f>SUMIF('OI 2014'!$I$87:$I$101,'Vestas turbines hist #'!$B68,'OI 2014'!$L$87:$L$101)</f>
        <v>0</v>
      </c>
      <c r="Y68" s="28">
        <f>SUMIF('OI 2013'!$I$87:$I$101,'Vestas turbines hist #'!$B68,'OI 2013'!$L$87:$L$101)</f>
        <v>0</v>
      </c>
      <c r="Z68" s="28">
        <f>SUMIF('OI 2012'!$I$87:$I$101,'Vestas turbines hist #'!$B68,'OI 2012'!$L$87:$L$101)</f>
        <v>0</v>
      </c>
      <c r="AA68" s="28">
        <f>SUMIF('OI 2011'!$I$95:$I$104,'Vestas turbines hist #'!$B68,'OI 2011'!$L$95:$L$104)</f>
        <v>0</v>
      </c>
      <c r="AB68" s="28">
        <f>SUMIF('OI 2010'!$I$95:$I$107,'Vestas turbines hist #'!$B68,'OI 2010'!$L$95:$L$107)</f>
        <v>0</v>
      </c>
      <c r="AC68" s="28">
        <f>SUMIF('OI 2009'!$I$95:$I$107,'Vestas turbines hist #'!$B68,'OI 2009'!$L$95:$L$107)</f>
        <v>0</v>
      </c>
      <c r="AD68" s="20">
        <f>SUMIF('OI 2008'!$I$95:$I$107,'Vestas turbines hist #'!$B68,'OI 2008'!$L$95:$L$107)</f>
        <v>0</v>
      </c>
    </row>
    <row r="69" spans="2:30" x14ac:dyDescent="0.25">
      <c r="B69" s="13" t="s">
        <v>619</v>
      </c>
      <c r="C69" s="14" t="s">
        <v>759</v>
      </c>
      <c r="D69" s="65">
        <f t="shared" si="3"/>
        <v>4</v>
      </c>
      <c r="E69" s="14">
        <v>4000</v>
      </c>
      <c r="F69" s="14">
        <v>150</v>
      </c>
      <c r="G69" s="14">
        <v>2017</v>
      </c>
      <c r="H69" s="14" t="s">
        <v>752</v>
      </c>
      <c r="I69" s="14" t="s">
        <v>752</v>
      </c>
      <c r="J69" s="14" t="s">
        <v>752</v>
      </c>
      <c r="K69" s="14"/>
      <c r="L69" s="14"/>
      <c r="M69" s="1">
        <f t="shared" si="1"/>
        <v>3231.7619047619046</v>
      </c>
      <c r="N69" s="54"/>
      <c r="O69">
        <f>SUMIF('OI 2023'!$I$158:$I$176,'Vestas turbines hist #'!B69,'OI 2023'!$J$158:$J$176)</f>
        <v>223</v>
      </c>
      <c r="P69" s="54">
        <f>SUMIF('OI 2022'!$I$158:$I$175,'Vestas turbines hist #'!B69,'OI 2022'!$K$158:$K$175)</f>
        <v>139</v>
      </c>
      <c r="Q69" s="54">
        <f>SUMIF('OI 2021'!$I$145:$I$166,'Vestas turbines hist #'!B69,'OI 2021'!$K$145:$K$166)</f>
        <v>520</v>
      </c>
      <c r="R69" s="54">
        <f>SUMIF('OI 2020'!$I$144:$I$165,'Vestas turbines hist #'!B69,'OI 2020'!$K$144:$K$165)</f>
        <v>1025.9047619047619</v>
      </c>
      <c r="S69" s="54">
        <f>SUMIF('OI 2019'!$I$113:$I$132,'Vestas turbines hist #'!B69,'OI 2019'!$L$113:$L$132)</f>
        <v>1056.8571428571429</v>
      </c>
      <c r="T69" s="54">
        <f>SUMIF('OI 2018'!$I$114:$I$131,'Vestas turbines hist #'!B69,'OI 2018'!$L$114:$L$131)</f>
        <v>267</v>
      </c>
      <c r="U69" s="113">
        <f>SUMIF('OI 2017'!$I$113:$I$130,'Vestas turbines hist #'!B69,'OI 2017'!$L$113:$L$130)</f>
        <v>0</v>
      </c>
      <c r="V69" s="54">
        <f>SUMIF('OI 2016'!$I$87:$I$99,'Vestas turbines hist #'!$B69,'OI 2016'!$L$87:$L$99)</f>
        <v>0</v>
      </c>
      <c r="W69" s="54">
        <f>SUMIF('OI 2015'!$I$87:$I$101,'Vestas turbines hist #'!$B69,'OI 2015'!$L$87:$L$101)</f>
        <v>0</v>
      </c>
      <c r="X69" s="54">
        <f>SUMIF('OI 2014'!$I$87:$I$101,'Vestas turbines hist #'!$B69,'OI 2014'!$L$87:$L$101)</f>
        <v>0</v>
      </c>
      <c r="Y69" s="54">
        <f>SUMIF('OI 2013'!$I$87:$I$101,'Vestas turbines hist #'!$B69,'OI 2013'!$L$87:$L$101)</f>
        <v>0</v>
      </c>
      <c r="Z69" s="54">
        <f>SUMIF('OI 2012'!$I$87:$I$101,'Vestas turbines hist #'!$B69,'OI 2012'!$L$87:$L$101)</f>
        <v>0</v>
      </c>
      <c r="AA69" s="54">
        <f>SUMIF('OI 2011'!$I$95:$I$104,'Vestas turbines hist #'!$B69,'OI 2011'!$L$95:$L$104)</f>
        <v>0</v>
      </c>
      <c r="AB69" s="54">
        <f>SUMIF('OI 2010'!$I$95:$I$107,'Vestas turbines hist #'!$B69,'OI 2010'!$L$95:$L$107)</f>
        <v>0</v>
      </c>
      <c r="AC69" s="54">
        <f>SUMIF('OI 2009'!$I$95:$I$107,'Vestas turbines hist #'!$B69,'OI 2009'!$L$95:$L$107)</f>
        <v>0</v>
      </c>
      <c r="AD69" s="42">
        <f>SUMIF('OI 2008'!$I$95:$I$107,'Vestas turbines hist #'!$B69,'OI 2008'!$L$95:$L$107)</f>
        <v>0</v>
      </c>
    </row>
    <row r="70" spans="2:30" x14ac:dyDescent="0.25">
      <c r="B70" s="8" t="s">
        <v>1401</v>
      </c>
      <c r="D70" s="24"/>
      <c r="M70" s="1">
        <f t="shared" si="1"/>
        <v>29</v>
      </c>
      <c r="N70" s="1"/>
      <c r="O70">
        <f>SUMIF('OI 2023'!$I$158:$I$176,'Vestas turbines hist #'!B70,'OI 2023'!$J$158:$J$176)</f>
        <v>0</v>
      </c>
      <c r="P70" s="1">
        <f>SUMIF('OI 2022'!$I$158:$I$175,'Vestas turbines hist #'!B70,'OI 2022'!$K$158:$K$175)</f>
        <v>0</v>
      </c>
      <c r="Q70" s="1">
        <f>SUMIF('OI 2021'!$I$145:$I$166,'Vestas turbines hist #'!B70,'OI 2021'!$K$145:$K$166)</f>
        <v>0</v>
      </c>
      <c r="R70" s="35">
        <f>SUMIF('OI 2020'!$I$144:$I$165,'Vestas turbines hist #'!B70,'OI 2020'!$K$144:$K$165)</f>
        <v>29</v>
      </c>
      <c r="S70" s="1">
        <f>SUMIF('OI 2019'!$I$113:$I$132,'Vestas turbines hist #'!B70,'OI 2019'!$L$113:$L$132)</f>
        <v>0</v>
      </c>
      <c r="T70" s="1">
        <f>SUMIF('OI 2018'!$I$114:$I$131,'Vestas turbines hist #'!B70,'OI 2018'!$L$114:$L$131)</f>
        <v>0</v>
      </c>
      <c r="U70" s="1">
        <f>SUMIF('OI 2017'!$I$113:$I$130,'Vestas turbines hist #'!B70,'OI 2017'!$L$113:$L$130)</f>
        <v>0</v>
      </c>
      <c r="V70" s="1">
        <f>SUMIF('OI 2016'!$I$87:$I$99,'Vestas turbines hist #'!$B70,'OI 2016'!$L$87:$L$99)</f>
        <v>0</v>
      </c>
      <c r="W70" s="1">
        <f>SUMIF('OI 2015'!$I$87:$I$101,'Vestas turbines hist #'!$B70,'OI 2015'!$L$87:$L$101)</f>
        <v>0</v>
      </c>
      <c r="X70" s="1">
        <f>SUMIF('OI 2014'!$I$87:$I$101,'Vestas turbines hist #'!$B70,'OI 2014'!$L$87:$L$101)</f>
        <v>0</v>
      </c>
      <c r="Y70" s="1">
        <f>SUMIF('OI 2013'!$I$87:$I$101,'Vestas turbines hist #'!$B70,'OI 2013'!$L$87:$L$101)</f>
        <v>0</v>
      </c>
      <c r="Z70" s="1">
        <f>SUMIF('OI 2012'!$I$87:$I$101,'Vestas turbines hist #'!$B70,'OI 2012'!$L$87:$L$101)</f>
        <v>0</v>
      </c>
      <c r="AA70" s="1">
        <f>SUMIF('OI 2011'!$I$95:$I$104,'Vestas turbines hist #'!$B70,'OI 2011'!$L$95:$L$104)</f>
        <v>0</v>
      </c>
      <c r="AB70" s="1">
        <f>SUMIF('OI 2010'!$I$95:$I$107,'Vestas turbines hist #'!$B70,'OI 2010'!$L$95:$L$107)</f>
        <v>0</v>
      </c>
      <c r="AC70" s="1">
        <f>SUMIF('OI 2009'!$I$95:$I$107,'Vestas turbines hist #'!$B70,'OI 2009'!$L$95:$L$107)</f>
        <v>0</v>
      </c>
      <c r="AD70" s="19">
        <f>SUMIF('OI 2008'!$I$95:$I$107,'Vestas turbines hist #'!$B70,'OI 2008'!$L$95:$L$107)</f>
        <v>0</v>
      </c>
    </row>
    <row r="71" spans="2:30" x14ac:dyDescent="0.25">
      <c r="B71" s="8" t="s">
        <v>1400</v>
      </c>
      <c r="D71" s="24"/>
      <c r="M71" s="1">
        <f t="shared" ref="M71:M82" si="4">SUM(O71:AE71)</f>
        <v>1758</v>
      </c>
      <c r="N71" s="1"/>
      <c r="O71">
        <f>SUMIF('OI 2023'!$I$158:$I$176,'Vestas turbines hist #'!B71,'OI 2023'!$J$158:$J$176)</f>
        <v>668</v>
      </c>
      <c r="P71" s="1">
        <f>SUMIF('OI 2022'!$I$158:$I$175,'Vestas turbines hist #'!B71,'OI 2022'!$K$158:$K$175)</f>
        <v>742</v>
      </c>
      <c r="Q71" s="1">
        <f>SUMIF('OI 2021'!$I$145:$I$166,'Vestas turbines hist #'!B71,'OI 2021'!$K$145:$K$166)</f>
        <v>257</v>
      </c>
      <c r="R71" s="35">
        <f>SUMIF('OI 2020'!$I$144:$I$165,'Vestas turbines hist #'!B71,'OI 2020'!$K$144:$K$165)</f>
        <v>91</v>
      </c>
      <c r="S71" s="1">
        <f>SUMIF('OI 2019'!$I$113:$I$132,'Vestas turbines hist #'!B71,'OI 2019'!$L$113:$L$132)</f>
        <v>0</v>
      </c>
      <c r="T71" s="1">
        <f>SUMIF('OI 2018'!$I$114:$I$131,'Vestas turbines hist #'!B71,'OI 2018'!$L$114:$L$131)</f>
        <v>0</v>
      </c>
      <c r="U71" s="1">
        <f>SUMIF('OI 2017'!$I$113:$I$130,'Vestas turbines hist #'!B71,'OI 2017'!$L$113:$L$130)</f>
        <v>0</v>
      </c>
      <c r="V71" s="1">
        <f>SUMIF('OI 2016'!$I$87:$I$99,'Vestas turbines hist #'!$B71,'OI 2016'!$L$87:$L$99)</f>
        <v>0</v>
      </c>
      <c r="W71" s="1">
        <f>SUMIF('OI 2015'!$I$87:$I$101,'Vestas turbines hist #'!$B71,'OI 2015'!$L$87:$L$101)</f>
        <v>0</v>
      </c>
      <c r="X71" s="1">
        <f>SUMIF('OI 2014'!$I$87:$I$101,'Vestas turbines hist #'!$B71,'OI 2014'!$L$87:$L$101)</f>
        <v>0</v>
      </c>
      <c r="Y71" s="1">
        <f>SUMIF('OI 2013'!$I$87:$I$101,'Vestas turbines hist #'!$B71,'OI 2013'!$L$87:$L$101)</f>
        <v>0</v>
      </c>
      <c r="Z71" s="1">
        <f>SUMIF('OI 2012'!$I$87:$I$101,'Vestas turbines hist #'!$B71,'OI 2012'!$L$87:$L$101)</f>
        <v>0</v>
      </c>
      <c r="AA71" s="1">
        <f>SUMIF('OI 2011'!$I$95:$I$104,'Vestas turbines hist #'!$B71,'OI 2011'!$L$95:$L$104)</f>
        <v>0</v>
      </c>
      <c r="AB71" s="1">
        <f>SUMIF('OI 2010'!$I$95:$I$107,'Vestas turbines hist #'!$B71,'OI 2010'!$L$95:$L$107)</f>
        <v>0</v>
      </c>
      <c r="AC71" s="1">
        <f>SUMIF('OI 2009'!$I$95:$I$107,'Vestas turbines hist #'!$B71,'OI 2009'!$L$95:$L$107)</f>
        <v>0</v>
      </c>
      <c r="AD71" s="19">
        <f>SUMIF('OI 2008'!$I$95:$I$107,'Vestas turbines hist #'!$B71,'OI 2008'!$L$95:$L$107)</f>
        <v>0</v>
      </c>
    </row>
    <row r="72" spans="2:30" x14ac:dyDescent="0.25">
      <c r="B72" s="10" t="s">
        <v>1234</v>
      </c>
      <c r="C72" s="11"/>
      <c r="D72" s="31"/>
      <c r="E72" s="11"/>
      <c r="F72" s="11"/>
      <c r="G72" s="11"/>
      <c r="H72" s="11"/>
      <c r="I72" s="11"/>
      <c r="J72" s="11"/>
      <c r="K72" s="11"/>
      <c r="L72" s="11"/>
      <c r="M72" s="1">
        <f t="shared" si="4"/>
        <v>80.964285714285722</v>
      </c>
      <c r="N72" s="28"/>
      <c r="O72">
        <f>SUMIF('OI 2023'!$I$158:$I$176,'Vestas turbines hist #'!B72,'OI 2023'!$J$158:$J$176)</f>
        <v>1</v>
      </c>
      <c r="P72" s="28">
        <f>SUMIF('OI 2022'!$I$158:$I$175,'Vestas turbines hist #'!B72,'OI 2022'!$K$158:$K$175)</f>
        <v>0</v>
      </c>
      <c r="Q72" s="28">
        <f>SUMIF('OI 2021'!$I$145:$I$166,'Vestas turbines hist #'!B72,'OI 2021'!$K$145:$K$166)</f>
        <v>7</v>
      </c>
      <c r="R72" s="28">
        <f>SUMIF('OI 2020'!$I$144:$I$165,'Vestas turbines hist #'!B72,'OI 2020'!$K$144:$K$165)</f>
        <v>22</v>
      </c>
      <c r="S72" s="114">
        <f>SUMIF('OI 2019'!$I$113:$I$132,'Vestas turbines hist #'!B72,'OI 2019'!$L$113:$L$132)</f>
        <v>50.964285714285715</v>
      </c>
      <c r="T72" s="28">
        <f>SUMIF('OI 2018'!$I$114:$I$131,'Vestas turbines hist #'!B72,'OI 2018'!$L$114:$L$131)</f>
        <v>0</v>
      </c>
      <c r="U72" s="28">
        <f>SUMIF('OI 2017'!$I$113:$I$130,'Vestas turbines hist #'!B72,'OI 2017'!$L$113:$L$130)</f>
        <v>0</v>
      </c>
      <c r="V72" s="28">
        <f>SUMIF('OI 2016'!$I$87:$I$99,'Vestas turbines hist #'!$B72,'OI 2016'!$L$87:$L$99)</f>
        <v>0</v>
      </c>
      <c r="W72" s="28">
        <f>SUMIF('OI 2015'!$I$87:$I$101,'Vestas turbines hist #'!$B72,'OI 2015'!$L$87:$L$101)</f>
        <v>0</v>
      </c>
      <c r="X72" s="28">
        <f>SUMIF('OI 2014'!$I$87:$I$101,'Vestas turbines hist #'!$B72,'OI 2014'!$L$87:$L$101)</f>
        <v>0</v>
      </c>
      <c r="Y72" s="28">
        <f>SUMIF('OI 2013'!$I$87:$I$101,'Vestas turbines hist #'!$B72,'OI 2013'!$L$87:$L$101)</f>
        <v>0</v>
      </c>
      <c r="Z72" s="28">
        <f>SUMIF('OI 2012'!$I$87:$I$101,'Vestas turbines hist #'!$B72,'OI 2012'!$L$87:$L$101)</f>
        <v>0</v>
      </c>
      <c r="AA72" s="28">
        <f>SUMIF('OI 2011'!$I$95:$I$104,'Vestas turbines hist #'!$B72,'OI 2011'!$L$95:$L$104)</f>
        <v>0</v>
      </c>
      <c r="AB72" s="28">
        <f>SUMIF('OI 2010'!$I$95:$I$107,'Vestas turbines hist #'!$B72,'OI 2010'!$L$95:$L$107)</f>
        <v>0</v>
      </c>
      <c r="AC72" s="28">
        <f>SUMIF('OI 2009'!$I$95:$I$107,'Vestas turbines hist #'!$B72,'OI 2009'!$L$95:$L$107)</f>
        <v>0</v>
      </c>
      <c r="AD72" s="20">
        <f>SUMIF('OI 2008'!$I$95:$I$107,'Vestas turbines hist #'!$B72,'OI 2008'!$L$95:$L$107)</f>
        <v>0</v>
      </c>
    </row>
    <row r="73" spans="2:30" x14ac:dyDescent="0.25">
      <c r="B73" s="13" t="s">
        <v>1357</v>
      </c>
      <c r="C73" s="14"/>
      <c r="D73" s="65"/>
      <c r="E73" s="14"/>
      <c r="F73" s="14"/>
      <c r="G73" s="14"/>
      <c r="H73" s="14"/>
      <c r="I73" s="14"/>
      <c r="J73" s="14"/>
      <c r="K73" s="14"/>
      <c r="L73" s="14"/>
      <c r="M73" s="1">
        <f t="shared" si="4"/>
        <v>141</v>
      </c>
      <c r="N73" s="54"/>
      <c r="O73">
        <f>SUMIF('OI 2023'!$I$158:$I$176,'Vestas turbines hist #'!B73,'OI 2023'!$J$158:$J$176)</f>
        <v>0</v>
      </c>
      <c r="P73" s="54">
        <f>SUMIF('OI 2022'!$I$158:$I$175,'Vestas turbines hist #'!B73,'OI 2022'!$K$158:$K$175)</f>
        <v>0</v>
      </c>
      <c r="Q73" s="54">
        <f>SUMIF('OI 2021'!$I$145:$I$166,'Vestas turbines hist #'!B73,'OI 2021'!$K$145:$K$166)</f>
        <v>0</v>
      </c>
      <c r="R73" s="113">
        <f>SUMIF('OI 2020'!$I$144:$I$165,'Vestas turbines hist #'!B73,'OI 2020'!$K$144:$K$165)</f>
        <v>141</v>
      </c>
      <c r="S73" s="54">
        <f>SUMIF('OI 2019'!$I$113:$I$132,'Vestas turbines hist #'!B73,'OI 2019'!$L$113:$L$132)</f>
        <v>0</v>
      </c>
      <c r="T73" s="54">
        <f>SUMIF('OI 2018'!$I$114:$I$131,'Vestas turbines hist #'!B73,'OI 2018'!$L$114:$L$131)</f>
        <v>0</v>
      </c>
      <c r="U73" s="54">
        <f>SUMIF('OI 2017'!$I$113:$I$130,'Vestas turbines hist #'!B73,'OI 2017'!$L$113:$L$130)</f>
        <v>0</v>
      </c>
      <c r="V73" s="54">
        <f>SUMIF('OI 2016'!$I$87:$I$99,'Vestas turbines hist #'!$B73,'OI 2016'!$L$87:$L$99)</f>
        <v>0</v>
      </c>
      <c r="W73" s="54">
        <f>SUMIF('OI 2015'!$I$87:$I$101,'Vestas turbines hist #'!$B73,'OI 2015'!$L$87:$L$101)</f>
        <v>0</v>
      </c>
      <c r="X73" s="54">
        <f>SUMIF('OI 2014'!$I$87:$I$101,'Vestas turbines hist #'!$B73,'OI 2014'!$L$87:$L$101)</f>
        <v>0</v>
      </c>
      <c r="Y73" s="54">
        <f>SUMIF('OI 2013'!$I$87:$I$101,'Vestas turbines hist #'!$B73,'OI 2013'!$L$87:$L$101)</f>
        <v>0</v>
      </c>
      <c r="Z73" s="54">
        <f>SUMIF('OI 2012'!$I$87:$I$101,'Vestas turbines hist #'!$B73,'OI 2012'!$L$87:$L$101)</f>
        <v>0</v>
      </c>
      <c r="AA73" s="54">
        <f>SUMIF('OI 2011'!$I$95:$I$104,'Vestas turbines hist #'!$B73,'OI 2011'!$L$95:$L$104)</f>
        <v>0</v>
      </c>
      <c r="AB73" s="54">
        <f>SUMIF('OI 2010'!$I$95:$I$107,'Vestas turbines hist #'!$B73,'OI 2010'!$L$95:$L$107)</f>
        <v>0</v>
      </c>
      <c r="AC73" s="54">
        <f>SUMIF('OI 2009'!$I$95:$I$107,'Vestas turbines hist #'!$B73,'OI 2009'!$L$95:$L$107)</f>
        <v>0</v>
      </c>
      <c r="AD73" s="42">
        <f>SUMIF('OI 2008'!$I$95:$I$107,'Vestas turbines hist #'!$B73,'OI 2008'!$L$95:$L$107)</f>
        <v>0</v>
      </c>
    </row>
    <row r="74" spans="2:30" x14ac:dyDescent="0.25">
      <c r="B74" s="10" t="s">
        <v>1565</v>
      </c>
      <c r="C74" s="11"/>
      <c r="D74" s="31"/>
      <c r="E74" s="11"/>
      <c r="F74" s="11"/>
      <c r="G74" s="11"/>
      <c r="H74" s="11"/>
      <c r="I74" s="11"/>
      <c r="J74" s="11"/>
      <c r="K74" s="11"/>
      <c r="L74" s="11"/>
      <c r="M74" s="1">
        <f t="shared" si="4"/>
        <v>51</v>
      </c>
      <c r="N74" s="28"/>
      <c r="O74">
        <f>SUMIF('OI 2023'!$I$158:$I$176,'Vestas turbines hist #'!B74,'OI 2023'!$J$158:$J$176)</f>
        <v>36</v>
      </c>
      <c r="P74" s="28">
        <f>SUMIF('OI 2022'!$I$158:$I$175,'Vestas turbines hist #'!B74,'OI 2022'!$K$158:$K$175)</f>
        <v>15</v>
      </c>
      <c r="Q74" s="28">
        <f>SUMIF('OI 2021'!$I$145:$I$166,'Vestas turbines hist #'!B74,'OI 2021'!$K$145:$K$166)</f>
        <v>0</v>
      </c>
      <c r="R74" s="28">
        <f>SUMIF('OI 2020'!$I$144:$I$165,'Vestas turbines hist #'!B74,'OI 2020'!$K$144:$K$165)</f>
        <v>0</v>
      </c>
      <c r="S74" s="28">
        <f>SUMIF('OI 2019'!$I$113:$I$132,'Vestas turbines hist #'!B74,'OI 2019'!$L$113:$L$132)</f>
        <v>0</v>
      </c>
      <c r="T74" s="28">
        <f>SUMIF('OI 2018'!$I$114:$I$131,'Vestas turbines hist #'!B74,'OI 2018'!$L$114:$L$131)</f>
        <v>0</v>
      </c>
      <c r="U74" s="28">
        <f>SUMIF('OI 2017'!$I$113:$I$130,'Vestas turbines hist #'!B74,'OI 2017'!$L$113:$L$130)</f>
        <v>0</v>
      </c>
      <c r="V74" s="28">
        <f>SUMIF('OI 2016'!$I$87:$I$99,'Vestas turbines hist #'!$B74,'OI 2016'!$L$87:$L$99)</f>
        <v>0</v>
      </c>
      <c r="W74" s="28">
        <f>SUMIF('OI 2015'!$I$87:$I$101,'Vestas turbines hist #'!$B74,'OI 2015'!$L$87:$L$101)</f>
        <v>0</v>
      </c>
      <c r="X74" s="28">
        <f>SUMIF('OI 2014'!$I$87:$I$101,'Vestas turbines hist #'!$B74,'OI 2014'!$L$87:$L$101)</f>
        <v>0</v>
      </c>
      <c r="Y74" s="28">
        <f>SUMIF('OI 2013'!$I$87:$I$101,'Vestas turbines hist #'!$B74,'OI 2013'!$L$87:$L$101)</f>
        <v>0</v>
      </c>
      <c r="Z74" s="28">
        <f>SUMIF('OI 2012'!$I$87:$I$101,'Vestas turbines hist #'!$B74,'OI 2012'!$L$87:$L$101)</f>
        <v>0</v>
      </c>
      <c r="AA74" s="28">
        <f>SUMIF('OI 2011'!$I$95:$I$104,'Vestas turbines hist #'!$B74,'OI 2011'!$L$95:$L$104)</f>
        <v>0</v>
      </c>
      <c r="AB74" s="28">
        <f>SUMIF('OI 2010'!$I$95:$I$107,'Vestas turbines hist #'!$B74,'OI 2010'!$L$95:$L$107)</f>
        <v>0</v>
      </c>
      <c r="AC74" s="28">
        <f>SUMIF('OI 2009'!$I$95:$I$107,'Vestas turbines hist #'!$B74,'OI 2009'!$L$95:$L$107)</f>
        <v>0</v>
      </c>
      <c r="AD74" s="20">
        <f>SUMIF('OI 2008'!$I$95:$I$107,'Vestas turbines hist #'!$B74,'OI 2008'!$L$95:$L$107)</f>
        <v>0</v>
      </c>
    </row>
    <row r="75" spans="2:30" x14ac:dyDescent="0.25">
      <c r="B75" s="13" t="s">
        <v>1220</v>
      </c>
      <c r="C75" s="14"/>
      <c r="D75" s="65"/>
      <c r="E75" s="14"/>
      <c r="F75" s="14"/>
      <c r="G75" s="14"/>
      <c r="H75" s="14"/>
      <c r="I75" s="14"/>
      <c r="J75" s="14"/>
      <c r="K75" s="14"/>
      <c r="L75" s="14"/>
      <c r="M75" s="1">
        <f t="shared" si="4"/>
        <v>280</v>
      </c>
      <c r="N75" s="54"/>
      <c r="O75">
        <f>SUMIF('OI 2023'!$I$158:$I$176,'Vestas turbines hist #'!B75,'OI 2023'!$J$158:$J$176)</f>
        <v>16</v>
      </c>
      <c r="P75" s="54">
        <f>SUMIF('OI 2022'!$I$158:$I$175,'Vestas turbines hist #'!B75,'OI 2022'!$K$158:$K$175)</f>
        <v>0</v>
      </c>
      <c r="Q75" s="54">
        <f>SUMIF('OI 2021'!$I$145:$I$166,'Vestas turbines hist #'!B75,'OI 2021'!$K$145:$K$166)</f>
        <v>40</v>
      </c>
      <c r="R75" s="54">
        <f>SUMIF('OI 2020'!$I$144:$I$165,'Vestas turbines hist #'!B75,'OI 2020'!$K$144:$K$165)</f>
        <v>179</v>
      </c>
      <c r="S75" s="113">
        <f>SUMIF('OI 2019'!$I$113:$I$132,'Vestas turbines hist #'!B75,'OI 2019'!$L$113:$L$132)</f>
        <v>45</v>
      </c>
      <c r="T75" s="54">
        <f>SUMIF('OI 2018'!$I$114:$I$131,'Vestas turbines hist #'!B75,'OI 2018'!$L$114:$L$131)</f>
        <v>0</v>
      </c>
      <c r="U75" s="54">
        <f>SUMIF('OI 2017'!$I$113:$I$130,'Vestas turbines hist #'!B75,'OI 2017'!$L$113:$L$130)</f>
        <v>0</v>
      </c>
      <c r="V75" s="54">
        <f>SUMIF('OI 2016'!$I$87:$I$99,'Vestas turbines hist #'!$B75,'OI 2016'!$L$87:$L$99)</f>
        <v>0</v>
      </c>
      <c r="W75" s="54">
        <f>SUMIF('OI 2015'!$I$87:$I$101,'Vestas turbines hist #'!$B75,'OI 2015'!$L$87:$L$101)</f>
        <v>0</v>
      </c>
      <c r="X75" s="54">
        <f>SUMIF('OI 2014'!$I$87:$I$101,'Vestas turbines hist #'!$B75,'OI 2014'!$L$87:$L$101)</f>
        <v>0</v>
      </c>
      <c r="Y75" s="54">
        <f>SUMIF('OI 2013'!$I$87:$I$101,'Vestas turbines hist #'!$B75,'OI 2013'!$L$87:$L$101)</f>
        <v>0</v>
      </c>
      <c r="Z75" s="54">
        <f>SUMIF('OI 2012'!$I$87:$I$101,'Vestas turbines hist #'!$B75,'OI 2012'!$L$87:$L$101)</f>
        <v>0</v>
      </c>
      <c r="AA75" s="54">
        <f>SUMIF('OI 2011'!$I$95:$I$104,'Vestas turbines hist #'!$B75,'OI 2011'!$L$95:$L$104)</f>
        <v>0</v>
      </c>
      <c r="AB75" s="54">
        <f>SUMIF('OI 2010'!$I$95:$I$107,'Vestas turbines hist #'!$B75,'OI 2010'!$L$95:$L$107)</f>
        <v>0</v>
      </c>
      <c r="AC75" s="54">
        <f>SUMIF('OI 2009'!$I$95:$I$107,'Vestas turbines hist #'!$B75,'OI 2009'!$L$95:$L$107)</f>
        <v>0</v>
      </c>
      <c r="AD75" s="42">
        <f>SUMIF('OI 2008'!$I$95:$I$107,'Vestas turbines hist #'!$B75,'OI 2008'!$L$95:$L$107)</f>
        <v>0</v>
      </c>
    </row>
    <row r="76" spans="2:30" x14ac:dyDescent="0.25">
      <c r="B76" s="8" t="s">
        <v>1404</v>
      </c>
      <c r="D76" s="24"/>
      <c r="M76" s="1">
        <f t="shared" si="4"/>
        <v>341</v>
      </c>
      <c r="N76" s="1"/>
      <c r="O76">
        <f>SUMIF('OI 2023'!$I$158:$I$176,'Vestas turbines hist #'!B76,'OI 2023'!$J$158:$J$176)</f>
        <v>0</v>
      </c>
      <c r="P76" s="1">
        <f>SUMIF('OI 2022'!$I$158:$I$175,'Vestas turbines hist #'!B76,'OI 2022'!$K$158:$K$175)</f>
        <v>0</v>
      </c>
      <c r="Q76" s="1">
        <f>SUMIF('OI 2021'!$I$145:$I$166,'Vestas turbines hist #'!B76,'OI 2021'!$K$145:$K$166)</f>
        <v>303</v>
      </c>
      <c r="R76" s="35">
        <f>SUMIF('OI 2020'!$I$144:$I$165,'Vestas turbines hist #'!B76,'OI 2020'!$K$144:$K$165)</f>
        <v>38</v>
      </c>
      <c r="S76" s="1">
        <f>SUMIF('OI 2019'!$I$113:$I$132,'Vestas turbines hist #'!B76,'OI 2019'!$L$113:$L$132)</f>
        <v>0</v>
      </c>
      <c r="T76" s="1">
        <f>SUMIF('OI 2018'!$I$114:$I$131,'Vestas turbines hist #'!B76,'OI 2018'!$L$114:$L$131)</f>
        <v>0</v>
      </c>
      <c r="U76" s="1">
        <f>SUMIF('OI 2017'!$I$113:$I$130,'Vestas turbines hist #'!B76,'OI 2017'!$L$113:$L$130)</f>
        <v>0</v>
      </c>
      <c r="V76" s="1">
        <f>SUMIF('OI 2016'!$I$87:$I$99,'Vestas turbines hist #'!$B76,'OI 2016'!$L$87:$L$99)</f>
        <v>0</v>
      </c>
      <c r="W76" s="1">
        <f>SUMIF('OI 2015'!$I$87:$I$101,'Vestas turbines hist #'!$B76,'OI 2015'!$L$87:$L$101)</f>
        <v>0</v>
      </c>
      <c r="X76" s="1">
        <f>SUMIF('OI 2014'!$I$87:$I$101,'Vestas turbines hist #'!$B76,'OI 2014'!$L$87:$L$101)</f>
        <v>0</v>
      </c>
      <c r="Y76" s="1">
        <f>SUMIF('OI 2013'!$I$87:$I$101,'Vestas turbines hist #'!$B76,'OI 2013'!$L$87:$L$101)</f>
        <v>0</v>
      </c>
      <c r="Z76" s="1">
        <f>SUMIF('OI 2012'!$I$87:$I$101,'Vestas turbines hist #'!$B76,'OI 2012'!$L$87:$L$101)</f>
        <v>0</v>
      </c>
      <c r="AA76" s="1">
        <f>SUMIF('OI 2011'!$I$95:$I$104,'Vestas turbines hist #'!$B76,'OI 2011'!$L$95:$L$104)</f>
        <v>0</v>
      </c>
      <c r="AB76" s="1">
        <f>SUMIF('OI 2010'!$I$95:$I$107,'Vestas turbines hist #'!$B76,'OI 2010'!$L$95:$L$107)</f>
        <v>0</v>
      </c>
      <c r="AC76" s="1">
        <f>SUMIF('OI 2009'!$I$95:$I$107,'Vestas turbines hist #'!$B76,'OI 2009'!$L$95:$L$107)</f>
        <v>0</v>
      </c>
      <c r="AD76" s="19">
        <f>SUMIF('OI 2008'!$I$95:$I$107,'Vestas turbines hist #'!$B76,'OI 2008'!$L$95:$L$107)</f>
        <v>0</v>
      </c>
    </row>
    <row r="77" spans="2:30" x14ac:dyDescent="0.25">
      <c r="B77" s="10" t="s">
        <v>1486</v>
      </c>
      <c r="C77" s="11"/>
      <c r="D77" s="31"/>
      <c r="E77" s="11"/>
      <c r="F77" s="11"/>
      <c r="G77" s="11"/>
      <c r="H77" s="11"/>
      <c r="I77" s="11"/>
      <c r="J77" s="11"/>
      <c r="K77" s="11"/>
      <c r="L77" s="11"/>
      <c r="M77" s="1">
        <f t="shared" si="4"/>
        <v>849</v>
      </c>
      <c r="N77" s="28"/>
      <c r="O77">
        <f>SUMIF('OI 2023'!$I$158:$I$176,'Vestas turbines hist #'!B77,'OI 2023'!$J$158:$J$176)</f>
        <v>281</v>
      </c>
      <c r="P77" s="28">
        <f>SUMIF('OI 2022'!$I$158:$I$175,'Vestas turbines hist #'!B77,'OI 2022'!$K$158:$K$175)</f>
        <v>392</v>
      </c>
      <c r="Q77" s="28">
        <f>SUMIF('OI 2021'!$I$145:$I$166,'Vestas turbines hist #'!B77,'OI 2021'!$K$145:$K$166)</f>
        <v>176</v>
      </c>
      <c r="R77" s="28">
        <f>SUMIF('OI 2020'!$I$144:$I$165,'Vestas turbines hist #'!B77,'OI 2020'!$K$144:$K$165)</f>
        <v>0</v>
      </c>
      <c r="S77" s="28">
        <f>SUMIF('OI 2019'!$I$113:$I$132,'Vestas turbines hist #'!B77,'OI 2019'!$L$113:$L$132)</f>
        <v>0</v>
      </c>
      <c r="T77" s="28">
        <f>SUMIF('OI 2018'!$I$114:$I$131,'Vestas turbines hist #'!B77,'OI 2018'!$L$114:$L$131)</f>
        <v>0</v>
      </c>
      <c r="U77" s="28">
        <f>SUMIF('OI 2017'!$I$113:$I$130,'Vestas turbines hist #'!B77,'OI 2017'!$L$113:$L$130)</f>
        <v>0</v>
      </c>
      <c r="V77" s="28">
        <f>SUMIF('OI 2016'!$I$87:$I$99,'Vestas turbines hist #'!$B77,'OI 2016'!$L$87:$L$99)</f>
        <v>0</v>
      </c>
      <c r="W77" s="28">
        <f>SUMIF('OI 2015'!$I$87:$I$101,'Vestas turbines hist #'!$B77,'OI 2015'!$L$87:$L$101)</f>
        <v>0</v>
      </c>
      <c r="X77" s="28">
        <f>SUMIF('OI 2014'!$I$87:$I$101,'Vestas turbines hist #'!$B77,'OI 2014'!$L$87:$L$101)</f>
        <v>0</v>
      </c>
      <c r="Y77" s="28">
        <f>SUMIF('OI 2013'!$I$87:$I$101,'Vestas turbines hist #'!$B77,'OI 2013'!$L$87:$L$101)</f>
        <v>0</v>
      </c>
      <c r="Z77" s="28">
        <f>SUMIF('OI 2012'!$I$87:$I$101,'Vestas turbines hist #'!$B77,'OI 2012'!$L$87:$L$101)</f>
        <v>0</v>
      </c>
      <c r="AA77" s="28">
        <f>SUMIF('OI 2011'!$I$95:$I$104,'Vestas turbines hist #'!$B77,'OI 2011'!$L$95:$L$104)</f>
        <v>0</v>
      </c>
      <c r="AB77" s="28">
        <f>SUMIF('OI 2010'!$I$95:$I$107,'Vestas turbines hist #'!$B77,'OI 2010'!$L$95:$L$107)</f>
        <v>0</v>
      </c>
      <c r="AC77" s="28">
        <f>SUMIF('OI 2009'!$I$95:$I$107,'Vestas turbines hist #'!$B77,'OI 2009'!$L$95:$L$107)</f>
        <v>0</v>
      </c>
      <c r="AD77" s="20">
        <f>SUMIF('OI 2008'!$I$95:$I$107,'Vestas turbines hist #'!$B77,'OI 2008'!$L$95:$L$107)</f>
        <v>0</v>
      </c>
    </row>
    <row r="78" spans="2:30" x14ac:dyDescent="0.25">
      <c r="B78" s="13" t="s">
        <v>810</v>
      </c>
      <c r="C78" s="14" t="s">
        <v>757</v>
      </c>
      <c r="D78" s="65">
        <f t="shared" si="3"/>
        <v>7</v>
      </c>
      <c r="E78" s="14">
        <v>7000</v>
      </c>
      <c r="F78" s="14">
        <v>164</v>
      </c>
      <c r="G78" s="14">
        <v>2014</v>
      </c>
      <c r="H78" s="14" t="s">
        <v>752</v>
      </c>
      <c r="I78" s="14" t="s">
        <v>752</v>
      </c>
      <c r="J78" s="14" t="s">
        <v>752</v>
      </c>
      <c r="K78" s="14"/>
      <c r="L78" s="14"/>
      <c r="M78" s="1">
        <f t="shared" si="4"/>
        <v>0</v>
      </c>
      <c r="N78" s="54"/>
      <c r="O78">
        <f>SUMIF('OI 2023'!$I$158:$I$176,'Vestas turbines hist #'!B78,'OI 2023'!$J$158:$J$176)</f>
        <v>0</v>
      </c>
      <c r="P78" s="54">
        <f>SUMIF('OI 2022'!$I$158:$I$175,'Vestas turbines hist #'!B78,'OI 2022'!$K$158:$K$175)</f>
        <v>0</v>
      </c>
      <c r="Q78" s="54">
        <f>SUMIF('OI 2021'!$I$145:$I$166,'Vestas turbines hist #'!B78,'OI 2021'!$K$145:$K$166)</f>
        <v>0</v>
      </c>
      <c r="R78" s="54">
        <f>SUMIF('OI 2020'!$I$144:$I$165,'Vestas turbines hist #'!B78,'OI 2020'!$K$144:$K$165)</f>
        <v>0</v>
      </c>
      <c r="S78" s="54">
        <f>SUMIF('OI 2019'!$I$113:$I$132,'Vestas turbines hist #'!B78,'OI 2019'!$L$113:$L$132)</f>
        <v>0</v>
      </c>
      <c r="T78" s="54">
        <f>SUMIF('OI 2018'!$I$114:$I$131,'Vestas turbines hist #'!B78,'OI 2018'!$L$114:$L$131)</f>
        <v>0</v>
      </c>
      <c r="U78" s="54">
        <f>SUMIF('OI 2017'!$I$113:$I$130,'Vestas turbines hist #'!B78,'OI 2017'!$L$113:$L$130)</f>
        <v>0</v>
      </c>
      <c r="V78" s="54">
        <f>SUMIF('OI 2016'!$I$87:$I$99,'Vestas turbines hist #'!$B78,'OI 2016'!$L$87:$L$99)</f>
        <v>0</v>
      </c>
      <c r="W78" s="54">
        <f>SUMIF('OI 2015'!$I$87:$I$101,'Vestas turbines hist #'!$B78,'OI 2015'!$L$87:$L$101)</f>
        <v>0</v>
      </c>
      <c r="X78" s="54">
        <f>SUMIF('OI 2014'!$I$87:$I$101,'Vestas turbines hist #'!$B78,'OI 2014'!$L$87:$L$101)</f>
        <v>0</v>
      </c>
      <c r="Y78" s="54">
        <f>SUMIF('OI 2013'!$I$87:$I$101,'Vestas turbines hist #'!$B78,'OI 2013'!$L$87:$L$101)</f>
        <v>0</v>
      </c>
      <c r="Z78" s="54">
        <f>SUMIF('OI 2012'!$I$87:$I$101,'Vestas turbines hist #'!$B78,'OI 2012'!$L$87:$L$101)</f>
        <v>0</v>
      </c>
      <c r="AA78" s="54">
        <f>SUMIF('OI 2011'!$I$95:$I$104,'Vestas turbines hist #'!$B78,'OI 2011'!$L$95:$L$104)</f>
        <v>0</v>
      </c>
      <c r="AB78" s="54">
        <f>SUMIF('OI 2010'!$I$95:$I$107,'Vestas turbines hist #'!$B78,'OI 2010'!$L$95:$L$107)</f>
        <v>0</v>
      </c>
      <c r="AC78" s="54">
        <f>SUMIF('OI 2009'!$I$95:$I$107,'Vestas turbines hist #'!$B78,'OI 2009'!$L$95:$L$107)</f>
        <v>0</v>
      </c>
      <c r="AD78" s="42">
        <f>SUMIF('OI 2008'!$I$95:$I$107,'Vestas turbines hist #'!$B78,'OI 2008'!$L$95:$L$107)</f>
        <v>0</v>
      </c>
    </row>
    <row r="79" spans="2:30" x14ac:dyDescent="0.25">
      <c r="B79" s="8" t="s">
        <v>811</v>
      </c>
      <c r="C79" t="s">
        <v>757</v>
      </c>
      <c r="D79" s="24">
        <f t="shared" si="3"/>
        <v>8</v>
      </c>
      <c r="E79">
        <v>8000</v>
      </c>
      <c r="F79">
        <v>164</v>
      </c>
      <c r="G79">
        <v>2014</v>
      </c>
      <c r="H79">
        <v>375</v>
      </c>
      <c r="I79" t="s">
        <v>752</v>
      </c>
      <c r="J79" t="s">
        <v>752</v>
      </c>
      <c r="M79" s="1">
        <f t="shared" si="4"/>
        <v>0</v>
      </c>
      <c r="N79" s="1"/>
      <c r="O79">
        <f>SUMIF('OI 2023'!$I$158:$I$176,'Vestas turbines hist #'!B79,'OI 2023'!$J$158:$J$176)</f>
        <v>0</v>
      </c>
      <c r="P79" s="1">
        <f>SUMIF('OI 2022'!$I$158:$I$175,'Vestas turbines hist #'!B79,'OI 2022'!$K$158:$K$175)</f>
        <v>0</v>
      </c>
      <c r="Q79" s="1">
        <f>SUMIF('OI 2021'!$I$145:$I$166,'Vestas turbines hist #'!B79,'OI 2021'!$K$145:$K$166)</f>
        <v>0</v>
      </c>
      <c r="R79" s="1">
        <f>SUMIF('OI 2020'!$I$144:$I$165,'Vestas turbines hist #'!B79,'OI 2020'!$K$144:$K$165)</f>
        <v>0</v>
      </c>
      <c r="S79" s="1">
        <f>SUMIF('OI 2019'!$I$113:$I$132,'Vestas turbines hist #'!B79,'OI 2019'!$L$113:$L$132)</f>
        <v>0</v>
      </c>
      <c r="T79" s="1">
        <f>SUMIF('OI 2018'!$I$114:$I$131,'Vestas turbines hist #'!B79,'OI 2018'!$L$114:$L$131)</f>
        <v>0</v>
      </c>
      <c r="U79" s="1">
        <f>SUMIF('OI 2017'!$I$113:$I$130,'Vestas turbines hist #'!B79,'OI 2017'!$L$113:$L$130)</f>
        <v>0</v>
      </c>
      <c r="V79" s="1">
        <f>SUMIF('OI 2016'!$I$87:$I$99,'Vestas turbines hist #'!$B79,'OI 2016'!$L$87:$L$99)</f>
        <v>0</v>
      </c>
      <c r="W79" s="1">
        <f>SUMIF('OI 2015'!$I$87:$I$101,'Vestas turbines hist #'!$B79,'OI 2015'!$L$87:$L$101)</f>
        <v>0</v>
      </c>
      <c r="X79" s="1">
        <f>SUMIF('OI 2014'!$I$87:$I$101,'Vestas turbines hist #'!$B79,'OI 2014'!$L$87:$L$101)</f>
        <v>0</v>
      </c>
      <c r="Y79" s="1">
        <f>SUMIF('OI 2013'!$I$87:$I$101,'Vestas turbines hist #'!$B79,'OI 2013'!$L$87:$L$101)</f>
        <v>0</v>
      </c>
      <c r="Z79" s="1">
        <f>SUMIF('OI 2012'!$I$87:$I$101,'Vestas turbines hist #'!$B79,'OI 2012'!$L$87:$L$101)</f>
        <v>0</v>
      </c>
      <c r="AA79" s="1">
        <f>SUMIF('OI 2011'!$I$95:$I$104,'Vestas turbines hist #'!$B79,'OI 2011'!$L$95:$L$104)</f>
        <v>0</v>
      </c>
      <c r="AB79" s="1">
        <f>SUMIF('OI 2010'!$I$95:$I$107,'Vestas turbines hist #'!$B79,'OI 2010'!$L$95:$L$107)</f>
        <v>0</v>
      </c>
      <c r="AC79" s="1">
        <f>SUMIF('OI 2009'!$I$95:$I$107,'Vestas turbines hist #'!$B79,'OI 2009'!$L$95:$L$107)</f>
        <v>0</v>
      </c>
      <c r="AD79" s="19">
        <f>SUMIF('OI 2008'!$I$95:$I$107,'Vestas turbines hist #'!$B79,'OI 2008'!$L$95:$L$107)</f>
        <v>0</v>
      </c>
    </row>
    <row r="80" spans="2:30" x14ac:dyDescent="0.25">
      <c r="B80" s="10" t="s">
        <v>1545</v>
      </c>
      <c r="C80" s="11"/>
      <c r="D80" s="31"/>
      <c r="E80" s="11"/>
      <c r="F80" s="11"/>
      <c r="G80" s="11"/>
      <c r="H80" s="11"/>
      <c r="I80" s="11"/>
      <c r="J80" s="11"/>
      <c r="K80" s="11"/>
      <c r="L80" s="11"/>
      <c r="M80" s="1">
        <f t="shared" si="4"/>
        <v>6</v>
      </c>
      <c r="N80" s="28"/>
      <c r="O80">
        <f>SUMIF('OI 2023'!$I$158:$I$176,'Vestas turbines hist #'!B80,'OI 2023'!$J$158:$J$176)</f>
        <v>0</v>
      </c>
      <c r="P80" s="28">
        <f>SUMIF('OI 2022'!$I$158:$I$175,'Vestas turbines hist #'!B80,'OI 2022'!$K$158:$K$175)</f>
        <v>6</v>
      </c>
      <c r="Q80" s="28">
        <f>SUMIF('OI 2021'!$I$145:$I$166,'Vestas turbines hist #'!B80,'OI 2021'!$K$145:$K$166)</f>
        <v>0</v>
      </c>
      <c r="R80" s="28">
        <f>SUMIF('OI 2020'!$I$144:$I$165,'Vestas turbines hist #'!B80,'OI 2020'!$K$144:$K$165)</f>
        <v>0</v>
      </c>
      <c r="S80" s="28">
        <f>SUMIF('OI 2019'!$I$113:$I$132,'Vestas turbines hist #'!B80,'OI 2019'!$L$113:$L$132)</f>
        <v>0</v>
      </c>
      <c r="T80" s="28">
        <f>SUMIF('OI 2018'!$I$114:$I$131,'Vestas turbines hist #'!B80,'OI 2018'!$L$114:$L$131)</f>
        <v>0</v>
      </c>
      <c r="U80" s="28">
        <f>SUMIF('OI 2017'!$I$113:$I$130,'Vestas turbines hist #'!B80,'OI 2017'!$L$113:$L$130)</f>
        <v>0</v>
      </c>
      <c r="V80" s="28">
        <f>SUMIF('OI 2016'!$I$87:$I$99,'Vestas turbines hist #'!$B80,'OI 2016'!$L$87:$L$99)</f>
        <v>0</v>
      </c>
      <c r="W80" s="28">
        <f>SUMIF('OI 2015'!$I$87:$I$101,'Vestas turbines hist #'!$B80,'OI 2015'!$L$87:$L$101)</f>
        <v>0</v>
      </c>
      <c r="X80" s="28">
        <f>SUMIF('OI 2014'!$I$87:$I$101,'Vestas turbines hist #'!$B80,'OI 2014'!$L$87:$L$101)</f>
        <v>0</v>
      </c>
      <c r="Y80" s="28">
        <f>SUMIF('OI 2013'!$I$87:$I$101,'Vestas turbines hist #'!$B80,'OI 2013'!$L$87:$L$101)</f>
        <v>0</v>
      </c>
      <c r="Z80" s="28">
        <f>SUMIF('OI 2012'!$I$87:$I$101,'Vestas turbines hist #'!$B80,'OI 2012'!$L$87:$L$101)</f>
        <v>0</v>
      </c>
      <c r="AA80" s="28">
        <f>SUMIF('OI 2011'!$I$95:$I$104,'Vestas turbines hist #'!$B80,'OI 2011'!$L$95:$L$104)</f>
        <v>0</v>
      </c>
      <c r="AB80" s="28">
        <f>SUMIF('OI 2010'!$I$95:$I$107,'Vestas turbines hist #'!$B80,'OI 2010'!$L$95:$L$107)</f>
        <v>0</v>
      </c>
      <c r="AC80" s="28">
        <f>SUMIF('OI 2009'!$I$95:$I$107,'Vestas turbines hist #'!$B80,'OI 2009'!$L$95:$L$107)</f>
        <v>0</v>
      </c>
      <c r="AD80" s="20">
        <f>SUMIF('OI 2008'!$I$95:$I$107,'Vestas turbines hist #'!$B80,'OI 2008'!$L$95:$L$107)</f>
        <v>0</v>
      </c>
    </row>
    <row r="81" spans="2:35" x14ac:dyDescent="0.25">
      <c r="B81" s="32" t="s">
        <v>1481</v>
      </c>
      <c r="C81" s="95"/>
      <c r="D81" s="95"/>
      <c r="E81" s="95"/>
      <c r="F81" s="95"/>
      <c r="G81" s="95"/>
      <c r="H81" s="95"/>
      <c r="I81" s="95"/>
      <c r="J81" s="95"/>
      <c r="K81" s="95"/>
      <c r="L81" s="95"/>
      <c r="M81" s="1">
        <f t="shared" si="4"/>
        <v>164</v>
      </c>
      <c r="N81" s="115"/>
      <c r="O81">
        <f>SUMIF('OI 2023'!$I$158:$I$176,'Vestas turbines hist #'!B81,'OI 2023'!$J$158:$J$176)</f>
        <v>25</v>
      </c>
      <c r="P81" s="115">
        <f>SUMIF('OI 2022'!$I$158:$I$175,'Vestas turbines hist #'!B81,'OI 2022'!$K$158:$K$175)</f>
        <v>62</v>
      </c>
      <c r="Q81" s="115">
        <f>SUMIF('OI 2021'!$I$145:$I$166,'Vestas turbines hist #'!B81,'OI 2021'!$K$145:$K$166)</f>
        <v>77</v>
      </c>
      <c r="R81" s="115">
        <f>SUMIF('OI 2020'!$I$144:$I$165,'Vestas turbines hist #'!B81,'OI 2020'!$K$144:$K$165)</f>
        <v>0</v>
      </c>
      <c r="S81" s="115">
        <f>SUMIF('OI 2019'!$I$113:$I$132,'Vestas turbines hist #'!B81,'OI 2019'!$L$113:$L$132)</f>
        <v>0</v>
      </c>
      <c r="T81" s="115">
        <f>SUMIF('OI 2018'!$I$114:$I$131,'Vestas turbines hist #'!B81,'OI 2018'!$L$114:$L$131)</f>
        <v>0</v>
      </c>
      <c r="U81" s="115">
        <f>SUMIF('OI 2017'!$I$113:$I$130,'Vestas turbines hist #'!B81,'OI 2017'!$L$113:$L$130)</f>
        <v>0</v>
      </c>
      <c r="V81" s="115">
        <f>SUMIF('OI 2016'!$I$87:$I$99,'Vestas turbines hist #'!$B81,'OI 2016'!$L$87:$L$99)</f>
        <v>0</v>
      </c>
      <c r="W81" s="115">
        <f>SUMIF('OI 2015'!$I$87:$I$101,'Vestas turbines hist #'!$B81,'OI 2015'!$L$87:$L$101)</f>
        <v>0</v>
      </c>
      <c r="X81" s="115">
        <f>SUMIF('OI 2014'!$I$87:$I$101,'Vestas turbines hist #'!$B81,'OI 2014'!$L$87:$L$101)</f>
        <v>0</v>
      </c>
      <c r="Y81" s="115">
        <f>SUMIF('OI 2013'!$I$87:$I$101,'Vestas turbines hist #'!$B81,'OI 2013'!$L$87:$L$101)</f>
        <v>0</v>
      </c>
      <c r="Z81" s="115">
        <f>SUMIF('OI 2012'!$I$87:$I$101,'Vestas turbines hist #'!$B81,'OI 2012'!$L$87:$L$101)</f>
        <v>0</v>
      </c>
      <c r="AA81" s="115">
        <f>SUMIF('OI 2011'!$I$95:$I$104,'Vestas turbines hist #'!$B81,'OI 2011'!$L$95:$L$104)</f>
        <v>0</v>
      </c>
      <c r="AB81" s="115">
        <f>SUMIF('OI 2010'!$I$95:$I$107,'Vestas turbines hist #'!$B81,'OI 2010'!$L$95:$L$107)</f>
        <v>0</v>
      </c>
      <c r="AC81" s="115">
        <f>SUMIF('OI 2009'!$I$95:$I$107,'Vestas turbines hist #'!$B81,'OI 2009'!$L$95:$L$107)</f>
        <v>0</v>
      </c>
      <c r="AD81" s="96">
        <f>SUMIF('OI 2008'!$I$95:$I$107,'Vestas turbines hist #'!$B81,'OI 2008'!$L$95:$L$107)</f>
        <v>0</v>
      </c>
    </row>
    <row r="82" spans="2:35" x14ac:dyDescent="0.25">
      <c r="B82" s="8" t="s">
        <v>1776</v>
      </c>
      <c r="M82" s="1">
        <f t="shared" si="4"/>
        <v>192</v>
      </c>
      <c r="O82">
        <f>SUMIF('OI 2023'!$I$158:$I$176,'Vestas turbines hist #'!B82,'OI 2023'!$J$158:$J$176)</f>
        <v>192</v>
      </c>
      <c r="P82" s="115">
        <f>SUMIF('OI 2022'!$I$158:$I$175,'Vestas turbines hist #'!B82,'OI 2022'!$K$158:$K$175)</f>
        <v>0</v>
      </c>
      <c r="Q82" s="115">
        <f>SUMIF('OI 2021'!$I$145:$I$166,'Vestas turbines hist #'!B82,'OI 2021'!$K$145:$K$166)</f>
        <v>0</v>
      </c>
      <c r="R82" s="115">
        <f>SUMIF('OI 2020'!$I$144:$I$165,'Vestas turbines hist #'!B82,'OI 2020'!$K$144:$K$165)</f>
        <v>0</v>
      </c>
      <c r="S82" s="115">
        <f>SUMIF('OI 2019'!$I$113:$I$132,'Vestas turbines hist #'!B82,'OI 2019'!$L$113:$L$132)</f>
        <v>0</v>
      </c>
      <c r="T82" s="115">
        <f>SUMIF('OI 2018'!$I$114:$I$131,'Vestas turbines hist #'!B82,'OI 2018'!$L$114:$L$131)</f>
        <v>0</v>
      </c>
      <c r="U82" s="115">
        <f>SUMIF('OI 2017'!$I$113:$I$130,'Vestas turbines hist #'!B82,'OI 2017'!$L$113:$L$130)</f>
        <v>0</v>
      </c>
      <c r="V82" s="115">
        <f>SUMIF('OI 2016'!$I$87:$I$99,'Vestas turbines hist #'!$B82,'OI 2016'!$L$87:$L$99)</f>
        <v>0</v>
      </c>
      <c r="W82" s="115">
        <f>SUMIF('OI 2015'!$I$87:$I$101,'Vestas turbines hist #'!$B82,'OI 2015'!$L$87:$L$101)</f>
        <v>0</v>
      </c>
      <c r="X82" s="115">
        <f>SUMIF('OI 2014'!$I$87:$I$101,'Vestas turbines hist #'!$B82,'OI 2014'!$L$87:$L$101)</f>
        <v>0</v>
      </c>
      <c r="Y82" s="115">
        <f>SUMIF('OI 2013'!$I$87:$I$101,'Vestas turbines hist #'!$B82,'OI 2013'!$L$87:$L$101)</f>
        <v>0</v>
      </c>
      <c r="Z82" s="115">
        <f>SUMIF('OI 2012'!$I$87:$I$101,'Vestas turbines hist #'!$B82,'OI 2012'!$L$87:$L$101)</f>
        <v>0</v>
      </c>
      <c r="AA82" s="115">
        <f>SUMIF('OI 2011'!$I$95:$I$104,'Vestas turbines hist #'!$B82,'OI 2011'!$L$95:$L$104)</f>
        <v>0</v>
      </c>
      <c r="AB82" s="115">
        <f>SUMIF('OI 2010'!$I$95:$I$107,'Vestas turbines hist #'!$B82,'OI 2010'!$L$95:$L$107)</f>
        <v>0</v>
      </c>
      <c r="AC82" s="115">
        <f>SUMIF('OI 2009'!$I$95:$I$107,'Vestas turbines hist #'!$B82,'OI 2009'!$L$95:$L$107)</f>
        <v>0</v>
      </c>
      <c r="AD82" s="96">
        <f>SUMIF('OI 2008'!$I$95:$I$107,'Vestas turbines hist #'!$B82,'OI 2008'!$L$95:$L$107)</f>
        <v>0</v>
      </c>
    </row>
    <row r="93" spans="2:35" x14ac:dyDescent="0.25">
      <c r="B93" s="3" t="s">
        <v>400</v>
      </c>
      <c r="C93" s="3"/>
      <c r="D93" s="3"/>
      <c r="E93" s="3"/>
      <c r="F93" s="3"/>
      <c r="G93" s="3"/>
      <c r="H93" s="3"/>
      <c r="I93" s="3"/>
      <c r="J93" s="3"/>
      <c r="K93" s="3"/>
      <c r="L93" s="3"/>
      <c r="M93" s="3"/>
      <c r="N93" s="3"/>
      <c r="O93" s="3"/>
      <c r="P93" s="92">
        <f t="shared" ref="P93:S93" si="5">SUM(P6:P81)</f>
        <v>1721</v>
      </c>
      <c r="Q93" s="92">
        <f t="shared" si="5"/>
        <v>2334.090909090909</v>
      </c>
      <c r="R93" s="92">
        <f t="shared" si="5"/>
        <v>3328.9047619047619</v>
      </c>
      <c r="S93" s="92">
        <f t="shared" si="5"/>
        <v>3551.8880736441401</v>
      </c>
      <c r="T93" s="92">
        <f>SUM(T6:T81)</f>
        <v>3496.9929773379431</v>
      </c>
      <c r="U93" s="92">
        <f t="shared" ref="U93:AD93" si="6">SUM(U6:U81)</f>
        <v>3155.5703719113326</v>
      </c>
      <c r="V93" s="92">
        <f t="shared" si="6"/>
        <v>2794.5732103645146</v>
      </c>
      <c r="W93" s="92">
        <f t="shared" si="6"/>
        <v>2621.9378516657998</v>
      </c>
      <c r="X93" s="92">
        <f t="shared" si="6"/>
        <v>1920.1907308377895</v>
      </c>
      <c r="Y93" s="92">
        <f t="shared" si="6"/>
        <v>1863.7020202020201</v>
      </c>
      <c r="Z93" s="92">
        <f t="shared" si="6"/>
        <v>723</v>
      </c>
      <c r="AA93" s="92">
        <f t="shared" si="6"/>
        <v>1695.7777777777778</v>
      </c>
      <c r="AB93" s="92">
        <f t="shared" si="6"/>
        <v>1929</v>
      </c>
      <c r="AC93" s="92">
        <f t="shared" si="6"/>
        <v>614</v>
      </c>
      <c r="AD93" s="92">
        <f t="shared" si="6"/>
        <v>583</v>
      </c>
    </row>
    <row r="94" spans="2:35" x14ac:dyDescent="0.25">
      <c r="T94" s="1"/>
      <c r="U94" s="1"/>
      <c r="V94" s="1"/>
      <c r="W94" s="1"/>
      <c r="X94" s="1"/>
      <c r="Y94" s="1"/>
      <c r="Z94" s="1"/>
      <c r="AA94" s="1"/>
      <c r="AB94" s="1"/>
      <c r="AC94" s="1"/>
      <c r="AD94" s="1"/>
    </row>
    <row r="95" spans="2:35" ht="15.75" thickBot="1" x14ac:dyDescent="0.3">
      <c r="AG95" t="s">
        <v>1700</v>
      </c>
    </row>
    <row r="96" spans="2:35" x14ac:dyDescent="0.25">
      <c r="O96" s="3">
        <v>2023</v>
      </c>
      <c r="P96" s="3">
        <v>2022</v>
      </c>
      <c r="Q96" s="3">
        <v>2021</v>
      </c>
      <c r="R96" s="3">
        <v>2020</v>
      </c>
      <c r="S96" s="3">
        <v>2019</v>
      </c>
      <c r="T96" s="3">
        <v>2018</v>
      </c>
      <c r="U96" s="3">
        <v>2017</v>
      </c>
      <c r="V96" s="3">
        <v>2016</v>
      </c>
      <c r="W96" s="3">
        <v>2015</v>
      </c>
      <c r="X96" s="3">
        <v>2014</v>
      </c>
      <c r="Y96" s="3">
        <v>2013</v>
      </c>
      <c r="Z96" s="3">
        <v>2012</v>
      </c>
      <c r="AA96" s="3">
        <v>2011</v>
      </c>
      <c r="AB96" s="3">
        <v>2010</v>
      </c>
      <c r="AC96" s="3">
        <v>2009</v>
      </c>
      <c r="AD96" s="3">
        <v>2008</v>
      </c>
      <c r="AE96" s="131" t="s">
        <v>1637</v>
      </c>
      <c r="AI96" t="s">
        <v>1695</v>
      </c>
    </row>
    <row r="97" spans="2:35" ht="15.75" thickBot="1" x14ac:dyDescent="0.3">
      <c r="B97" t="s">
        <v>946</v>
      </c>
      <c r="O97" s="1">
        <f t="shared" ref="O97:AC112" si="7">SUMIF($B$24:$B$90,$B97&amp;"*",O$24:O$90)</f>
        <v>0</v>
      </c>
      <c r="P97" s="1">
        <f t="shared" si="7"/>
        <v>0</v>
      </c>
      <c r="Q97" s="1">
        <f t="shared" si="7"/>
        <v>0</v>
      </c>
      <c r="R97" s="1">
        <f t="shared" si="7"/>
        <v>0</v>
      </c>
      <c r="S97" s="1">
        <f t="shared" si="7"/>
        <v>0</v>
      </c>
      <c r="T97" s="1">
        <f t="shared" si="7"/>
        <v>0</v>
      </c>
      <c r="U97" s="1">
        <f t="shared" si="7"/>
        <v>0</v>
      </c>
      <c r="V97" s="1">
        <f t="shared" si="7"/>
        <v>0</v>
      </c>
      <c r="W97" s="1">
        <f t="shared" si="7"/>
        <v>0</v>
      </c>
      <c r="X97" s="1">
        <f t="shared" si="7"/>
        <v>364.70588235294116</v>
      </c>
      <c r="Y97" s="1">
        <f t="shared" si="7"/>
        <v>0</v>
      </c>
      <c r="Z97" s="1">
        <f t="shared" si="7"/>
        <v>0</v>
      </c>
      <c r="AA97" s="1">
        <f t="shared" si="7"/>
        <v>0</v>
      </c>
      <c r="AB97" s="1">
        <f t="shared" si="7"/>
        <v>115</v>
      </c>
      <c r="AC97" s="1">
        <f t="shared" si="7"/>
        <v>0</v>
      </c>
      <c r="AD97" s="1">
        <f>SUMIF($B$24:$B$90,$B97&amp;"*",AD$24:AD$90)</f>
        <v>237</v>
      </c>
      <c r="AE97" s="132">
        <f t="shared" ref="AE97:AE114" si="8">SUM(P97:AD97)</f>
        <v>716.70588235294122</v>
      </c>
      <c r="AG97">
        <v>2000</v>
      </c>
    </row>
    <row r="98" spans="2:35" ht="15.75" thickBot="1" x14ac:dyDescent="0.3">
      <c r="B98" t="s">
        <v>947</v>
      </c>
      <c r="O98" s="1">
        <f t="shared" si="7"/>
        <v>0</v>
      </c>
      <c r="P98" s="1">
        <f t="shared" si="7"/>
        <v>0</v>
      </c>
      <c r="Q98" s="1">
        <f t="shared" si="7"/>
        <v>0</v>
      </c>
      <c r="R98" s="1">
        <f t="shared" si="7"/>
        <v>0</v>
      </c>
      <c r="S98" s="1">
        <f t="shared" si="7"/>
        <v>0</v>
      </c>
      <c r="T98" s="1">
        <f t="shared" si="7"/>
        <v>0</v>
      </c>
      <c r="U98" s="1">
        <f t="shared" si="7"/>
        <v>0</v>
      </c>
      <c r="V98" s="1">
        <f t="shared" si="7"/>
        <v>0</v>
      </c>
      <c r="W98" s="1">
        <f t="shared" si="7"/>
        <v>0</v>
      </c>
      <c r="X98" s="125">
        <f t="shared" si="7"/>
        <v>34</v>
      </c>
      <c r="Y98" s="126">
        <f t="shared" si="7"/>
        <v>0</v>
      </c>
      <c r="Z98" s="126">
        <f t="shared" si="7"/>
        <v>47</v>
      </c>
      <c r="AA98" s="126">
        <f t="shared" si="7"/>
        <v>73</v>
      </c>
      <c r="AB98" s="126">
        <f t="shared" si="7"/>
        <v>57</v>
      </c>
      <c r="AC98" s="124">
        <f t="shared" si="7"/>
        <v>88</v>
      </c>
      <c r="AD98" s="126">
        <f t="shared" ref="AD98:AD114" si="9">SUMIF($B$24:$B$90,$B98&amp;"*",AD$24:AD$90)</f>
        <v>0</v>
      </c>
      <c r="AE98" s="132">
        <f t="shared" si="8"/>
        <v>299</v>
      </c>
      <c r="AG98">
        <v>2000</v>
      </c>
    </row>
    <row r="99" spans="2:35" ht="15.75" thickBot="1" x14ac:dyDescent="0.3">
      <c r="B99" t="s">
        <v>948</v>
      </c>
      <c r="O99" s="1">
        <f t="shared" si="7"/>
        <v>0</v>
      </c>
      <c r="P99" s="1">
        <f t="shared" si="7"/>
        <v>0</v>
      </c>
      <c r="Q99" s="1">
        <f t="shared" si="7"/>
        <v>2</v>
      </c>
      <c r="R99" s="1">
        <f t="shared" si="7"/>
        <v>1</v>
      </c>
      <c r="S99" s="1">
        <f t="shared" si="7"/>
        <v>0</v>
      </c>
      <c r="T99" s="1">
        <f t="shared" si="7"/>
        <v>0</v>
      </c>
      <c r="U99" s="1">
        <f t="shared" si="7"/>
        <v>0</v>
      </c>
      <c r="V99" s="127">
        <f t="shared" si="7"/>
        <v>40</v>
      </c>
      <c r="W99" s="128">
        <f t="shared" si="7"/>
        <v>78</v>
      </c>
      <c r="X99" s="128">
        <f t="shared" si="7"/>
        <v>82</v>
      </c>
      <c r="Y99" s="128">
        <f t="shared" si="7"/>
        <v>245.5</v>
      </c>
      <c r="Z99" s="128">
        <f t="shared" si="7"/>
        <v>359</v>
      </c>
      <c r="AA99" s="128">
        <f t="shared" si="7"/>
        <v>908.77777777777783</v>
      </c>
      <c r="AB99" s="128">
        <f t="shared" si="7"/>
        <v>1184</v>
      </c>
      <c r="AC99" s="128">
        <f t="shared" si="7"/>
        <v>416</v>
      </c>
      <c r="AD99" s="126">
        <f t="shared" si="9"/>
        <v>346</v>
      </c>
      <c r="AE99" s="132">
        <f t="shared" si="8"/>
        <v>3662.2777777777778</v>
      </c>
      <c r="AG99">
        <v>2002</v>
      </c>
    </row>
    <row r="100" spans="2:35" ht="15.75" thickBot="1" x14ac:dyDescent="0.3">
      <c r="B100" t="s">
        <v>949</v>
      </c>
      <c r="O100" s="1">
        <f t="shared" si="7"/>
        <v>40</v>
      </c>
      <c r="P100" s="125">
        <f t="shared" si="7"/>
        <v>2</v>
      </c>
      <c r="Q100" s="126">
        <f t="shared" si="7"/>
        <v>86</v>
      </c>
      <c r="R100" s="126">
        <f t="shared" si="7"/>
        <v>124</v>
      </c>
      <c r="S100" s="126">
        <f t="shared" si="7"/>
        <v>0</v>
      </c>
      <c r="T100" s="126">
        <f t="shared" si="7"/>
        <v>141</v>
      </c>
      <c r="U100" s="126">
        <f t="shared" si="7"/>
        <v>72</v>
      </c>
      <c r="V100" s="126">
        <f t="shared" si="7"/>
        <v>119</v>
      </c>
      <c r="W100" s="126">
        <f t="shared" si="7"/>
        <v>556</v>
      </c>
      <c r="X100" s="126">
        <f t="shared" si="7"/>
        <v>659</v>
      </c>
      <c r="Y100" s="126">
        <f t="shared" si="7"/>
        <v>681.11111111111109</v>
      </c>
      <c r="Z100" s="126">
        <f t="shared" si="7"/>
        <v>202</v>
      </c>
      <c r="AA100" s="126">
        <f t="shared" si="7"/>
        <v>406</v>
      </c>
      <c r="AB100" s="126">
        <f t="shared" si="7"/>
        <v>252</v>
      </c>
      <c r="AC100" s="124">
        <f t="shared" si="7"/>
        <v>50</v>
      </c>
      <c r="AD100" s="1">
        <f t="shared" si="9"/>
        <v>0</v>
      </c>
      <c r="AE100" s="132">
        <f t="shared" si="8"/>
        <v>3350.1111111111113</v>
      </c>
      <c r="AG100">
        <v>2009</v>
      </c>
      <c r="AI100" t="s">
        <v>1699</v>
      </c>
    </row>
    <row r="101" spans="2:35" ht="15.75" thickBot="1" x14ac:dyDescent="0.3">
      <c r="B101" t="s">
        <v>950</v>
      </c>
      <c r="O101" s="1">
        <f t="shared" si="7"/>
        <v>0</v>
      </c>
      <c r="P101" s="127">
        <f t="shared" si="7"/>
        <v>8</v>
      </c>
      <c r="Q101" s="128">
        <f t="shared" si="7"/>
        <v>25</v>
      </c>
      <c r="R101" s="128">
        <f t="shared" si="7"/>
        <v>138</v>
      </c>
      <c r="S101" s="128">
        <f t="shared" si="7"/>
        <v>17</v>
      </c>
      <c r="T101" s="128">
        <f t="shared" si="7"/>
        <v>0</v>
      </c>
      <c r="U101" s="128">
        <f t="shared" si="7"/>
        <v>31.714975845410628</v>
      </c>
      <c r="V101" s="129">
        <f t="shared" si="7"/>
        <v>8.9855072463768106</v>
      </c>
      <c r="W101" s="1">
        <f t="shared" si="7"/>
        <v>0</v>
      </c>
      <c r="X101" s="1">
        <f t="shared" si="7"/>
        <v>0</v>
      </c>
      <c r="Y101" s="1">
        <f t="shared" si="7"/>
        <v>0</v>
      </c>
      <c r="Z101" s="1">
        <f t="shared" si="7"/>
        <v>0</v>
      </c>
      <c r="AA101" s="1">
        <f t="shared" si="7"/>
        <v>0</v>
      </c>
      <c r="AB101" s="1">
        <f t="shared" si="7"/>
        <v>0</v>
      </c>
      <c r="AC101" s="1">
        <f t="shared" si="7"/>
        <v>0</v>
      </c>
      <c r="AD101" s="1">
        <f t="shared" si="9"/>
        <v>0</v>
      </c>
      <c r="AE101" s="132">
        <f t="shared" si="8"/>
        <v>228.70048309178745</v>
      </c>
      <c r="AG101">
        <v>2013</v>
      </c>
      <c r="AI101" t="s">
        <v>1698</v>
      </c>
    </row>
    <row r="102" spans="2:35" ht="15.75" thickBot="1" x14ac:dyDescent="0.3">
      <c r="B102" t="s">
        <v>951</v>
      </c>
      <c r="O102" s="1">
        <f t="shared" si="7"/>
        <v>259</v>
      </c>
      <c r="P102" s="127">
        <f t="shared" si="7"/>
        <v>66</v>
      </c>
      <c r="Q102" s="128">
        <f t="shared" si="7"/>
        <v>119.09090909090909</v>
      </c>
      <c r="R102" s="128">
        <f t="shared" si="7"/>
        <v>278</v>
      </c>
      <c r="S102" s="128">
        <f t="shared" si="7"/>
        <v>321</v>
      </c>
      <c r="T102" s="128">
        <f t="shared" si="7"/>
        <v>543.27272727272725</v>
      </c>
      <c r="U102" s="128">
        <f t="shared" si="7"/>
        <v>1449.8636363636363</v>
      </c>
      <c r="V102" s="128">
        <f t="shared" si="7"/>
        <v>1354.3636363636363</v>
      </c>
      <c r="W102" s="128">
        <f t="shared" si="7"/>
        <v>860</v>
      </c>
      <c r="X102" s="128">
        <f t="shared" si="7"/>
        <v>336</v>
      </c>
      <c r="Y102" s="129">
        <f t="shared" si="7"/>
        <v>295</v>
      </c>
      <c r="Z102" s="1">
        <f t="shared" si="7"/>
        <v>0</v>
      </c>
      <c r="AA102" s="1">
        <f t="shared" si="7"/>
        <v>0</v>
      </c>
      <c r="AB102" s="1">
        <f t="shared" si="7"/>
        <v>0</v>
      </c>
      <c r="AC102" s="1">
        <f t="shared" si="7"/>
        <v>0</v>
      </c>
      <c r="AD102" s="1">
        <f t="shared" si="9"/>
        <v>0</v>
      </c>
      <c r="AE102" s="132">
        <f t="shared" si="8"/>
        <v>5622.590909090909</v>
      </c>
      <c r="AG102">
        <v>2013</v>
      </c>
      <c r="AI102" t="s">
        <v>1697</v>
      </c>
    </row>
    <row r="103" spans="2:35" ht="15.75" thickBot="1" x14ac:dyDescent="0.3">
      <c r="B103" t="s">
        <v>952</v>
      </c>
      <c r="O103" s="1">
        <f t="shared" si="7"/>
        <v>0</v>
      </c>
      <c r="P103" s="125">
        <f t="shared" si="7"/>
        <v>2</v>
      </c>
      <c r="Q103" s="126">
        <f t="shared" si="7"/>
        <v>10</v>
      </c>
      <c r="R103" s="126">
        <f t="shared" si="7"/>
        <v>34</v>
      </c>
      <c r="S103" s="126">
        <f t="shared" si="7"/>
        <v>81</v>
      </c>
      <c r="T103" s="126">
        <f t="shared" si="7"/>
        <v>41.95125164690382</v>
      </c>
      <c r="U103" s="126">
        <f t="shared" si="7"/>
        <v>66.186209925340364</v>
      </c>
      <c r="V103" s="126">
        <f t="shared" si="7"/>
        <v>199.00790513833991</v>
      </c>
      <c r="W103" s="126">
        <f t="shared" si="7"/>
        <v>377.82586220598421</v>
      </c>
      <c r="X103" s="126">
        <f t="shared" si="7"/>
        <v>297.39393939393938</v>
      </c>
      <c r="Y103" s="126">
        <f t="shared" si="7"/>
        <v>467.09090909090912</v>
      </c>
      <c r="Z103" s="126">
        <f t="shared" si="7"/>
        <v>112</v>
      </c>
      <c r="AA103" s="126">
        <f t="shared" si="7"/>
        <v>250</v>
      </c>
      <c r="AB103" s="124">
        <f t="shared" si="7"/>
        <v>200</v>
      </c>
      <c r="AC103" s="1">
        <f t="shared" si="7"/>
        <v>0</v>
      </c>
      <c r="AD103" s="1">
        <f t="shared" si="9"/>
        <v>0</v>
      </c>
      <c r="AE103" s="132">
        <f t="shared" si="8"/>
        <v>2138.4560774014167</v>
      </c>
      <c r="AG103">
        <v>2009</v>
      </c>
      <c r="AI103" t="s">
        <v>1696</v>
      </c>
    </row>
    <row r="104" spans="2:35" ht="15.75" thickBot="1" x14ac:dyDescent="0.3">
      <c r="B104" t="s">
        <v>953</v>
      </c>
      <c r="O104" s="1">
        <f t="shared" si="7"/>
        <v>0</v>
      </c>
      <c r="P104" s="1">
        <f t="shared" si="7"/>
        <v>0</v>
      </c>
      <c r="Q104" s="1">
        <f t="shared" si="7"/>
        <v>0</v>
      </c>
      <c r="R104" s="1">
        <f t="shared" si="7"/>
        <v>0</v>
      </c>
      <c r="S104" s="1">
        <f t="shared" si="7"/>
        <v>0</v>
      </c>
      <c r="T104" s="127">
        <f t="shared" si="7"/>
        <v>216</v>
      </c>
      <c r="U104" s="129">
        <f t="shared" si="7"/>
        <v>33</v>
      </c>
      <c r="V104" s="1">
        <f t="shared" si="7"/>
        <v>0</v>
      </c>
      <c r="W104" s="1">
        <f t="shared" si="7"/>
        <v>0</v>
      </c>
      <c r="X104" s="1">
        <f t="shared" si="7"/>
        <v>0</v>
      </c>
      <c r="Y104" s="1">
        <f t="shared" si="7"/>
        <v>0</v>
      </c>
      <c r="Z104" s="1">
        <f t="shared" si="7"/>
        <v>0</v>
      </c>
      <c r="AA104" s="1">
        <f t="shared" si="7"/>
        <v>0</v>
      </c>
      <c r="AB104" s="1">
        <f t="shared" si="7"/>
        <v>0</v>
      </c>
      <c r="AC104" s="1">
        <f t="shared" si="7"/>
        <v>0</v>
      </c>
      <c r="AD104" s="1">
        <f t="shared" si="9"/>
        <v>0</v>
      </c>
      <c r="AE104" s="132">
        <f t="shared" si="8"/>
        <v>249</v>
      </c>
      <c r="AG104">
        <v>2017</v>
      </c>
      <c r="AI104">
        <v>2</v>
      </c>
    </row>
    <row r="105" spans="2:35" ht="15.75" thickBot="1" x14ac:dyDescent="0.3">
      <c r="B105" t="s">
        <v>954</v>
      </c>
      <c r="O105" s="1">
        <f t="shared" si="7"/>
        <v>44</v>
      </c>
      <c r="P105" s="125">
        <f t="shared" si="7"/>
        <v>49</v>
      </c>
      <c r="Q105" s="126">
        <f t="shared" si="7"/>
        <v>120</v>
      </c>
      <c r="R105" s="126">
        <f t="shared" si="7"/>
        <v>199</v>
      </c>
      <c r="S105" s="126">
        <f t="shared" si="7"/>
        <v>153</v>
      </c>
      <c r="T105" s="126">
        <f t="shared" si="7"/>
        <v>219.15217391304347</v>
      </c>
      <c r="U105" s="126">
        <f t="shared" si="7"/>
        <v>66.932367149758448</v>
      </c>
      <c r="V105" s="126">
        <f t="shared" si="7"/>
        <v>452.91040843214756</v>
      </c>
      <c r="W105" s="126">
        <f t="shared" si="7"/>
        <v>395.45454545454544</v>
      </c>
      <c r="X105" s="124">
        <f t="shared" si="7"/>
        <v>19</v>
      </c>
      <c r="Y105" s="1">
        <f t="shared" si="7"/>
        <v>0</v>
      </c>
      <c r="Z105" s="1">
        <f t="shared" si="7"/>
        <v>0</v>
      </c>
      <c r="AA105" s="1">
        <f t="shared" si="7"/>
        <v>0</v>
      </c>
      <c r="AB105" s="1">
        <f t="shared" si="7"/>
        <v>0</v>
      </c>
      <c r="AC105" s="1">
        <f t="shared" si="7"/>
        <v>0</v>
      </c>
      <c r="AD105" s="1">
        <f t="shared" si="9"/>
        <v>0</v>
      </c>
      <c r="AE105" s="132">
        <f t="shared" si="8"/>
        <v>1674.4494949494949</v>
      </c>
      <c r="AG105">
        <v>2013</v>
      </c>
    </row>
    <row r="106" spans="2:35" ht="15.75" thickBot="1" x14ac:dyDescent="0.3">
      <c r="B106" t="s">
        <v>955</v>
      </c>
      <c r="O106" s="1">
        <f t="shared" si="7"/>
        <v>72</v>
      </c>
      <c r="P106" s="127">
        <f t="shared" si="7"/>
        <v>23</v>
      </c>
      <c r="Q106" s="128">
        <f t="shared" si="7"/>
        <v>255</v>
      </c>
      <c r="R106" s="128">
        <f t="shared" si="7"/>
        <v>320</v>
      </c>
      <c r="S106" s="128">
        <f t="shared" si="7"/>
        <v>1269.8181818181815</v>
      </c>
      <c r="T106" s="128">
        <f t="shared" si="7"/>
        <v>459.72727272727275</v>
      </c>
      <c r="U106" s="129">
        <f t="shared" si="7"/>
        <v>0</v>
      </c>
      <c r="V106" s="1">
        <f t="shared" si="7"/>
        <v>0</v>
      </c>
      <c r="W106" s="1">
        <f t="shared" si="7"/>
        <v>0</v>
      </c>
      <c r="X106" s="1">
        <f t="shared" si="7"/>
        <v>0</v>
      </c>
      <c r="Y106" s="1">
        <f t="shared" si="7"/>
        <v>0</v>
      </c>
      <c r="Z106" s="1">
        <f t="shared" si="7"/>
        <v>0</v>
      </c>
      <c r="AA106" s="1">
        <f t="shared" si="7"/>
        <v>0</v>
      </c>
      <c r="AB106" s="1">
        <f t="shared" si="7"/>
        <v>0</v>
      </c>
      <c r="AC106" s="1">
        <f t="shared" si="7"/>
        <v>0</v>
      </c>
      <c r="AD106" s="1">
        <f t="shared" si="9"/>
        <v>0</v>
      </c>
      <c r="AE106" s="132">
        <f t="shared" si="8"/>
        <v>2327.545454545454</v>
      </c>
      <c r="AG106">
        <v>2017</v>
      </c>
    </row>
    <row r="107" spans="2:35" ht="15.75" thickBot="1" x14ac:dyDescent="0.3">
      <c r="B107" t="s">
        <v>956</v>
      </c>
      <c r="O107" s="1">
        <f t="shared" si="7"/>
        <v>7</v>
      </c>
      <c r="P107" s="125">
        <f t="shared" si="7"/>
        <v>25</v>
      </c>
      <c r="Q107" s="126">
        <f t="shared" si="7"/>
        <v>167</v>
      </c>
      <c r="R107" s="126">
        <f t="shared" si="7"/>
        <v>213</v>
      </c>
      <c r="S107" s="126">
        <f t="shared" si="7"/>
        <v>192.44927536231884</v>
      </c>
      <c r="T107" s="126">
        <f t="shared" si="7"/>
        <v>261.11212814645307</v>
      </c>
      <c r="U107" s="126">
        <f t="shared" si="7"/>
        <v>357.37241985068073</v>
      </c>
      <c r="V107" s="126">
        <f t="shared" si="7"/>
        <v>409.70575318401404</v>
      </c>
      <c r="W107" s="126">
        <f t="shared" si="7"/>
        <v>245.74440052700922</v>
      </c>
      <c r="X107" s="124">
        <f t="shared" si="7"/>
        <v>98.090909090909093</v>
      </c>
      <c r="Y107" s="126">
        <f t="shared" si="7"/>
        <v>0</v>
      </c>
      <c r="Z107" s="124">
        <f t="shared" si="7"/>
        <v>3</v>
      </c>
      <c r="AA107" s="1">
        <f t="shared" si="7"/>
        <v>0</v>
      </c>
      <c r="AB107" s="1">
        <f t="shared" si="7"/>
        <v>0</v>
      </c>
      <c r="AC107" s="1">
        <f t="shared" si="7"/>
        <v>0</v>
      </c>
      <c r="AD107" s="1">
        <f t="shared" si="9"/>
        <v>0</v>
      </c>
      <c r="AE107" s="132">
        <f t="shared" si="8"/>
        <v>1972.474886161385</v>
      </c>
      <c r="AG107">
        <v>2013</v>
      </c>
    </row>
    <row r="108" spans="2:35" ht="15.75" thickBot="1" x14ac:dyDescent="0.3">
      <c r="B108" t="s">
        <v>957</v>
      </c>
      <c r="O108" s="1">
        <f t="shared" si="7"/>
        <v>166</v>
      </c>
      <c r="P108" s="125">
        <f t="shared" si="7"/>
        <v>190</v>
      </c>
      <c r="Q108" s="126">
        <f t="shared" si="7"/>
        <v>158</v>
      </c>
      <c r="R108" s="126">
        <f t="shared" si="7"/>
        <v>496</v>
      </c>
      <c r="S108" s="126">
        <f t="shared" si="7"/>
        <v>364.79918789221119</v>
      </c>
      <c r="T108" s="126">
        <f t="shared" si="7"/>
        <v>1227.5274236315427</v>
      </c>
      <c r="U108" s="126">
        <f t="shared" si="7"/>
        <v>824.00076277650646</v>
      </c>
      <c r="V108" s="126">
        <f t="shared" si="7"/>
        <v>0</v>
      </c>
      <c r="W108" s="124">
        <f t="shared" si="7"/>
        <v>33.913043478260867</v>
      </c>
      <c r="X108" s="1">
        <f t="shared" si="7"/>
        <v>0</v>
      </c>
      <c r="Y108" s="1">
        <f t="shared" si="7"/>
        <v>0</v>
      </c>
      <c r="Z108" s="1">
        <f t="shared" si="7"/>
        <v>0</v>
      </c>
      <c r="AA108" s="1">
        <f t="shared" si="7"/>
        <v>0</v>
      </c>
      <c r="AB108" s="1">
        <f t="shared" si="7"/>
        <v>0</v>
      </c>
      <c r="AC108" s="1">
        <f t="shared" si="7"/>
        <v>0</v>
      </c>
      <c r="AD108" s="1">
        <f t="shared" si="9"/>
        <v>0</v>
      </c>
      <c r="AE108" s="132">
        <f t="shared" si="8"/>
        <v>3294.2404177785211</v>
      </c>
      <c r="AG108">
        <v>2015</v>
      </c>
    </row>
    <row r="109" spans="2:35" ht="15.75" thickBot="1" x14ac:dyDescent="0.3">
      <c r="B109" t="s">
        <v>958</v>
      </c>
      <c r="O109" s="1">
        <f t="shared" si="7"/>
        <v>892</v>
      </c>
      <c r="P109" s="125">
        <f t="shared" si="7"/>
        <v>881</v>
      </c>
      <c r="Q109" s="126">
        <f t="shared" si="7"/>
        <v>784</v>
      </c>
      <c r="R109" s="126">
        <f t="shared" si="7"/>
        <v>1167.9047619047619</v>
      </c>
      <c r="S109" s="126">
        <f t="shared" si="7"/>
        <v>1107.8214285714287</v>
      </c>
      <c r="T109" s="124">
        <f t="shared" si="7"/>
        <v>267</v>
      </c>
      <c r="U109" s="1">
        <f t="shared" si="7"/>
        <v>0</v>
      </c>
      <c r="V109" s="1">
        <f t="shared" si="7"/>
        <v>0</v>
      </c>
      <c r="W109" s="1">
        <f t="shared" si="7"/>
        <v>0</v>
      </c>
      <c r="X109" s="1">
        <f t="shared" si="7"/>
        <v>0</v>
      </c>
      <c r="Y109" s="1">
        <f t="shared" si="7"/>
        <v>0</v>
      </c>
      <c r="Z109" s="1">
        <f t="shared" si="7"/>
        <v>0</v>
      </c>
      <c r="AA109" s="1">
        <f t="shared" si="7"/>
        <v>0</v>
      </c>
      <c r="AB109" s="1">
        <f t="shared" si="7"/>
        <v>0</v>
      </c>
      <c r="AC109" s="1">
        <f t="shared" si="7"/>
        <v>0</v>
      </c>
      <c r="AD109" s="1">
        <f t="shared" si="9"/>
        <v>0</v>
      </c>
      <c r="AE109" s="132">
        <f t="shared" si="8"/>
        <v>4207.7261904761908</v>
      </c>
      <c r="AG109">
        <v>2017</v>
      </c>
    </row>
    <row r="110" spans="2:35" ht="15.75" thickBot="1" x14ac:dyDescent="0.3">
      <c r="B110" t="s">
        <v>1626</v>
      </c>
      <c r="O110" s="1">
        <f t="shared" si="7"/>
        <v>36</v>
      </c>
      <c r="P110" s="127">
        <f t="shared" si="7"/>
        <v>15</v>
      </c>
      <c r="Q110" s="128">
        <f t="shared" si="7"/>
        <v>0</v>
      </c>
      <c r="R110" s="129">
        <f t="shared" si="7"/>
        <v>141</v>
      </c>
      <c r="S110" s="1">
        <f t="shared" si="7"/>
        <v>0</v>
      </c>
      <c r="T110" s="1">
        <f t="shared" si="7"/>
        <v>0</v>
      </c>
      <c r="U110" s="1">
        <f t="shared" si="7"/>
        <v>0</v>
      </c>
      <c r="V110" s="1">
        <f t="shared" si="7"/>
        <v>0</v>
      </c>
      <c r="W110" s="1">
        <f t="shared" si="7"/>
        <v>0</v>
      </c>
      <c r="X110" s="1">
        <f t="shared" si="7"/>
        <v>0</v>
      </c>
      <c r="Y110" s="1">
        <f t="shared" si="7"/>
        <v>0</v>
      </c>
      <c r="Z110" s="1">
        <f t="shared" si="7"/>
        <v>0</v>
      </c>
      <c r="AA110" s="1">
        <f t="shared" si="7"/>
        <v>0</v>
      </c>
      <c r="AB110" s="1">
        <f t="shared" si="7"/>
        <v>0</v>
      </c>
      <c r="AC110" s="1">
        <f t="shared" si="7"/>
        <v>0</v>
      </c>
      <c r="AD110" s="1">
        <f t="shared" si="9"/>
        <v>0</v>
      </c>
      <c r="AE110" s="132">
        <f t="shared" si="8"/>
        <v>156</v>
      </c>
      <c r="AG110">
        <v>2020</v>
      </c>
    </row>
    <row r="111" spans="2:35" ht="15.75" thickBot="1" x14ac:dyDescent="0.3">
      <c r="B111" t="s">
        <v>1627</v>
      </c>
      <c r="O111" s="1">
        <f t="shared" si="7"/>
        <v>297</v>
      </c>
      <c r="P111" s="125">
        <f t="shared" si="7"/>
        <v>392</v>
      </c>
      <c r="Q111" s="126">
        <f t="shared" si="7"/>
        <v>519</v>
      </c>
      <c r="R111" s="126">
        <f t="shared" si="7"/>
        <v>217</v>
      </c>
      <c r="S111" s="124">
        <f t="shared" si="7"/>
        <v>45</v>
      </c>
      <c r="T111" s="1">
        <f t="shared" si="7"/>
        <v>0</v>
      </c>
      <c r="U111" s="1">
        <f t="shared" si="7"/>
        <v>0</v>
      </c>
      <c r="V111" s="1">
        <f t="shared" si="7"/>
        <v>0</v>
      </c>
      <c r="W111" s="1">
        <f t="shared" si="7"/>
        <v>0</v>
      </c>
      <c r="X111" s="1">
        <f t="shared" si="7"/>
        <v>0</v>
      </c>
      <c r="Y111" s="1">
        <f t="shared" si="7"/>
        <v>0</v>
      </c>
      <c r="Z111" s="1">
        <f t="shared" si="7"/>
        <v>0</v>
      </c>
      <c r="AA111" s="1">
        <f t="shared" si="7"/>
        <v>0</v>
      </c>
      <c r="AB111" s="1">
        <f t="shared" si="7"/>
        <v>0</v>
      </c>
      <c r="AC111" s="1">
        <f t="shared" si="7"/>
        <v>0</v>
      </c>
      <c r="AD111" s="1">
        <f t="shared" si="9"/>
        <v>0</v>
      </c>
      <c r="AE111" s="132">
        <f t="shared" si="8"/>
        <v>1173</v>
      </c>
      <c r="AG111">
        <v>2019</v>
      </c>
    </row>
    <row r="112" spans="2:35" ht="15.75" thickBot="1" x14ac:dyDescent="0.3">
      <c r="B112" t="s">
        <v>1628</v>
      </c>
      <c r="O112" s="1">
        <f t="shared" si="7"/>
        <v>0</v>
      </c>
      <c r="P112" s="130">
        <f t="shared" si="7"/>
        <v>6</v>
      </c>
      <c r="Q112" s="1">
        <f t="shared" si="7"/>
        <v>0</v>
      </c>
      <c r="R112" s="1">
        <f t="shared" si="7"/>
        <v>0</v>
      </c>
      <c r="S112" s="1">
        <f t="shared" si="7"/>
        <v>0</v>
      </c>
      <c r="T112" s="1">
        <f t="shared" si="7"/>
        <v>0</v>
      </c>
      <c r="U112" s="1">
        <f t="shared" si="7"/>
        <v>0</v>
      </c>
      <c r="V112" s="1">
        <f t="shared" si="7"/>
        <v>0</v>
      </c>
      <c r="W112" s="1">
        <f t="shared" si="7"/>
        <v>0</v>
      </c>
      <c r="X112" s="1">
        <f t="shared" si="7"/>
        <v>0</v>
      </c>
      <c r="Y112" s="1">
        <f t="shared" si="7"/>
        <v>0</v>
      </c>
      <c r="Z112" s="1">
        <f t="shared" si="7"/>
        <v>0</v>
      </c>
      <c r="AA112" s="1">
        <f t="shared" si="7"/>
        <v>0</v>
      </c>
      <c r="AB112" s="1">
        <f t="shared" si="7"/>
        <v>0</v>
      </c>
      <c r="AC112" s="1">
        <f t="shared" si="7"/>
        <v>0</v>
      </c>
      <c r="AD112" s="1">
        <f t="shared" si="9"/>
        <v>0</v>
      </c>
      <c r="AE112" s="132">
        <f t="shared" si="8"/>
        <v>6</v>
      </c>
      <c r="AG112">
        <v>2014</v>
      </c>
    </row>
    <row r="113" spans="2:33" ht="15.75" thickBot="1" x14ac:dyDescent="0.3">
      <c r="B113" t="s">
        <v>1629</v>
      </c>
      <c r="O113" s="1">
        <f t="shared" ref="O113:O114" si="10">SUMIF($B$24:$B$90,$B113&amp;"*",O$24:O$90)</f>
        <v>25</v>
      </c>
      <c r="P113" s="125">
        <f t="shared" ref="P113:AC114" si="11">SUMIF($B$24:$B$90,$B113&amp;"*",P$24:P$90)</f>
        <v>62</v>
      </c>
      <c r="Q113" s="124">
        <f t="shared" si="11"/>
        <v>77</v>
      </c>
      <c r="R113" s="1">
        <f t="shared" si="11"/>
        <v>0</v>
      </c>
      <c r="S113" s="1">
        <f t="shared" si="11"/>
        <v>0</v>
      </c>
      <c r="T113" s="1">
        <f t="shared" si="11"/>
        <v>0</v>
      </c>
      <c r="U113" s="1">
        <f t="shared" si="11"/>
        <v>0</v>
      </c>
      <c r="V113" s="1">
        <f t="shared" si="11"/>
        <v>0</v>
      </c>
      <c r="W113" s="1">
        <f t="shared" si="11"/>
        <v>0</v>
      </c>
      <c r="X113" s="1">
        <f t="shared" si="11"/>
        <v>0</v>
      </c>
      <c r="Y113" s="1">
        <f t="shared" si="11"/>
        <v>0</v>
      </c>
      <c r="Z113" s="1">
        <f t="shared" si="11"/>
        <v>0</v>
      </c>
      <c r="AA113" s="1">
        <f t="shared" si="11"/>
        <v>0</v>
      </c>
      <c r="AB113" s="1">
        <f t="shared" si="11"/>
        <v>0</v>
      </c>
      <c r="AC113" s="1">
        <f t="shared" si="11"/>
        <v>0</v>
      </c>
      <c r="AD113" s="1">
        <f t="shared" si="9"/>
        <v>0</v>
      </c>
      <c r="AE113" s="133">
        <f t="shared" si="8"/>
        <v>139</v>
      </c>
      <c r="AG113">
        <v>2021</v>
      </c>
    </row>
    <row r="114" spans="2:33" x14ac:dyDescent="0.25">
      <c r="B114" t="s">
        <v>1792</v>
      </c>
      <c r="O114" s="1">
        <f t="shared" si="10"/>
        <v>192</v>
      </c>
      <c r="P114" s="148">
        <f t="shared" si="11"/>
        <v>0</v>
      </c>
      <c r="Q114" s="1">
        <f t="shared" si="11"/>
        <v>0</v>
      </c>
      <c r="R114" s="1">
        <f t="shared" si="11"/>
        <v>0</v>
      </c>
      <c r="S114" s="1">
        <f t="shared" si="11"/>
        <v>0</v>
      </c>
      <c r="T114" s="1">
        <f t="shared" si="11"/>
        <v>0</v>
      </c>
      <c r="U114" s="1">
        <f t="shared" si="11"/>
        <v>0</v>
      </c>
      <c r="V114" s="1">
        <f t="shared" si="11"/>
        <v>0</v>
      </c>
      <c r="W114" s="1">
        <f t="shared" si="11"/>
        <v>0</v>
      </c>
      <c r="X114" s="1">
        <f t="shared" si="11"/>
        <v>0</v>
      </c>
      <c r="Y114" s="1">
        <f t="shared" si="11"/>
        <v>0</v>
      </c>
      <c r="Z114" s="1">
        <f t="shared" si="11"/>
        <v>0</v>
      </c>
      <c r="AA114" s="1">
        <f t="shared" si="11"/>
        <v>0</v>
      </c>
      <c r="AB114" s="1">
        <f t="shared" si="11"/>
        <v>0</v>
      </c>
      <c r="AC114" s="1">
        <f t="shared" si="11"/>
        <v>0</v>
      </c>
      <c r="AD114" s="1">
        <f t="shared" si="9"/>
        <v>0</v>
      </c>
      <c r="AE114" s="132">
        <f t="shared" si="8"/>
        <v>0</v>
      </c>
    </row>
  </sheetData>
  <pageMargins left="0.7" right="0.7" top="0.75" bottom="0.75" header="0.3" footer="0.3"/>
  <pageSetup paperSize="9" orientation="portrait" r:id="rId1"/>
  <headerFooter>
    <oddFooter>&amp;L&amp;1#&amp;"Arial"&amp;8&amp;KD5DAD9</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E122"/>
  <sheetViews>
    <sheetView topLeftCell="A90" zoomScale="80" zoomScaleNormal="80" workbookViewId="0">
      <selection activeCell="U126" sqref="U126"/>
    </sheetView>
  </sheetViews>
  <sheetFormatPr defaultRowHeight="15" x14ac:dyDescent="0.25"/>
  <cols>
    <col min="1" max="1" width="0.7109375" customWidth="1"/>
    <col min="2" max="2" width="13.85546875" bestFit="1" customWidth="1"/>
    <col min="3" max="3" width="17.7109375" bestFit="1" customWidth="1"/>
    <col min="6" max="6" width="7.85546875" customWidth="1"/>
    <col min="9" max="11" width="0" hidden="1" customWidth="1"/>
    <col min="12" max="12" width="8.85546875" customWidth="1"/>
    <col min="13" max="13" width="1.5703125" customWidth="1"/>
    <col min="14" max="14" width="8.140625" customWidth="1"/>
    <col min="15" max="15" width="1.5703125" customWidth="1"/>
  </cols>
  <sheetData>
    <row r="2" spans="1:31" x14ac:dyDescent="0.25">
      <c r="L2" t="s">
        <v>861</v>
      </c>
      <c r="U2">
        <f t="shared" ref="U2:AA2" si="0">COUNTIF(U35:U100,"&gt;1")</f>
        <v>14</v>
      </c>
      <c r="V2">
        <f t="shared" si="0"/>
        <v>12</v>
      </c>
      <c r="W2">
        <f t="shared" si="0"/>
        <v>10</v>
      </c>
      <c r="X2">
        <f t="shared" si="0"/>
        <v>12</v>
      </c>
      <c r="Y2">
        <f t="shared" si="0"/>
        <v>6</v>
      </c>
      <c r="Z2">
        <f t="shared" si="0"/>
        <v>6</v>
      </c>
      <c r="AA2">
        <f t="shared" si="0"/>
        <v>5</v>
      </c>
    </row>
    <row r="3" spans="1:31" x14ac:dyDescent="0.25">
      <c r="W3" s="3" t="s">
        <v>1104</v>
      </c>
    </row>
    <row r="4" spans="1:31" x14ac:dyDescent="0.25">
      <c r="A4" t="s">
        <v>777</v>
      </c>
      <c r="B4" t="s">
        <v>776</v>
      </c>
      <c r="C4" t="s">
        <v>684</v>
      </c>
      <c r="D4" t="s">
        <v>685</v>
      </c>
      <c r="E4" t="s">
        <v>686</v>
      </c>
      <c r="F4" t="s">
        <v>686</v>
      </c>
      <c r="G4" t="s">
        <v>687</v>
      </c>
      <c r="H4" t="s">
        <v>688</v>
      </c>
      <c r="I4" t="s">
        <v>689</v>
      </c>
      <c r="J4" t="s">
        <v>690</v>
      </c>
      <c r="K4" t="s">
        <v>691</v>
      </c>
      <c r="L4" t="s">
        <v>1103</v>
      </c>
      <c r="N4" t="s">
        <v>400</v>
      </c>
      <c r="P4">
        <v>2023</v>
      </c>
      <c r="Q4">
        <v>2022</v>
      </c>
      <c r="R4">
        <v>2021</v>
      </c>
      <c r="S4">
        <v>2020</v>
      </c>
      <c r="T4">
        <v>2019</v>
      </c>
      <c r="U4">
        <v>2018</v>
      </c>
      <c r="V4">
        <v>2017</v>
      </c>
      <c r="W4">
        <v>2016</v>
      </c>
      <c r="X4">
        <v>2015</v>
      </c>
      <c r="Y4">
        <v>2014</v>
      </c>
      <c r="Z4">
        <v>2013</v>
      </c>
      <c r="AA4">
        <v>2012</v>
      </c>
      <c r="AB4">
        <v>2011</v>
      </c>
      <c r="AC4">
        <v>2010</v>
      </c>
      <c r="AD4">
        <v>2009</v>
      </c>
      <c r="AE4">
        <v>2008</v>
      </c>
    </row>
    <row r="6" spans="1:31" hidden="1" x14ac:dyDescent="0.25">
      <c r="A6" t="str">
        <f t="shared" ref="A6:A35" si="1">LEFT(C6,FIND("/",C6)-1)&amp;"-"&amp;F6/1000&amp;"MW"</f>
        <v>V20-0.1MW</v>
      </c>
      <c r="B6" t="s">
        <v>783</v>
      </c>
      <c r="C6" t="s">
        <v>719</v>
      </c>
      <c r="D6" t="s">
        <v>752</v>
      </c>
      <c r="E6" s="24">
        <f t="shared" ref="E6:E35" si="2">F6/1000</f>
        <v>0.1</v>
      </c>
      <c r="F6">
        <v>100</v>
      </c>
      <c r="G6">
        <v>20</v>
      </c>
      <c r="H6">
        <v>1987</v>
      </c>
      <c r="I6">
        <v>4.5999999999999996</v>
      </c>
      <c r="J6">
        <v>5.6</v>
      </c>
      <c r="K6">
        <v>1.7</v>
      </c>
      <c r="L6">
        <f t="shared" ref="L6:L33" si="3">COUNTIF(U6:AC6,"&gt;0")</f>
        <v>0</v>
      </c>
      <c r="N6" s="1">
        <f t="shared" ref="N6:N33" si="4">SUM(U6:AF6)</f>
        <v>0</v>
      </c>
      <c r="Q6" s="1">
        <f ca="1">SUMIF('OI 2022'!$I$144:$I$163,'Vestas turbines hist MW'!$B6,'OI 2022'!$L$144:$L$157)*$E6</f>
        <v>0</v>
      </c>
      <c r="R6" s="1">
        <f>SUMIF('OI 2020'!$I$144:$I$165,'Vestas turbines hist MW'!$B6,'OI 2020'!$K$144:$K$165)*$E6</f>
        <v>0</v>
      </c>
      <c r="S6" s="1">
        <f>SUMIF('OI 2021'!$I$144:$I$166,'Vestas turbines hist MW'!$B6,'OI 2021'!$L$144:$L$166)*$E6</f>
        <v>0</v>
      </c>
      <c r="T6" s="1">
        <f>SUMIF('OI 2019'!$I$114:$I$131,'Vestas turbines hist MW'!B6,'OI 2019'!$L$114:$L$131)*$E6</f>
        <v>0</v>
      </c>
      <c r="U6" s="1">
        <f>SUMIF('OI 2018'!$I$114:$I$131,'Vestas turbines hist MW'!B6,'OI 2018'!$L$114:$L$131)*$E6</f>
        <v>0</v>
      </c>
      <c r="V6" s="1">
        <f>SUMIF('OI 2017'!$I$113:$I$130,'Vestas turbines hist MW'!B6,'OI 2017'!$L$113:$L$130)*$E6</f>
        <v>0</v>
      </c>
      <c r="W6" s="1">
        <f>SUMIF('OI 2016'!$I$87:$I$99,'Vestas turbines hist MW'!$B6,'OI 2016'!$L$87:$L$99)*$E6</f>
        <v>0</v>
      </c>
      <c r="X6" s="1">
        <f>SUMIF('OI 2015'!$I$87:$I$101,'Vestas turbines hist MW'!$B6,'OI 2015'!$L$87:$L$101)*$E6</f>
        <v>0</v>
      </c>
      <c r="Y6" s="1">
        <f>SUMIF('OI 2014'!$I$87:$I$101,'Vestas turbines hist MW'!$B6,'OI 2014'!$L$87:$L$101)*$E6</f>
        <v>0</v>
      </c>
      <c r="Z6" s="1">
        <f>SUMIF('OI 2013'!$I$87:$I$101,'Vestas turbines hist MW'!$B6,'OI 2013'!$L$87:$L$101)*$E6</f>
        <v>0</v>
      </c>
      <c r="AA6" s="1">
        <f>SUMIF('OI 2012'!$I$87:$I$101,'Vestas turbines hist MW'!$B6,'OI 2012'!$L$87:$L$101)*$E6</f>
        <v>0</v>
      </c>
      <c r="AB6" s="1">
        <f>SUMIF('OI 2011'!$I$95:$I$104,'Vestas turbines hist MW'!$B6,'OI 2011'!$L$95:$L$104)*$E6</f>
        <v>0</v>
      </c>
      <c r="AC6" s="1">
        <f>SUMIF('OI 2010'!$I$95:$I$107,'Vestas turbines hist MW'!$B6,'OI 2010'!$L$95:$L$107)*$E6</f>
        <v>0</v>
      </c>
      <c r="AD6" s="1">
        <f>SUMIF('OI 2009'!$I$95:$I$107,'Vestas turbines hist MW'!$B6,'OI 2009'!$L$95:$L$107)*$E6</f>
        <v>0</v>
      </c>
      <c r="AE6" s="1">
        <f>SUMIF('OI 2008'!$I$95:$I$107,'Vestas turbines hist MW'!$B6,'OI 2008'!$L$95:$L$107)*$E6</f>
        <v>0</v>
      </c>
    </row>
    <row r="7" spans="1:31" hidden="1" x14ac:dyDescent="0.25">
      <c r="A7" t="str">
        <f t="shared" si="1"/>
        <v>V23-0.15MW</v>
      </c>
      <c r="B7" t="s">
        <v>784</v>
      </c>
      <c r="C7" t="s">
        <v>720</v>
      </c>
      <c r="D7" t="s">
        <v>752</v>
      </c>
      <c r="E7" s="24">
        <f t="shared" si="2"/>
        <v>0.15</v>
      </c>
      <c r="F7">
        <v>150</v>
      </c>
      <c r="G7">
        <v>23</v>
      </c>
      <c r="H7" t="s">
        <v>752</v>
      </c>
      <c r="I7" t="s">
        <v>752</v>
      </c>
      <c r="J7" t="s">
        <v>752</v>
      </c>
      <c r="K7" t="s">
        <v>752</v>
      </c>
      <c r="L7">
        <f t="shared" si="3"/>
        <v>0</v>
      </c>
      <c r="N7" s="1">
        <f t="shared" si="4"/>
        <v>0</v>
      </c>
      <c r="Q7" s="1">
        <f ca="1">SUMIF('OI 2022'!$I$144:$I$163,'Vestas turbines hist MW'!$B7,'OI 2022'!$L$144:$L$157)*$E7</f>
        <v>0</v>
      </c>
      <c r="R7" s="1">
        <f>SUMIF('OI 2020'!$I$144:$I$165,'Vestas turbines hist MW'!$B7,'OI 2020'!$K$144:$K$165)*$E7</f>
        <v>0</v>
      </c>
      <c r="S7" s="1">
        <f>SUMIF('OI 2020'!$I$144:$I$165,'Vestas turbines hist MW'!B7,'OI 2020'!$K$144:$K$165)*$E7</f>
        <v>0</v>
      </c>
      <c r="T7" s="1">
        <f>SUMIF('OI 2019'!$I$114:$I$131,'Vestas turbines hist MW'!B7,'OI 2019'!$L$114:$L$131)*$E7</f>
        <v>0</v>
      </c>
      <c r="U7" s="1">
        <f>SUMIF('OI 2018'!$I$114:$I$131,'Vestas turbines hist MW'!B7,'OI 2018'!$L$114:$L$131)*$E7</f>
        <v>0</v>
      </c>
      <c r="V7" s="1">
        <f>SUMIF('OI 2017'!$I$113:$I$130,'Vestas turbines hist MW'!B7,'OI 2017'!$L$113:$L$130)*$E7</f>
        <v>0</v>
      </c>
      <c r="W7" s="1">
        <f>SUMIF('OI 2016'!$I$87:$I$99,'Vestas turbines hist MW'!$B7,'OI 2016'!$L$87:$L$99)*$E7</f>
        <v>0</v>
      </c>
      <c r="X7" s="1">
        <f>SUMIF('OI 2015'!$I$87:$I$101,'Vestas turbines hist MW'!$B7,'OI 2015'!$L$87:$L$101)*$E7</f>
        <v>0</v>
      </c>
      <c r="Y7" s="1">
        <f>SUMIF('OI 2014'!$I$87:$I$101,'Vestas turbines hist MW'!$B7,'OI 2014'!$L$87:$L$101)*$E7</f>
        <v>0</v>
      </c>
      <c r="Z7" s="1">
        <f>SUMIF('OI 2013'!$I$87:$I$101,'Vestas turbines hist MW'!$B7,'OI 2013'!$L$87:$L$101)*$E7</f>
        <v>0</v>
      </c>
      <c r="AA7" s="1">
        <f>SUMIF('OI 2012'!$I$87:$I$101,'Vestas turbines hist MW'!$B7,'OI 2012'!$L$87:$L$101)*$E7</f>
        <v>0</v>
      </c>
      <c r="AB7" s="1">
        <f>SUMIF('OI 2011'!$I$95:$I$104,'Vestas turbines hist MW'!$B7,'OI 2011'!$L$95:$L$104)*$E7</f>
        <v>0</v>
      </c>
      <c r="AC7" s="1">
        <f>SUMIF('OI 2010'!$I$95:$I$107,'Vestas turbines hist MW'!$B7,'OI 2010'!$L$95:$L$107)*$E7</f>
        <v>0</v>
      </c>
      <c r="AD7" s="1">
        <f>SUMIF('OI 2009'!$I$95:$I$107,'Vestas turbines hist MW'!$B7,'OI 2009'!$L$95:$L$107)*$E7</f>
        <v>0</v>
      </c>
      <c r="AE7" s="1">
        <f>SUMIF('OI 2008'!$I$95:$I$107,'Vestas turbines hist MW'!$B7,'OI 2008'!$L$95:$L$107)*$E7</f>
        <v>0</v>
      </c>
    </row>
    <row r="8" spans="1:31" hidden="1" x14ac:dyDescent="0.25">
      <c r="A8" t="str">
        <f t="shared" si="1"/>
        <v>V23-0.2MW</v>
      </c>
      <c r="B8" t="s">
        <v>785</v>
      </c>
      <c r="C8" t="s">
        <v>721</v>
      </c>
      <c r="D8" t="s">
        <v>752</v>
      </c>
      <c r="E8" s="24">
        <f t="shared" si="2"/>
        <v>0.2</v>
      </c>
      <c r="F8">
        <v>200</v>
      </c>
      <c r="G8">
        <v>23</v>
      </c>
      <c r="H8" t="s">
        <v>752</v>
      </c>
      <c r="I8" t="s">
        <v>752</v>
      </c>
      <c r="J8" t="s">
        <v>752</v>
      </c>
      <c r="K8" t="s">
        <v>752</v>
      </c>
      <c r="L8">
        <f t="shared" si="3"/>
        <v>0</v>
      </c>
      <c r="N8" s="1">
        <f t="shared" si="4"/>
        <v>0</v>
      </c>
      <c r="Q8" s="1">
        <f ca="1">SUMIF('OI 2022'!$I$144:$I$163,'Vestas turbines hist MW'!$B8,'OI 2022'!$L$144:$L$157)*$E8</f>
        <v>0</v>
      </c>
      <c r="R8" s="1">
        <f>SUMIF('OI 2020'!$I$144:$I$165,'Vestas turbines hist MW'!$B8,'OI 2020'!$K$144:$K$165)*$E8</f>
        <v>0</v>
      </c>
      <c r="S8" s="1">
        <f>SUMIF('OI 2020'!$I$144:$I$165,'Vestas turbines hist MW'!B8,'OI 2020'!$K$144:$K$165)*$E8</f>
        <v>0</v>
      </c>
      <c r="T8" s="1">
        <f>SUMIF('OI 2019'!$I$114:$I$131,'Vestas turbines hist MW'!B8,'OI 2019'!$L$114:$L$131)*$E8</f>
        <v>0</v>
      </c>
      <c r="U8" s="1">
        <f>SUMIF('OI 2018'!$I$114:$I$131,'Vestas turbines hist MW'!B8,'OI 2018'!$L$114:$L$131)*$E8</f>
        <v>0</v>
      </c>
      <c r="V8" s="1">
        <f>SUMIF('OI 2017'!$I$113:$I$130,'Vestas turbines hist MW'!B8,'OI 2017'!$L$113:$L$130)*$E8</f>
        <v>0</v>
      </c>
      <c r="W8" s="1">
        <f>SUMIF('OI 2016'!$I$87:$I$99,'Vestas turbines hist MW'!$B8,'OI 2016'!$L$87:$L$99)*$E8</f>
        <v>0</v>
      </c>
      <c r="X8" s="1">
        <f>SUMIF('OI 2015'!$I$87:$I$101,'Vestas turbines hist MW'!$B8,'OI 2015'!$L$87:$L$101)*$E8</f>
        <v>0</v>
      </c>
      <c r="Y8" s="1">
        <f>SUMIF('OI 2014'!$I$87:$I$101,'Vestas turbines hist MW'!$B8,'OI 2014'!$L$87:$L$101)*$E8</f>
        <v>0</v>
      </c>
      <c r="Z8" s="1">
        <f>SUMIF('OI 2013'!$I$87:$I$101,'Vestas turbines hist MW'!$B8,'OI 2013'!$L$87:$L$101)*$E8</f>
        <v>0</v>
      </c>
      <c r="AA8" s="1">
        <f>SUMIF('OI 2012'!$I$87:$I$101,'Vestas turbines hist MW'!$B8,'OI 2012'!$L$87:$L$101)*$E8</f>
        <v>0</v>
      </c>
      <c r="AB8" s="1">
        <f>SUMIF('OI 2011'!$I$95:$I$104,'Vestas turbines hist MW'!$B8,'OI 2011'!$L$95:$L$104)*$E8</f>
        <v>0</v>
      </c>
      <c r="AC8" s="1">
        <f>SUMIF('OI 2010'!$I$95:$I$107,'Vestas turbines hist MW'!$B8,'OI 2010'!$L$95:$L$107)*$E8</f>
        <v>0</v>
      </c>
      <c r="AD8" s="1">
        <f>SUMIF('OI 2009'!$I$95:$I$107,'Vestas turbines hist MW'!$B8,'OI 2009'!$L$95:$L$107)*$E8</f>
        <v>0</v>
      </c>
      <c r="AE8" s="1">
        <f>SUMIF('OI 2008'!$I$95:$I$107,'Vestas turbines hist MW'!$B8,'OI 2008'!$L$95:$L$107)*$E8</f>
        <v>0</v>
      </c>
    </row>
    <row r="9" spans="1:31" hidden="1" x14ac:dyDescent="0.25">
      <c r="A9" t="str">
        <f t="shared" si="1"/>
        <v>V25-0.2MW</v>
      </c>
      <c r="B9" t="s">
        <v>786</v>
      </c>
      <c r="C9" t="s">
        <v>722</v>
      </c>
      <c r="D9" t="s">
        <v>752</v>
      </c>
      <c r="E9" s="24">
        <f t="shared" si="2"/>
        <v>0.2</v>
      </c>
      <c r="F9">
        <v>200</v>
      </c>
      <c r="G9">
        <v>25</v>
      </c>
      <c r="H9">
        <v>1988</v>
      </c>
      <c r="I9">
        <v>7.1</v>
      </c>
      <c r="J9">
        <v>11.5</v>
      </c>
      <c r="K9">
        <v>3.2</v>
      </c>
      <c r="L9">
        <f t="shared" si="3"/>
        <v>0</v>
      </c>
      <c r="N9" s="1">
        <f t="shared" si="4"/>
        <v>0</v>
      </c>
      <c r="Q9" s="1">
        <f ca="1">SUMIF('OI 2022'!$I$144:$I$163,'Vestas turbines hist MW'!$B9,'OI 2022'!$L$144:$L$157)*$E9</f>
        <v>0</v>
      </c>
      <c r="R9" s="1">
        <f>SUMIF('OI 2020'!$I$144:$I$165,'Vestas turbines hist MW'!$B9,'OI 2020'!$K$144:$K$165)*$E9</f>
        <v>0</v>
      </c>
      <c r="S9" s="1">
        <f>SUMIF('OI 2020'!$I$144:$I$165,'Vestas turbines hist MW'!B9,'OI 2020'!$K$144:$K$165)*$E9</f>
        <v>0</v>
      </c>
      <c r="T9" s="1">
        <f>SUMIF('OI 2019'!$I$114:$I$131,'Vestas turbines hist MW'!B9,'OI 2019'!$L$114:$L$131)*$E9</f>
        <v>0</v>
      </c>
      <c r="U9" s="1">
        <f>SUMIF('OI 2018'!$I$114:$I$131,'Vestas turbines hist MW'!B9,'OI 2018'!$L$114:$L$131)*$E9</f>
        <v>0</v>
      </c>
      <c r="V9" s="1">
        <f>SUMIF('OI 2017'!$I$113:$I$130,'Vestas turbines hist MW'!B9,'OI 2017'!$L$113:$L$130)*$E9</f>
        <v>0</v>
      </c>
      <c r="W9" s="1">
        <f>SUMIF('OI 2016'!$I$87:$I$99,'Vestas turbines hist MW'!$B9,'OI 2016'!$L$87:$L$99)*$E9</f>
        <v>0</v>
      </c>
      <c r="X9" s="1">
        <f>SUMIF('OI 2015'!$I$87:$I$101,'Vestas turbines hist MW'!$B9,'OI 2015'!$L$87:$L$101)*$E9</f>
        <v>0</v>
      </c>
      <c r="Y9" s="1">
        <f>SUMIF('OI 2014'!$I$87:$I$101,'Vestas turbines hist MW'!$B9,'OI 2014'!$L$87:$L$101)*$E9</f>
        <v>0</v>
      </c>
      <c r="Z9" s="1">
        <f>SUMIF('OI 2013'!$I$87:$I$101,'Vestas turbines hist MW'!$B9,'OI 2013'!$L$87:$L$101)*$E9</f>
        <v>0</v>
      </c>
      <c r="AA9" s="1">
        <f>SUMIF('OI 2012'!$I$87:$I$101,'Vestas turbines hist MW'!$B9,'OI 2012'!$L$87:$L$101)*$E9</f>
        <v>0</v>
      </c>
      <c r="AB9" s="1">
        <f>SUMIF('OI 2011'!$I$95:$I$104,'Vestas turbines hist MW'!$B9,'OI 2011'!$L$95:$L$104)*$E9</f>
        <v>0</v>
      </c>
      <c r="AC9" s="1">
        <f>SUMIF('OI 2010'!$I$95:$I$107,'Vestas turbines hist MW'!$B9,'OI 2010'!$L$95:$L$107)*$E9</f>
        <v>0</v>
      </c>
      <c r="AD9" s="1">
        <f>SUMIF('OI 2009'!$I$95:$I$107,'Vestas turbines hist MW'!$B9,'OI 2009'!$L$95:$L$107)*$E9</f>
        <v>0</v>
      </c>
      <c r="AE9" s="1">
        <f>SUMIF('OI 2008'!$I$95:$I$107,'Vestas turbines hist MW'!$B9,'OI 2008'!$L$95:$L$107)*$E9</f>
        <v>0</v>
      </c>
    </row>
    <row r="10" spans="1:31" hidden="1" x14ac:dyDescent="0.25">
      <c r="A10" t="str">
        <f t="shared" si="1"/>
        <v>V27-0.225MW</v>
      </c>
      <c r="B10" t="s">
        <v>787</v>
      </c>
      <c r="C10" t="s">
        <v>723</v>
      </c>
      <c r="D10" t="s">
        <v>752</v>
      </c>
      <c r="E10" s="24">
        <f t="shared" si="2"/>
        <v>0.22500000000000001</v>
      </c>
      <c r="F10">
        <v>225</v>
      </c>
      <c r="G10">
        <v>27</v>
      </c>
      <c r="H10">
        <v>1989</v>
      </c>
      <c r="I10">
        <v>7.9</v>
      </c>
      <c r="J10">
        <v>43078</v>
      </c>
      <c r="K10">
        <v>2.9</v>
      </c>
      <c r="L10">
        <f t="shared" si="3"/>
        <v>0</v>
      </c>
      <c r="N10" s="1">
        <f t="shared" si="4"/>
        <v>0</v>
      </c>
      <c r="Q10" s="1">
        <f ca="1">SUMIF('OI 2022'!$I$144:$I$163,'Vestas turbines hist MW'!$B10,'OI 2022'!$L$144:$L$157)*$E10</f>
        <v>0</v>
      </c>
      <c r="R10" s="1">
        <f>SUMIF('OI 2020'!$I$144:$I$165,'Vestas turbines hist MW'!$B10,'OI 2020'!$K$144:$K$165)*$E10</f>
        <v>0</v>
      </c>
      <c r="S10" s="1">
        <f>SUMIF('OI 2020'!$I$144:$I$165,'Vestas turbines hist MW'!B10,'OI 2020'!$K$144:$K$165)*$E10</f>
        <v>0</v>
      </c>
      <c r="T10" s="1">
        <f>SUMIF('OI 2019'!$I$114:$I$131,'Vestas turbines hist MW'!B10,'OI 2019'!$L$114:$L$131)*$E10</f>
        <v>0</v>
      </c>
      <c r="U10" s="1">
        <f>SUMIF('OI 2018'!$I$114:$I$131,'Vestas turbines hist MW'!B10,'OI 2018'!$L$114:$L$131)*$E10</f>
        <v>0</v>
      </c>
      <c r="V10" s="1">
        <f>SUMIF('OI 2017'!$I$113:$I$130,'Vestas turbines hist MW'!B10,'OI 2017'!$L$113:$L$130)*$E10</f>
        <v>0</v>
      </c>
      <c r="W10" s="1">
        <f>SUMIF('OI 2016'!$I$87:$I$99,'Vestas turbines hist MW'!$B10,'OI 2016'!$L$87:$L$99)*$E10</f>
        <v>0</v>
      </c>
      <c r="X10" s="1">
        <f>SUMIF('OI 2015'!$I$87:$I$101,'Vestas turbines hist MW'!$B10,'OI 2015'!$L$87:$L$101)*$E10</f>
        <v>0</v>
      </c>
      <c r="Y10" s="1">
        <f>SUMIF('OI 2014'!$I$87:$I$101,'Vestas turbines hist MW'!$B10,'OI 2014'!$L$87:$L$101)*$E10</f>
        <v>0</v>
      </c>
      <c r="Z10" s="1">
        <f>SUMIF('OI 2013'!$I$87:$I$101,'Vestas turbines hist MW'!$B10,'OI 2013'!$L$87:$L$101)*$E10</f>
        <v>0</v>
      </c>
      <c r="AA10" s="1">
        <f>SUMIF('OI 2012'!$I$87:$I$101,'Vestas turbines hist MW'!$B10,'OI 2012'!$L$87:$L$101)*$E10</f>
        <v>0</v>
      </c>
      <c r="AB10" s="1">
        <f>SUMIF('OI 2011'!$I$95:$I$104,'Vestas turbines hist MW'!$B10,'OI 2011'!$L$95:$L$104)*$E10</f>
        <v>0</v>
      </c>
      <c r="AC10" s="1">
        <f>SUMIF('OI 2010'!$I$95:$I$107,'Vestas turbines hist MW'!$B10,'OI 2010'!$L$95:$L$107)*$E10</f>
        <v>0</v>
      </c>
      <c r="AD10" s="1">
        <f>SUMIF('OI 2009'!$I$95:$I$107,'Vestas turbines hist MW'!$B10,'OI 2009'!$L$95:$L$107)*$E10</f>
        <v>0</v>
      </c>
      <c r="AE10" s="1">
        <f>SUMIF('OI 2008'!$I$95:$I$107,'Vestas turbines hist MW'!$B10,'OI 2008'!$L$95:$L$107)*$E10</f>
        <v>0</v>
      </c>
    </row>
    <row r="11" spans="1:31" hidden="1" x14ac:dyDescent="0.25">
      <c r="A11" t="str">
        <f t="shared" si="1"/>
        <v>V27-0.27MW</v>
      </c>
      <c r="B11" t="s">
        <v>788</v>
      </c>
      <c r="C11" t="s">
        <v>724</v>
      </c>
      <c r="D11" t="s">
        <v>752</v>
      </c>
      <c r="E11" s="24">
        <f t="shared" si="2"/>
        <v>0.27</v>
      </c>
      <c r="F11">
        <v>270</v>
      </c>
      <c r="G11">
        <v>27</v>
      </c>
      <c r="H11" t="s">
        <v>752</v>
      </c>
      <c r="I11" t="s">
        <v>752</v>
      </c>
      <c r="J11" t="s">
        <v>752</v>
      </c>
      <c r="K11" t="s">
        <v>752</v>
      </c>
      <c r="L11">
        <f t="shared" si="3"/>
        <v>0</v>
      </c>
      <c r="N11" s="1">
        <f t="shared" si="4"/>
        <v>0</v>
      </c>
      <c r="Q11" s="1">
        <f ca="1">SUMIF('OI 2022'!$I$144:$I$163,'Vestas turbines hist MW'!$B11,'OI 2022'!$L$144:$L$157)*$E11</f>
        <v>0</v>
      </c>
      <c r="R11" s="1">
        <f>SUMIF('OI 2020'!$I$144:$I$165,'Vestas turbines hist MW'!$B11,'OI 2020'!$K$144:$K$165)*$E11</f>
        <v>0</v>
      </c>
      <c r="S11" s="1">
        <f>SUMIF('OI 2020'!$I$144:$I$165,'Vestas turbines hist MW'!B11,'OI 2020'!$K$144:$K$165)*$E11</f>
        <v>0</v>
      </c>
      <c r="T11" s="1">
        <f>SUMIF('OI 2019'!$I$114:$I$131,'Vestas turbines hist MW'!B11,'OI 2019'!$L$114:$L$131)*$E11</f>
        <v>0</v>
      </c>
      <c r="U11" s="1">
        <f>SUMIF('OI 2018'!$I$114:$I$131,'Vestas turbines hist MW'!B11,'OI 2018'!$L$114:$L$131)*$E11</f>
        <v>0</v>
      </c>
      <c r="V11" s="1">
        <f>SUMIF('OI 2017'!$I$113:$I$130,'Vestas turbines hist MW'!B11,'OI 2017'!$L$113:$L$130)*$E11</f>
        <v>0</v>
      </c>
      <c r="W11" s="1">
        <f>SUMIF('OI 2016'!$I$87:$I$99,'Vestas turbines hist MW'!$B11,'OI 2016'!$L$87:$L$99)*$E11</f>
        <v>0</v>
      </c>
      <c r="X11" s="1">
        <f>SUMIF('OI 2015'!$I$87:$I$101,'Vestas turbines hist MW'!$B11,'OI 2015'!$L$87:$L$101)*$E11</f>
        <v>0</v>
      </c>
      <c r="Y11" s="1">
        <f>SUMIF('OI 2014'!$I$87:$I$101,'Vestas turbines hist MW'!$B11,'OI 2014'!$L$87:$L$101)*$E11</f>
        <v>0</v>
      </c>
      <c r="Z11" s="1">
        <f>SUMIF('OI 2013'!$I$87:$I$101,'Vestas turbines hist MW'!$B11,'OI 2013'!$L$87:$L$101)*$E11</f>
        <v>0</v>
      </c>
      <c r="AA11" s="1">
        <f>SUMIF('OI 2012'!$I$87:$I$101,'Vestas turbines hist MW'!$B11,'OI 2012'!$L$87:$L$101)*$E11</f>
        <v>0</v>
      </c>
      <c r="AB11" s="1">
        <f>SUMIF('OI 2011'!$I$95:$I$104,'Vestas turbines hist MW'!$B11,'OI 2011'!$L$95:$L$104)*$E11</f>
        <v>0</v>
      </c>
      <c r="AC11" s="1">
        <f>SUMIF('OI 2010'!$I$95:$I$107,'Vestas turbines hist MW'!$B11,'OI 2010'!$L$95:$L$107)*$E11</f>
        <v>0</v>
      </c>
      <c r="AD11" s="1">
        <f>SUMIF('OI 2009'!$I$95:$I$107,'Vestas turbines hist MW'!$B11,'OI 2009'!$L$95:$L$107)*$E11</f>
        <v>0</v>
      </c>
      <c r="AE11" s="1">
        <f>SUMIF('OI 2008'!$I$95:$I$107,'Vestas turbines hist MW'!$B11,'OI 2008'!$L$95:$L$107)*$E11</f>
        <v>0</v>
      </c>
    </row>
    <row r="12" spans="1:31" hidden="1" x14ac:dyDescent="0.25">
      <c r="A12" t="str">
        <f t="shared" si="1"/>
        <v>V29-0.225MW</v>
      </c>
      <c r="B12" t="s">
        <v>789</v>
      </c>
      <c r="C12" t="s">
        <v>725</v>
      </c>
      <c r="D12" t="s">
        <v>752</v>
      </c>
      <c r="E12" s="24">
        <f t="shared" si="2"/>
        <v>0.22500000000000001</v>
      </c>
      <c r="F12">
        <v>225</v>
      </c>
      <c r="G12">
        <v>29</v>
      </c>
      <c r="H12">
        <v>1995</v>
      </c>
      <c r="I12">
        <v>7.9</v>
      </c>
      <c r="J12">
        <v>14</v>
      </c>
      <c r="K12" t="s">
        <v>752</v>
      </c>
      <c r="L12">
        <f t="shared" si="3"/>
        <v>0</v>
      </c>
      <c r="N12" s="1">
        <f t="shared" si="4"/>
        <v>0</v>
      </c>
      <c r="Q12" s="1">
        <f ca="1">SUMIF('OI 2022'!$I$144:$I$163,'Vestas turbines hist MW'!$B12,'OI 2022'!$L$144:$L$157)*$E12</f>
        <v>0</v>
      </c>
      <c r="R12" s="1">
        <f>SUMIF('OI 2020'!$I$144:$I$165,'Vestas turbines hist MW'!$B12,'OI 2020'!$K$144:$K$165)*$E12</f>
        <v>0</v>
      </c>
      <c r="S12" s="1">
        <f>SUMIF('OI 2020'!$I$144:$I$165,'Vestas turbines hist MW'!B12,'OI 2020'!$K$144:$K$165)*$E12</f>
        <v>0</v>
      </c>
      <c r="T12" s="1">
        <f>SUMIF('OI 2019'!$I$114:$I$131,'Vestas turbines hist MW'!B12,'OI 2019'!$L$114:$L$131)*$E12</f>
        <v>0</v>
      </c>
      <c r="U12" s="1">
        <f>SUMIF('OI 2018'!$I$114:$I$131,'Vestas turbines hist MW'!B12,'OI 2018'!$L$114:$L$131)*$E12</f>
        <v>0</v>
      </c>
      <c r="V12" s="1">
        <f>SUMIF('OI 2017'!$I$113:$I$130,'Vestas turbines hist MW'!B12,'OI 2017'!$L$113:$L$130)*$E12</f>
        <v>0</v>
      </c>
      <c r="W12" s="1">
        <f>SUMIF('OI 2016'!$I$87:$I$99,'Vestas turbines hist MW'!$B12,'OI 2016'!$L$87:$L$99)*$E12</f>
        <v>0</v>
      </c>
      <c r="X12" s="1">
        <f>SUMIF('OI 2015'!$I$87:$I$101,'Vestas turbines hist MW'!$B12,'OI 2015'!$L$87:$L$101)*$E12</f>
        <v>0</v>
      </c>
      <c r="Y12" s="1">
        <f>SUMIF('OI 2014'!$I$87:$I$101,'Vestas turbines hist MW'!$B12,'OI 2014'!$L$87:$L$101)*$E12</f>
        <v>0</v>
      </c>
      <c r="Z12" s="1">
        <f>SUMIF('OI 2013'!$I$87:$I$101,'Vestas turbines hist MW'!$B12,'OI 2013'!$L$87:$L$101)*$E12</f>
        <v>0</v>
      </c>
      <c r="AA12" s="1">
        <f>SUMIF('OI 2012'!$I$87:$I$101,'Vestas turbines hist MW'!$B12,'OI 2012'!$L$87:$L$101)*$E12</f>
        <v>0</v>
      </c>
      <c r="AB12" s="1">
        <f>SUMIF('OI 2011'!$I$95:$I$104,'Vestas turbines hist MW'!$B12,'OI 2011'!$L$95:$L$104)*$E12</f>
        <v>0</v>
      </c>
      <c r="AC12" s="1">
        <f>SUMIF('OI 2010'!$I$95:$I$107,'Vestas turbines hist MW'!$B12,'OI 2010'!$L$95:$L$107)*$E12</f>
        <v>0</v>
      </c>
      <c r="AD12" s="1">
        <f>SUMIF('OI 2009'!$I$95:$I$107,'Vestas turbines hist MW'!$B12,'OI 2009'!$L$95:$L$107)*$E12</f>
        <v>0</v>
      </c>
      <c r="AE12" s="1">
        <f>SUMIF('OI 2008'!$I$95:$I$107,'Vestas turbines hist MW'!$B12,'OI 2008'!$L$95:$L$107)*$E12</f>
        <v>0</v>
      </c>
    </row>
    <row r="13" spans="1:31" hidden="1" x14ac:dyDescent="0.25">
      <c r="A13" t="str">
        <f t="shared" si="1"/>
        <v>V34-0.4MW</v>
      </c>
      <c r="B13" t="s">
        <v>790</v>
      </c>
      <c r="C13" t="s">
        <v>726</v>
      </c>
      <c r="D13" t="s">
        <v>752</v>
      </c>
      <c r="E13" s="24">
        <f t="shared" si="2"/>
        <v>0.4</v>
      </c>
      <c r="F13">
        <v>400</v>
      </c>
      <c r="G13" t="s">
        <v>762</v>
      </c>
      <c r="H13" t="s">
        <v>752</v>
      </c>
      <c r="I13" t="s">
        <v>752</v>
      </c>
      <c r="J13" t="s">
        <v>752</v>
      </c>
      <c r="K13" t="s">
        <v>752</v>
      </c>
      <c r="L13">
        <f t="shared" si="3"/>
        <v>0</v>
      </c>
      <c r="N13" s="1">
        <f t="shared" si="4"/>
        <v>0</v>
      </c>
      <c r="Q13" s="1">
        <f ca="1">SUMIF('OI 2022'!$I$144:$I$163,'Vestas turbines hist MW'!$B13,'OI 2022'!$L$144:$L$157)*$E13</f>
        <v>0</v>
      </c>
      <c r="R13" s="1">
        <f>SUMIF('OI 2020'!$I$144:$I$165,'Vestas turbines hist MW'!$B13,'OI 2020'!$K$144:$K$165)*$E13</f>
        <v>0</v>
      </c>
      <c r="S13" s="1">
        <f>SUMIF('OI 2020'!$I$144:$I$165,'Vestas turbines hist MW'!B13,'OI 2020'!$K$144:$K$165)*$E13</f>
        <v>0</v>
      </c>
      <c r="T13" s="1">
        <f>SUMIF('OI 2019'!$I$114:$I$131,'Vestas turbines hist MW'!B13,'OI 2019'!$L$114:$L$131)*$E13</f>
        <v>0</v>
      </c>
      <c r="U13" s="1">
        <f>SUMIF('OI 2018'!$I$114:$I$131,'Vestas turbines hist MW'!B13,'OI 2018'!$L$114:$L$131)*$E13</f>
        <v>0</v>
      </c>
      <c r="V13" s="1">
        <f>SUMIF('OI 2017'!$I$113:$I$130,'Vestas turbines hist MW'!B13,'OI 2017'!$L$113:$L$130)*$E13</f>
        <v>0</v>
      </c>
      <c r="W13" s="1">
        <f>SUMIF('OI 2016'!$I$87:$I$99,'Vestas turbines hist MW'!$B13,'OI 2016'!$L$87:$L$99)*$E13</f>
        <v>0</v>
      </c>
      <c r="X13" s="1">
        <f>SUMIF('OI 2015'!$I$87:$I$101,'Vestas turbines hist MW'!$B13,'OI 2015'!$L$87:$L$101)*$E13</f>
        <v>0</v>
      </c>
      <c r="Y13" s="1">
        <f>SUMIF('OI 2014'!$I$87:$I$101,'Vestas turbines hist MW'!$B13,'OI 2014'!$L$87:$L$101)*$E13</f>
        <v>0</v>
      </c>
      <c r="Z13" s="1">
        <f>SUMIF('OI 2013'!$I$87:$I$101,'Vestas turbines hist MW'!$B13,'OI 2013'!$L$87:$L$101)*$E13</f>
        <v>0</v>
      </c>
      <c r="AA13" s="1">
        <f>SUMIF('OI 2012'!$I$87:$I$101,'Vestas turbines hist MW'!$B13,'OI 2012'!$L$87:$L$101)*$E13</f>
        <v>0</v>
      </c>
      <c r="AB13" s="1">
        <f>SUMIF('OI 2011'!$I$95:$I$104,'Vestas turbines hist MW'!$B13,'OI 2011'!$L$95:$L$104)*$E13</f>
        <v>0</v>
      </c>
      <c r="AC13" s="1">
        <f>SUMIF('OI 2010'!$I$95:$I$107,'Vestas turbines hist MW'!$B13,'OI 2010'!$L$95:$L$107)*$E13</f>
        <v>0</v>
      </c>
      <c r="AD13" s="1">
        <f>SUMIF('OI 2009'!$I$95:$I$107,'Vestas turbines hist MW'!$B13,'OI 2009'!$L$95:$L$107)*$E13</f>
        <v>0</v>
      </c>
      <c r="AE13" s="1">
        <f>SUMIF('OI 2008'!$I$95:$I$107,'Vestas turbines hist MW'!$B13,'OI 2008'!$L$95:$L$107)*$E13</f>
        <v>0</v>
      </c>
    </row>
    <row r="14" spans="1:31" hidden="1" x14ac:dyDescent="0.25">
      <c r="A14" t="str">
        <f t="shared" si="1"/>
        <v>V39-0.5MW</v>
      </c>
      <c r="B14" t="s">
        <v>791</v>
      </c>
      <c r="C14" t="s">
        <v>727</v>
      </c>
      <c r="D14" t="s">
        <v>752</v>
      </c>
      <c r="E14" s="24">
        <f t="shared" si="2"/>
        <v>0.5</v>
      </c>
      <c r="F14">
        <v>500</v>
      </c>
      <c r="G14">
        <v>39</v>
      </c>
      <c r="H14">
        <v>1991</v>
      </c>
      <c r="I14">
        <v>18</v>
      </c>
      <c r="J14">
        <v>58</v>
      </c>
      <c r="K14">
        <v>3.5</v>
      </c>
      <c r="L14">
        <f t="shared" si="3"/>
        <v>0</v>
      </c>
      <c r="N14" s="1">
        <f t="shared" si="4"/>
        <v>0</v>
      </c>
      <c r="Q14" s="1">
        <f ca="1">SUMIF('OI 2022'!$I$144:$I$163,'Vestas turbines hist MW'!$B14,'OI 2022'!$L$144:$L$157)*$E14</f>
        <v>0</v>
      </c>
      <c r="R14" s="1">
        <f>SUMIF('OI 2020'!$I$144:$I$165,'Vestas turbines hist MW'!$B14,'OI 2020'!$K$144:$K$165)*$E14</f>
        <v>0</v>
      </c>
      <c r="S14" s="1">
        <f>SUMIF('OI 2020'!$I$144:$I$165,'Vestas turbines hist MW'!B14,'OI 2020'!$K$144:$K$165)*$E14</f>
        <v>0</v>
      </c>
      <c r="T14" s="1">
        <f>SUMIF('OI 2019'!$I$114:$I$131,'Vestas turbines hist MW'!B14,'OI 2019'!$L$114:$L$131)*$E14</f>
        <v>0</v>
      </c>
      <c r="U14" s="1">
        <f>SUMIF('OI 2018'!$I$114:$I$131,'Vestas turbines hist MW'!B14,'OI 2018'!$L$114:$L$131)*$E14</f>
        <v>0</v>
      </c>
      <c r="V14" s="1">
        <f>SUMIF('OI 2017'!$I$113:$I$130,'Vestas turbines hist MW'!B14,'OI 2017'!$L$113:$L$130)*$E14</f>
        <v>0</v>
      </c>
      <c r="W14" s="1">
        <f>SUMIF('OI 2016'!$I$87:$I$99,'Vestas turbines hist MW'!$B14,'OI 2016'!$L$87:$L$99)*$E14</f>
        <v>0</v>
      </c>
      <c r="X14" s="1">
        <f>SUMIF('OI 2015'!$I$87:$I$101,'Vestas turbines hist MW'!$B14,'OI 2015'!$L$87:$L$101)*$E14</f>
        <v>0</v>
      </c>
      <c r="Y14" s="1">
        <f>SUMIF('OI 2014'!$I$87:$I$101,'Vestas turbines hist MW'!$B14,'OI 2014'!$L$87:$L$101)*$E14</f>
        <v>0</v>
      </c>
      <c r="Z14" s="1">
        <f>SUMIF('OI 2013'!$I$87:$I$101,'Vestas turbines hist MW'!$B14,'OI 2013'!$L$87:$L$101)*$E14</f>
        <v>0</v>
      </c>
      <c r="AA14" s="1">
        <f>SUMIF('OI 2012'!$I$87:$I$101,'Vestas turbines hist MW'!$B14,'OI 2012'!$L$87:$L$101)*$E14</f>
        <v>0</v>
      </c>
      <c r="AB14" s="1">
        <f>SUMIF('OI 2011'!$I$95:$I$104,'Vestas turbines hist MW'!$B14,'OI 2011'!$L$95:$L$104)*$E14</f>
        <v>0</v>
      </c>
      <c r="AC14" s="1">
        <f>SUMIF('OI 2010'!$I$95:$I$107,'Vestas turbines hist MW'!$B14,'OI 2010'!$L$95:$L$107)*$E14</f>
        <v>0</v>
      </c>
      <c r="AD14" s="1">
        <f>SUMIF('OI 2009'!$I$95:$I$107,'Vestas turbines hist MW'!$B14,'OI 2009'!$L$95:$L$107)*$E14</f>
        <v>0</v>
      </c>
      <c r="AE14" s="1">
        <f>SUMIF('OI 2008'!$I$95:$I$107,'Vestas turbines hist MW'!$B14,'OI 2008'!$L$95:$L$107)*$E14</f>
        <v>0</v>
      </c>
    </row>
    <row r="15" spans="1:31" hidden="1" x14ac:dyDescent="0.25">
      <c r="A15" t="str">
        <f t="shared" si="1"/>
        <v>V39-0.6MW</v>
      </c>
      <c r="B15" t="s">
        <v>792</v>
      </c>
      <c r="C15" t="s">
        <v>728</v>
      </c>
      <c r="D15" t="s">
        <v>752</v>
      </c>
      <c r="E15" s="24">
        <f t="shared" si="2"/>
        <v>0.6</v>
      </c>
      <c r="F15">
        <v>600</v>
      </c>
      <c r="G15">
        <v>39</v>
      </c>
      <c r="H15" t="s">
        <v>752</v>
      </c>
      <c r="I15" t="s">
        <v>752</v>
      </c>
      <c r="J15" t="s">
        <v>752</v>
      </c>
      <c r="K15" t="s">
        <v>752</v>
      </c>
      <c r="L15">
        <f t="shared" si="3"/>
        <v>0</v>
      </c>
      <c r="N15" s="1">
        <f t="shared" si="4"/>
        <v>0</v>
      </c>
      <c r="Q15" s="1">
        <f ca="1">SUMIF('OI 2022'!$I$144:$I$163,'Vestas turbines hist MW'!$B15,'OI 2022'!$L$144:$L$157)*$E15</f>
        <v>0</v>
      </c>
      <c r="R15" s="1">
        <f>SUMIF('OI 2020'!$I$144:$I$165,'Vestas turbines hist MW'!$B15,'OI 2020'!$K$144:$K$165)*$E15</f>
        <v>0</v>
      </c>
      <c r="S15" s="1">
        <f>SUMIF('OI 2020'!$I$144:$I$165,'Vestas turbines hist MW'!B15,'OI 2020'!$K$144:$K$165)*$E15</f>
        <v>0</v>
      </c>
      <c r="T15" s="1">
        <f>SUMIF('OI 2019'!$I$114:$I$131,'Vestas turbines hist MW'!B15,'OI 2019'!$L$114:$L$131)*$E15</f>
        <v>0</v>
      </c>
      <c r="U15" s="1">
        <f>SUMIF('OI 2018'!$I$114:$I$131,'Vestas turbines hist MW'!B15,'OI 2018'!$L$114:$L$131)*$E15</f>
        <v>0</v>
      </c>
      <c r="V15" s="1">
        <f>SUMIF('OI 2017'!$I$113:$I$130,'Vestas turbines hist MW'!B15,'OI 2017'!$L$113:$L$130)*$E15</f>
        <v>0</v>
      </c>
      <c r="W15" s="1">
        <f>SUMIF('OI 2016'!$I$87:$I$99,'Vestas turbines hist MW'!$B15,'OI 2016'!$L$87:$L$99)*$E15</f>
        <v>0</v>
      </c>
      <c r="X15" s="1">
        <f>SUMIF('OI 2015'!$I$87:$I$101,'Vestas turbines hist MW'!$B15,'OI 2015'!$L$87:$L$101)*$E15</f>
        <v>0</v>
      </c>
      <c r="Y15" s="1">
        <f>SUMIF('OI 2014'!$I$87:$I$101,'Vestas turbines hist MW'!$B15,'OI 2014'!$L$87:$L$101)*$E15</f>
        <v>0</v>
      </c>
      <c r="Z15" s="1">
        <f>SUMIF('OI 2013'!$I$87:$I$101,'Vestas turbines hist MW'!$B15,'OI 2013'!$L$87:$L$101)*$E15</f>
        <v>0</v>
      </c>
      <c r="AA15" s="1">
        <f>SUMIF('OI 2012'!$I$87:$I$101,'Vestas turbines hist MW'!$B15,'OI 2012'!$L$87:$L$101)*$E15</f>
        <v>0</v>
      </c>
      <c r="AB15" s="1">
        <f>SUMIF('OI 2011'!$I$95:$I$104,'Vestas turbines hist MW'!$B15,'OI 2011'!$L$95:$L$104)*$E15</f>
        <v>0</v>
      </c>
      <c r="AC15" s="1">
        <f>SUMIF('OI 2010'!$I$95:$I$107,'Vestas turbines hist MW'!$B15,'OI 2010'!$L$95:$L$107)*$E15</f>
        <v>0</v>
      </c>
      <c r="AD15" s="1">
        <f>SUMIF('OI 2009'!$I$95:$I$107,'Vestas turbines hist MW'!$B15,'OI 2009'!$L$95:$L$107)*$E15</f>
        <v>0</v>
      </c>
      <c r="AE15" s="1">
        <f>SUMIF('OI 2008'!$I$95:$I$107,'Vestas turbines hist MW'!$B15,'OI 2008'!$L$95:$L$107)*$E15</f>
        <v>0</v>
      </c>
    </row>
    <row r="16" spans="1:31" hidden="1" x14ac:dyDescent="0.25">
      <c r="A16" t="str">
        <f t="shared" si="1"/>
        <v>V42-0.5MW</v>
      </c>
      <c r="B16" t="s">
        <v>793</v>
      </c>
      <c r="C16" t="s">
        <v>729</v>
      </c>
      <c r="D16" t="s">
        <v>752</v>
      </c>
      <c r="E16" s="24">
        <f t="shared" si="2"/>
        <v>0.5</v>
      </c>
      <c r="F16">
        <v>500</v>
      </c>
      <c r="G16">
        <v>42</v>
      </c>
      <c r="H16" t="s">
        <v>752</v>
      </c>
      <c r="I16" t="s">
        <v>752</v>
      </c>
      <c r="J16" t="s">
        <v>752</v>
      </c>
      <c r="K16" t="s">
        <v>752</v>
      </c>
      <c r="L16">
        <f t="shared" si="3"/>
        <v>0</v>
      </c>
      <c r="N16" s="1">
        <f t="shared" si="4"/>
        <v>0</v>
      </c>
      <c r="Q16" s="1">
        <f ca="1">SUMIF('OI 2022'!$I$144:$I$163,'Vestas turbines hist MW'!$B16,'OI 2022'!$L$144:$L$157)*$E16</f>
        <v>0</v>
      </c>
      <c r="R16" s="1">
        <f>SUMIF('OI 2020'!$I$144:$I$165,'Vestas turbines hist MW'!$B16,'OI 2020'!$K$144:$K$165)*$E16</f>
        <v>0</v>
      </c>
      <c r="S16" s="1">
        <f>SUMIF('OI 2020'!$I$144:$I$165,'Vestas turbines hist MW'!B16,'OI 2020'!$K$144:$K$165)*$E16</f>
        <v>0</v>
      </c>
      <c r="T16" s="1">
        <f>SUMIF('OI 2019'!$I$114:$I$131,'Vestas turbines hist MW'!B16,'OI 2019'!$L$114:$L$131)*$E16</f>
        <v>0</v>
      </c>
      <c r="U16" s="1">
        <f>SUMIF('OI 2018'!$I$114:$I$131,'Vestas turbines hist MW'!B16,'OI 2018'!$L$114:$L$131)*$E16</f>
        <v>0</v>
      </c>
      <c r="V16" s="1">
        <f>SUMIF('OI 2017'!$I$113:$I$130,'Vestas turbines hist MW'!B16,'OI 2017'!$L$113:$L$130)*$E16</f>
        <v>0</v>
      </c>
      <c r="W16" s="1">
        <f>SUMIF('OI 2016'!$I$87:$I$99,'Vestas turbines hist MW'!$B16,'OI 2016'!$L$87:$L$99)*$E16</f>
        <v>0</v>
      </c>
      <c r="X16" s="1">
        <f>SUMIF('OI 2015'!$I$87:$I$101,'Vestas turbines hist MW'!$B16,'OI 2015'!$L$87:$L$101)*$E16</f>
        <v>0</v>
      </c>
      <c r="Y16" s="1">
        <f>SUMIF('OI 2014'!$I$87:$I$101,'Vestas turbines hist MW'!$B16,'OI 2014'!$L$87:$L$101)*$E16</f>
        <v>0</v>
      </c>
      <c r="Z16" s="1">
        <f>SUMIF('OI 2013'!$I$87:$I$101,'Vestas turbines hist MW'!$B16,'OI 2013'!$L$87:$L$101)*$E16</f>
        <v>0</v>
      </c>
      <c r="AA16" s="1">
        <f>SUMIF('OI 2012'!$I$87:$I$101,'Vestas turbines hist MW'!$B16,'OI 2012'!$L$87:$L$101)*$E16</f>
        <v>0</v>
      </c>
      <c r="AB16" s="1">
        <f>SUMIF('OI 2011'!$I$95:$I$104,'Vestas turbines hist MW'!$B16,'OI 2011'!$L$95:$L$104)*$E16</f>
        <v>0</v>
      </c>
      <c r="AC16" s="1">
        <f>SUMIF('OI 2010'!$I$95:$I$107,'Vestas turbines hist MW'!$B16,'OI 2010'!$L$95:$L$107)*$E16</f>
        <v>0</v>
      </c>
      <c r="AD16" s="1">
        <f>SUMIF('OI 2009'!$I$95:$I$107,'Vestas turbines hist MW'!$B16,'OI 2009'!$L$95:$L$107)*$E16</f>
        <v>0</v>
      </c>
      <c r="AE16" s="1">
        <f>SUMIF('OI 2008'!$I$95:$I$107,'Vestas turbines hist MW'!$B16,'OI 2008'!$L$95:$L$107)*$E16</f>
        <v>0</v>
      </c>
    </row>
    <row r="17" spans="1:31" hidden="1" x14ac:dyDescent="0.25">
      <c r="A17" t="str">
        <f t="shared" si="1"/>
        <v>V42-0.6MW</v>
      </c>
      <c r="B17" t="s">
        <v>794</v>
      </c>
      <c r="C17" t="s">
        <v>730</v>
      </c>
      <c r="D17" t="s">
        <v>752</v>
      </c>
      <c r="E17" s="24">
        <f t="shared" si="2"/>
        <v>0.6</v>
      </c>
      <c r="F17">
        <v>600</v>
      </c>
      <c r="G17">
        <v>42</v>
      </c>
      <c r="H17" t="s">
        <v>752</v>
      </c>
      <c r="I17">
        <v>17.3</v>
      </c>
      <c r="J17">
        <v>41</v>
      </c>
      <c r="K17">
        <v>8.4</v>
      </c>
      <c r="L17">
        <f t="shared" si="3"/>
        <v>0</v>
      </c>
      <c r="N17" s="1">
        <f t="shared" si="4"/>
        <v>0</v>
      </c>
      <c r="Q17" s="1">
        <f ca="1">SUMIF('OI 2022'!$I$144:$I$163,'Vestas turbines hist MW'!$B17,'OI 2022'!$L$144:$L$157)*$E17</f>
        <v>0</v>
      </c>
      <c r="R17" s="1">
        <f>SUMIF('OI 2020'!$I$144:$I$165,'Vestas turbines hist MW'!$B17,'OI 2020'!$K$144:$K$165)*$E17</f>
        <v>0</v>
      </c>
      <c r="S17" s="1">
        <f>SUMIF('OI 2020'!$I$144:$I$165,'Vestas turbines hist MW'!B17,'OI 2020'!$K$144:$K$165)*$E17</f>
        <v>0</v>
      </c>
      <c r="T17" s="1">
        <f>SUMIF('OI 2019'!$I$114:$I$131,'Vestas turbines hist MW'!B17,'OI 2019'!$L$114:$L$131)*$E17</f>
        <v>0</v>
      </c>
      <c r="U17" s="1">
        <f>SUMIF('OI 2018'!$I$114:$I$131,'Vestas turbines hist MW'!B17,'OI 2018'!$L$114:$L$131)*$E17</f>
        <v>0</v>
      </c>
      <c r="V17" s="1">
        <f>SUMIF('OI 2017'!$I$113:$I$130,'Vestas turbines hist MW'!B17,'OI 2017'!$L$113:$L$130)*$E17</f>
        <v>0</v>
      </c>
      <c r="W17" s="1">
        <f>SUMIF('OI 2016'!$I$87:$I$99,'Vestas turbines hist MW'!$B17,'OI 2016'!$L$87:$L$99)*$E17</f>
        <v>0</v>
      </c>
      <c r="X17" s="1">
        <f>SUMIF('OI 2015'!$I$87:$I$101,'Vestas turbines hist MW'!$B17,'OI 2015'!$L$87:$L$101)*$E17</f>
        <v>0</v>
      </c>
      <c r="Y17" s="1">
        <f>SUMIF('OI 2014'!$I$87:$I$101,'Vestas turbines hist MW'!$B17,'OI 2014'!$L$87:$L$101)*$E17</f>
        <v>0</v>
      </c>
      <c r="Z17" s="1">
        <f>SUMIF('OI 2013'!$I$87:$I$101,'Vestas turbines hist MW'!$B17,'OI 2013'!$L$87:$L$101)*$E17</f>
        <v>0</v>
      </c>
      <c r="AA17" s="1">
        <f>SUMIF('OI 2012'!$I$87:$I$101,'Vestas turbines hist MW'!$B17,'OI 2012'!$L$87:$L$101)*$E17</f>
        <v>0</v>
      </c>
      <c r="AB17" s="1">
        <f>SUMIF('OI 2011'!$I$95:$I$104,'Vestas turbines hist MW'!$B17,'OI 2011'!$L$95:$L$104)*$E17</f>
        <v>0</v>
      </c>
      <c r="AC17" s="1">
        <f>SUMIF('OI 2010'!$I$95:$I$107,'Vestas turbines hist MW'!$B17,'OI 2010'!$L$95:$L$107)*$E17</f>
        <v>0</v>
      </c>
      <c r="AD17" s="1">
        <f>SUMIF('OI 2009'!$I$95:$I$107,'Vestas turbines hist MW'!$B17,'OI 2009'!$L$95:$L$107)*$E17</f>
        <v>0</v>
      </c>
      <c r="AE17" s="1">
        <f>SUMIF('OI 2008'!$I$95:$I$107,'Vestas turbines hist MW'!$B17,'OI 2008'!$L$95:$L$107)*$E17</f>
        <v>0</v>
      </c>
    </row>
    <row r="18" spans="1:31" hidden="1" x14ac:dyDescent="0.25">
      <c r="A18" t="str">
        <f t="shared" si="1"/>
        <v>V44-0.6MW</v>
      </c>
      <c r="B18" t="s">
        <v>795</v>
      </c>
      <c r="C18" t="s">
        <v>731</v>
      </c>
      <c r="D18" t="s">
        <v>752</v>
      </c>
      <c r="E18" s="24">
        <f t="shared" si="2"/>
        <v>0.6</v>
      </c>
      <c r="F18">
        <v>600</v>
      </c>
      <c r="G18">
        <v>44</v>
      </c>
      <c r="H18">
        <v>1995</v>
      </c>
      <c r="I18">
        <v>19.8</v>
      </c>
      <c r="J18">
        <v>58</v>
      </c>
      <c r="K18">
        <v>9.1999999999999993</v>
      </c>
      <c r="L18">
        <f t="shared" si="3"/>
        <v>0</v>
      </c>
      <c r="N18" s="1">
        <f t="shared" si="4"/>
        <v>0</v>
      </c>
      <c r="Q18" s="1">
        <f ca="1">SUMIF('OI 2022'!$I$144:$I$163,'Vestas turbines hist MW'!$B18,'OI 2022'!$L$144:$L$157)*$E18</f>
        <v>0</v>
      </c>
      <c r="R18" s="1">
        <f>SUMIF('OI 2020'!$I$144:$I$165,'Vestas turbines hist MW'!$B18,'OI 2020'!$K$144:$K$165)*$E18</f>
        <v>0</v>
      </c>
      <c r="S18" s="1">
        <f>SUMIF('OI 2020'!$I$144:$I$165,'Vestas turbines hist MW'!B18,'OI 2020'!$K$144:$K$165)*$E18</f>
        <v>0</v>
      </c>
      <c r="T18" s="1">
        <f>SUMIF('OI 2019'!$I$114:$I$131,'Vestas turbines hist MW'!B18,'OI 2019'!$L$114:$L$131)*$E18</f>
        <v>0</v>
      </c>
      <c r="U18" s="1">
        <f>SUMIF('OI 2018'!$I$114:$I$131,'Vestas turbines hist MW'!B18,'OI 2018'!$L$114:$L$131)*$E18</f>
        <v>0</v>
      </c>
      <c r="V18" s="1">
        <f>SUMIF('OI 2017'!$I$113:$I$130,'Vestas turbines hist MW'!B18,'OI 2017'!$L$113:$L$130)*$E18</f>
        <v>0</v>
      </c>
      <c r="W18" s="1">
        <f>SUMIF('OI 2016'!$I$87:$I$99,'Vestas turbines hist MW'!$B18,'OI 2016'!$L$87:$L$99)*$E18</f>
        <v>0</v>
      </c>
      <c r="X18" s="1">
        <f>SUMIF('OI 2015'!$I$87:$I$101,'Vestas turbines hist MW'!$B18,'OI 2015'!$L$87:$L$101)*$E18</f>
        <v>0</v>
      </c>
      <c r="Y18" s="1">
        <f>SUMIF('OI 2014'!$I$87:$I$101,'Vestas turbines hist MW'!$B18,'OI 2014'!$L$87:$L$101)*$E18</f>
        <v>0</v>
      </c>
      <c r="Z18" s="1">
        <f>SUMIF('OI 2013'!$I$87:$I$101,'Vestas turbines hist MW'!$B18,'OI 2013'!$L$87:$L$101)*$E18</f>
        <v>0</v>
      </c>
      <c r="AA18" s="1">
        <f>SUMIF('OI 2012'!$I$87:$I$101,'Vestas turbines hist MW'!$B18,'OI 2012'!$L$87:$L$101)*$E18</f>
        <v>0</v>
      </c>
      <c r="AB18" s="1">
        <f>SUMIF('OI 2011'!$I$95:$I$104,'Vestas turbines hist MW'!$B18,'OI 2011'!$L$95:$L$104)*$E18</f>
        <v>0</v>
      </c>
      <c r="AC18" s="1">
        <f>SUMIF('OI 2010'!$I$95:$I$107,'Vestas turbines hist MW'!$B18,'OI 2010'!$L$95:$L$107)*$E18</f>
        <v>0</v>
      </c>
      <c r="AD18" s="1">
        <f>SUMIF('OI 2009'!$I$95:$I$107,'Vestas turbines hist MW'!$B18,'OI 2009'!$L$95:$L$107)*$E18</f>
        <v>0</v>
      </c>
      <c r="AE18" s="1">
        <f>SUMIF('OI 2008'!$I$95:$I$107,'Vestas turbines hist MW'!$B18,'OI 2008'!$L$95:$L$107)*$E18</f>
        <v>0</v>
      </c>
    </row>
    <row r="19" spans="1:31" hidden="1" x14ac:dyDescent="0.25">
      <c r="A19" t="str">
        <f t="shared" si="1"/>
        <v>V47-0.66MW</v>
      </c>
      <c r="B19" t="s">
        <v>796</v>
      </c>
      <c r="C19" t="s">
        <v>732</v>
      </c>
      <c r="D19" t="s">
        <v>751</v>
      </c>
      <c r="E19" s="24">
        <f t="shared" si="2"/>
        <v>0.66</v>
      </c>
      <c r="F19">
        <v>660</v>
      </c>
      <c r="G19">
        <v>47</v>
      </c>
      <c r="H19">
        <v>1997</v>
      </c>
      <c r="I19">
        <v>20.399999999999999</v>
      </c>
      <c r="J19">
        <v>66.400000000000006</v>
      </c>
      <c r="K19">
        <v>7.2</v>
      </c>
      <c r="L19">
        <f t="shared" si="3"/>
        <v>0</v>
      </c>
      <c r="N19" s="1">
        <f t="shared" si="4"/>
        <v>0</v>
      </c>
      <c r="Q19" s="1">
        <f ca="1">SUMIF('OI 2022'!$I$144:$I$163,'Vestas turbines hist MW'!$B19,'OI 2022'!$L$144:$L$157)*$E19</f>
        <v>0</v>
      </c>
      <c r="R19" s="1">
        <f>SUMIF('OI 2020'!$I$144:$I$165,'Vestas turbines hist MW'!$B19,'OI 2020'!$K$144:$K$165)*$E19</f>
        <v>0</v>
      </c>
      <c r="S19" s="1">
        <f>SUMIF('OI 2020'!$I$144:$I$165,'Vestas turbines hist MW'!B19,'OI 2020'!$K$144:$K$165)*$E19</f>
        <v>0</v>
      </c>
      <c r="T19" s="1">
        <f>SUMIF('OI 2019'!$I$114:$I$131,'Vestas turbines hist MW'!B19,'OI 2019'!$L$114:$L$131)*$E19</f>
        <v>0</v>
      </c>
      <c r="U19" s="1">
        <f>SUMIF('OI 2018'!$I$114:$I$131,'Vestas turbines hist MW'!B19,'OI 2018'!$L$114:$L$131)*$E19</f>
        <v>0</v>
      </c>
      <c r="V19" s="1">
        <f>SUMIF('OI 2017'!$I$113:$I$130,'Vestas turbines hist MW'!B19,'OI 2017'!$L$113:$L$130)*$E19</f>
        <v>0</v>
      </c>
      <c r="W19" s="1">
        <f>SUMIF('OI 2016'!$I$87:$I$99,'Vestas turbines hist MW'!$B19,'OI 2016'!$L$87:$L$99)*$E19</f>
        <v>0</v>
      </c>
      <c r="X19" s="1">
        <f>SUMIF('OI 2015'!$I$87:$I$101,'Vestas turbines hist MW'!$B19,'OI 2015'!$L$87:$L$101)*$E19</f>
        <v>0</v>
      </c>
      <c r="Y19" s="1">
        <f>SUMIF('OI 2014'!$I$87:$I$101,'Vestas turbines hist MW'!$B19,'OI 2014'!$L$87:$L$101)*$E19</f>
        <v>0</v>
      </c>
      <c r="Z19" s="1">
        <f>SUMIF('OI 2013'!$I$87:$I$101,'Vestas turbines hist MW'!$B19,'OI 2013'!$L$87:$L$101)*$E19</f>
        <v>0</v>
      </c>
      <c r="AA19" s="1">
        <f>SUMIF('OI 2012'!$I$87:$I$101,'Vestas turbines hist MW'!$B19,'OI 2012'!$L$87:$L$101)*$E19</f>
        <v>0</v>
      </c>
      <c r="AB19" s="1">
        <f>SUMIF('OI 2011'!$I$95:$I$104,'Vestas turbines hist MW'!$B19,'OI 2011'!$L$95:$L$104)*$E19</f>
        <v>0</v>
      </c>
      <c r="AC19" s="1">
        <f>SUMIF('OI 2010'!$I$95:$I$107,'Vestas turbines hist MW'!$B19,'OI 2010'!$L$95:$L$107)*$E19</f>
        <v>0</v>
      </c>
      <c r="AD19" s="1">
        <f>SUMIF('OI 2009'!$I$95:$I$107,'Vestas turbines hist MW'!$B19,'OI 2009'!$L$95:$L$107)*$E19</f>
        <v>0</v>
      </c>
      <c r="AE19" s="1">
        <f>SUMIF('OI 2008'!$I$95:$I$107,'Vestas turbines hist MW'!$B19,'OI 2008'!$L$95:$L$107)*$E19</f>
        <v>0</v>
      </c>
    </row>
    <row r="20" spans="1:31" x14ac:dyDescent="0.25">
      <c r="A20" t="str">
        <f t="shared" si="1"/>
        <v>V52-0.85MW</v>
      </c>
      <c r="B20" t="s">
        <v>478</v>
      </c>
      <c r="C20" t="s">
        <v>733</v>
      </c>
      <c r="D20" t="s">
        <v>750</v>
      </c>
      <c r="E20" s="24">
        <f t="shared" si="2"/>
        <v>0.85</v>
      </c>
      <c r="F20">
        <v>850</v>
      </c>
      <c r="G20">
        <v>52</v>
      </c>
      <c r="H20">
        <v>2000</v>
      </c>
      <c r="I20">
        <v>22</v>
      </c>
      <c r="J20" t="s">
        <v>764</v>
      </c>
      <c r="K20">
        <v>10</v>
      </c>
      <c r="L20">
        <f t="shared" si="3"/>
        <v>2</v>
      </c>
      <c r="N20" s="1">
        <f t="shared" si="4"/>
        <v>609.20000000000005</v>
      </c>
      <c r="Q20" s="1">
        <f>SUMIF('OI 2022'!$I$158:$I$175,'Vestas turbines hist MW'!$B20,'OI 2022'!$K$158:$K$175)*$E20</f>
        <v>0</v>
      </c>
      <c r="R20" s="1">
        <f>SUMIF('OI 2021'!$I$146:$I$166,'Vestas turbines hist MW'!$B20,'OI 2021'!$K$146:$K$166)*$E20</f>
        <v>0</v>
      </c>
      <c r="S20" s="1">
        <f>SUMIF('OI 2020'!$I$144:$I$165,'Vestas turbines hist MW'!B20,'OI 2020'!$K$144:$K$165)*$E20</f>
        <v>0</v>
      </c>
      <c r="T20" s="1">
        <f>SUMIF('OI 2019'!$I$114:$I$131,'Vestas turbines hist MW'!B20,'OI 2019'!$L$114:$L$131)*$E20</f>
        <v>0</v>
      </c>
      <c r="U20" s="1">
        <f>SUMIF('OI 2018'!$I$114:$I$131,'Vestas turbines hist MW'!B20,'OI 2018'!$L$114:$L$131)*$E20</f>
        <v>0</v>
      </c>
      <c r="V20" s="1">
        <f>SUMIF('OI 2017'!$I$113:$I$130,'Vestas turbines hist MW'!B20,'OI 2017'!$L$113:$L$130)*$E20</f>
        <v>0</v>
      </c>
      <c r="W20" s="1">
        <f>SUMIF('OI 2016'!$I$87:$I$99,'Vestas turbines hist MW'!$B20,'OI 2016'!$L$87:$L$99)*$E20</f>
        <v>0</v>
      </c>
      <c r="X20" s="1">
        <f>SUMIF('OI 2015'!$I$87:$I$101,'Vestas turbines hist MW'!$B20,'OI 2015'!$L$87:$L$101)*$E20</f>
        <v>0</v>
      </c>
      <c r="Y20" s="1">
        <f>SUMIF('OI 2014'!$I$87:$I$101,'Vestas turbines hist MW'!$B20,'OI 2014'!$L$87:$L$101)*$E20</f>
        <v>310</v>
      </c>
      <c r="Z20" s="1">
        <f>SUMIF('OI 2013'!$I$87:$I$101,'Vestas turbines hist MW'!$B20,'OI 2013'!$L$87:$L$101)*$E20</f>
        <v>0</v>
      </c>
      <c r="AA20" s="1">
        <f>SUMIF('OI 2012'!$I$87:$I$101,'Vestas turbines hist MW'!$B20,'OI 2012'!$L$87:$L$101)*$E20</f>
        <v>0</v>
      </c>
      <c r="AB20" s="1">
        <f>SUMIF('OI 2011'!$I$95:$I$104,'Vestas turbines hist MW'!$B20,'OI 2011'!$L$95:$L$104)*$E20</f>
        <v>0</v>
      </c>
      <c r="AC20" s="1">
        <f>SUMIF('OI 2010'!$I$95:$I$107,'Vestas turbines hist MW'!$B20,'OI 2010'!$L$95:$L$107)*$E20</f>
        <v>97.75</v>
      </c>
      <c r="AD20" s="1">
        <f>SUMIF('OI 2009'!$I$95:$I$107,'Vestas turbines hist MW'!$B20,'OI 2009'!$L$95:$L$107)*$E20</f>
        <v>0</v>
      </c>
      <c r="AE20" s="1">
        <f>SUMIF('OI 2008'!$I$95:$I$107,'Vestas turbines hist MW'!$B20,'OI 2008'!$L$95:$L$107)*$E20</f>
        <v>201.45</v>
      </c>
    </row>
    <row r="21" spans="1:31" hidden="1" x14ac:dyDescent="0.25">
      <c r="A21" t="str">
        <f t="shared" si="1"/>
        <v>V60-0.85MW</v>
      </c>
      <c r="B21" t="s">
        <v>797</v>
      </c>
      <c r="C21" t="s">
        <v>734</v>
      </c>
      <c r="D21" t="s">
        <v>754</v>
      </c>
      <c r="E21" s="24">
        <f t="shared" si="2"/>
        <v>0.85</v>
      </c>
      <c r="F21">
        <v>850</v>
      </c>
      <c r="G21">
        <v>60</v>
      </c>
      <c r="H21" t="s">
        <v>752</v>
      </c>
      <c r="I21" t="s">
        <v>752</v>
      </c>
      <c r="J21" t="s">
        <v>752</v>
      </c>
      <c r="K21" t="s">
        <v>752</v>
      </c>
      <c r="L21">
        <f t="shared" si="3"/>
        <v>0</v>
      </c>
      <c r="N21" s="1">
        <f t="shared" si="4"/>
        <v>0</v>
      </c>
      <c r="Q21" s="1">
        <f>SUMIF('OI 2022'!$I$158:$I$175,'Vestas turbines hist MW'!$B21,'OI 2022'!$K$158:$K$175)*$E21</f>
        <v>0</v>
      </c>
      <c r="R21" s="1">
        <f>SUMIF('OI 2021'!$I$146:$I$166,'Vestas turbines hist MW'!$B21,'OI 2021'!$K$146:$K$166)*$E21</f>
        <v>0</v>
      </c>
      <c r="S21" s="1">
        <f>SUMIF('OI 2020'!$I$144:$I$165,'Vestas turbines hist MW'!B21,'OI 2020'!$K$144:$K$165)*$E21</f>
        <v>0</v>
      </c>
      <c r="T21" s="1">
        <f>SUMIF('OI 2019'!$I$114:$I$131,'Vestas turbines hist MW'!B21,'OI 2019'!$L$114:$L$131)*$E21</f>
        <v>0</v>
      </c>
      <c r="U21" s="1">
        <f>SUMIF('OI 2018'!$I$114:$I$131,'Vestas turbines hist MW'!B21,'OI 2018'!$L$114:$L$131)*$E21</f>
        <v>0</v>
      </c>
      <c r="V21" s="1">
        <f>SUMIF('OI 2017'!$I$113:$I$130,'Vestas turbines hist MW'!B21,'OI 2017'!$L$113:$L$130)*$E21</f>
        <v>0</v>
      </c>
      <c r="W21" s="1">
        <f>SUMIF('OI 2016'!$I$87:$I$99,'Vestas turbines hist MW'!$B21,'OI 2016'!$L$87:$L$99)*$E21</f>
        <v>0</v>
      </c>
      <c r="X21" s="1">
        <f>SUMIF('OI 2015'!$I$87:$I$101,'Vestas turbines hist MW'!$B21,'OI 2015'!$L$87:$L$101)*$E21</f>
        <v>0</v>
      </c>
      <c r="Y21" s="1">
        <f>SUMIF('OI 2014'!$I$87:$I$101,'Vestas turbines hist MW'!$B21,'OI 2014'!$L$87:$L$101)*$E21</f>
        <v>0</v>
      </c>
      <c r="Z21" s="1">
        <f>SUMIF('OI 2013'!$I$87:$I$101,'Vestas turbines hist MW'!$B21,'OI 2013'!$L$87:$L$101)*$E21</f>
        <v>0</v>
      </c>
      <c r="AA21" s="1">
        <f>SUMIF('OI 2012'!$I$87:$I$101,'Vestas turbines hist MW'!$B21,'OI 2012'!$L$87:$L$101)*$E21</f>
        <v>0</v>
      </c>
      <c r="AB21" s="1">
        <f>SUMIF('OI 2011'!$I$95:$I$104,'Vestas turbines hist MW'!$B21,'OI 2011'!$L$95:$L$104)*$E21</f>
        <v>0</v>
      </c>
      <c r="AC21" s="1">
        <f>SUMIF('OI 2010'!$I$95:$I$107,'Vestas turbines hist MW'!$B21,'OI 2010'!$L$95:$L$107)*$E21</f>
        <v>0</v>
      </c>
      <c r="AD21" s="1">
        <f>SUMIF('OI 2009'!$I$95:$I$107,'Vestas turbines hist MW'!$B21,'OI 2009'!$L$95:$L$107)*$E21</f>
        <v>0</v>
      </c>
      <c r="AE21" s="1">
        <f>SUMIF('OI 2008'!$I$95:$I$107,'Vestas turbines hist MW'!$B21,'OI 2008'!$L$95:$L$107)*$E21</f>
        <v>0</v>
      </c>
    </row>
    <row r="22" spans="1:31" hidden="1" x14ac:dyDescent="0.25">
      <c r="A22" t="str">
        <f t="shared" si="1"/>
        <v>V63-1.5MW</v>
      </c>
      <c r="B22" t="s">
        <v>798</v>
      </c>
      <c r="C22" t="s">
        <v>735</v>
      </c>
      <c r="D22" t="s">
        <v>752</v>
      </c>
      <c r="E22" s="24">
        <f t="shared" si="2"/>
        <v>1.5</v>
      </c>
      <c r="F22">
        <v>1500</v>
      </c>
      <c r="G22" t="s">
        <v>763</v>
      </c>
      <c r="H22">
        <v>1995</v>
      </c>
      <c r="I22">
        <v>52.2</v>
      </c>
      <c r="J22">
        <v>29.7</v>
      </c>
      <c r="K22">
        <v>76</v>
      </c>
      <c r="L22">
        <f t="shared" si="3"/>
        <v>0</v>
      </c>
      <c r="N22" s="1">
        <f t="shared" si="4"/>
        <v>0</v>
      </c>
      <c r="Q22" s="1">
        <f>SUMIF('OI 2022'!$I$158:$I$175,'Vestas turbines hist MW'!$B22,'OI 2022'!$K$158:$K$175)*$E22</f>
        <v>0</v>
      </c>
      <c r="R22" s="1">
        <f>SUMIF('OI 2021'!$I$146:$I$166,'Vestas turbines hist MW'!$B22,'OI 2021'!$K$146:$K$166)*$E22</f>
        <v>0</v>
      </c>
      <c r="S22" s="1">
        <f>SUMIF('OI 2020'!$I$144:$I$165,'Vestas turbines hist MW'!B22,'OI 2020'!$K$144:$K$165)*$E22</f>
        <v>0</v>
      </c>
      <c r="T22" s="1">
        <f>SUMIF('OI 2019'!$I$114:$I$131,'Vestas turbines hist MW'!B22,'OI 2019'!$L$114:$L$131)*$E22</f>
        <v>0</v>
      </c>
      <c r="U22" s="1">
        <f>SUMIF('OI 2018'!$I$114:$I$131,'Vestas turbines hist MW'!B22,'OI 2018'!$L$114:$L$131)*$E22</f>
        <v>0</v>
      </c>
      <c r="V22" s="1">
        <f>SUMIF('OI 2017'!$I$113:$I$130,'Vestas turbines hist MW'!B22,'OI 2017'!$L$113:$L$130)*$E22</f>
        <v>0</v>
      </c>
      <c r="W22" s="1">
        <f>SUMIF('OI 2016'!$I$87:$I$99,'Vestas turbines hist MW'!$B22,'OI 2016'!$L$87:$L$99)*$E22</f>
        <v>0</v>
      </c>
      <c r="X22" s="1">
        <f>SUMIF('OI 2015'!$I$87:$I$101,'Vestas turbines hist MW'!$B22,'OI 2015'!$L$87:$L$101)*$E22</f>
        <v>0</v>
      </c>
      <c r="Y22" s="1">
        <f>SUMIF('OI 2014'!$I$87:$I$101,'Vestas turbines hist MW'!$B22,'OI 2014'!$L$87:$L$101)*$E22</f>
        <v>0</v>
      </c>
      <c r="Z22" s="1">
        <f>SUMIF('OI 2013'!$I$87:$I$101,'Vestas turbines hist MW'!$B22,'OI 2013'!$L$87:$L$101)*$E22</f>
        <v>0</v>
      </c>
      <c r="AA22" s="1">
        <f>SUMIF('OI 2012'!$I$87:$I$101,'Vestas turbines hist MW'!$B22,'OI 2012'!$L$87:$L$101)*$E22</f>
        <v>0</v>
      </c>
      <c r="AB22" s="1">
        <f>SUMIF('OI 2011'!$I$95:$I$104,'Vestas turbines hist MW'!$B22,'OI 2011'!$L$95:$L$104)*$E22</f>
        <v>0</v>
      </c>
      <c r="AC22" s="1">
        <f>SUMIF('OI 2010'!$I$95:$I$107,'Vestas turbines hist MW'!$B22,'OI 2010'!$L$95:$L$107)*$E22</f>
        <v>0</v>
      </c>
      <c r="AD22" s="1">
        <f>SUMIF('OI 2009'!$I$95:$I$107,'Vestas turbines hist MW'!$B22,'OI 2009'!$L$95:$L$107)*$E22</f>
        <v>0</v>
      </c>
      <c r="AE22" s="1">
        <f>SUMIF('OI 2008'!$I$95:$I$107,'Vestas turbines hist MW'!$B22,'OI 2008'!$L$95:$L$107)*$E22</f>
        <v>0</v>
      </c>
    </row>
    <row r="23" spans="1:31" hidden="1" x14ac:dyDescent="0.25">
      <c r="A23" t="str">
        <f t="shared" si="1"/>
        <v>V66-1.65MW</v>
      </c>
      <c r="B23" t="s">
        <v>799</v>
      </c>
      <c r="C23" t="s">
        <v>736</v>
      </c>
      <c r="D23" t="s">
        <v>752</v>
      </c>
      <c r="E23" s="24">
        <f t="shared" si="2"/>
        <v>1.65</v>
      </c>
      <c r="F23">
        <v>1650</v>
      </c>
      <c r="G23">
        <v>66</v>
      </c>
      <c r="H23" t="s">
        <v>752</v>
      </c>
      <c r="I23">
        <v>53</v>
      </c>
      <c r="J23">
        <v>141</v>
      </c>
      <c r="K23">
        <v>22.8</v>
      </c>
      <c r="L23">
        <f t="shared" si="3"/>
        <v>0</v>
      </c>
      <c r="N23" s="1">
        <f t="shared" si="4"/>
        <v>0</v>
      </c>
      <c r="Q23" s="1">
        <f>SUMIF('OI 2022'!$I$158:$I$175,'Vestas turbines hist MW'!$B23,'OI 2022'!$K$158:$K$175)*$E23</f>
        <v>0</v>
      </c>
      <c r="R23" s="1">
        <f>SUMIF('OI 2021'!$I$146:$I$166,'Vestas turbines hist MW'!$B23,'OI 2021'!$K$146:$K$166)*$E23</f>
        <v>0</v>
      </c>
      <c r="S23" s="1">
        <f>SUMIF('OI 2020'!$I$144:$I$165,'Vestas turbines hist MW'!B23,'OI 2020'!$K$144:$K$165)*$E23</f>
        <v>0</v>
      </c>
      <c r="T23" s="1">
        <f>SUMIF('OI 2019'!$I$114:$I$131,'Vestas turbines hist MW'!B23,'OI 2019'!$L$114:$L$131)*$E23</f>
        <v>0</v>
      </c>
      <c r="U23" s="1">
        <f>SUMIF('OI 2018'!$I$114:$I$131,'Vestas turbines hist MW'!B23,'OI 2018'!$L$114:$L$131)*$E23</f>
        <v>0</v>
      </c>
      <c r="V23" s="1">
        <f>SUMIF('OI 2017'!$I$113:$I$130,'Vestas turbines hist MW'!B23,'OI 2017'!$L$113:$L$130)*$E23</f>
        <v>0</v>
      </c>
      <c r="W23" s="1">
        <f>SUMIF('OI 2016'!$I$87:$I$99,'Vestas turbines hist MW'!$B23,'OI 2016'!$L$87:$L$99)*$E23</f>
        <v>0</v>
      </c>
      <c r="X23" s="1">
        <f>SUMIF('OI 2015'!$I$87:$I$101,'Vestas turbines hist MW'!$B23,'OI 2015'!$L$87:$L$101)*$E23</f>
        <v>0</v>
      </c>
      <c r="Y23" s="1">
        <f>SUMIF('OI 2014'!$I$87:$I$101,'Vestas turbines hist MW'!$B23,'OI 2014'!$L$87:$L$101)*$E23</f>
        <v>0</v>
      </c>
      <c r="Z23" s="1">
        <f>SUMIF('OI 2013'!$I$87:$I$101,'Vestas turbines hist MW'!$B23,'OI 2013'!$L$87:$L$101)*$E23</f>
        <v>0</v>
      </c>
      <c r="AA23" s="1">
        <f>SUMIF('OI 2012'!$I$87:$I$101,'Vestas turbines hist MW'!$B23,'OI 2012'!$L$87:$L$101)*$E23</f>
        <v>0</v>
      </c>
      <c r="AB23" s="1">
        <f>SUMIF('OI 2011'!$I$95:$I$104,'Vestas turbines hist MW'!$B23,'OI 2011'!$L$95:$L$104)*$E23</f>
        <v>0</v>
      </c>
      <c r="AC23" s="1">
        <f>SUMIF('OI 2010'!$I$95:$I$107,'Vestas turbines hist MW'!$B23,'OI 2010'!$L$95:$L$107)*$E23</f>
        <v>0</v>
      </c>
      <c r="AD23" s="1">
        <f>SUMIF('OI 2009'!$I$95:$I$107,'Vestas turbines hist MW'!$B23,'OI 2009'!$L$95:$L$107)*$E23</f>
        <v>0</v>
      </c>
      <c r="AE23" s="1">
        <f>SUMIF('OI 2008'!$I$95:$I$107,'Vestas turbines hist MW'!$B23,'OI 2008'!$L$95:$L$107)*$E23</f>
        <v>0</v>
      </c>
    </row>
    <row r="24" spans="1:31" hidden="1" x14ac:dyDescent="0.25">
      <c r="A24" t="str">
        <f t="shared" si="1"/>
        <v>V66-1.75MW</v>
      </c>
      <c r="B24" t="s">
        <v>800</v>
      </c>
      <c r="C24" t="s">
        <v>737</v>
      </c>
      <c r="D24" t="s">
        <v>752</v>
      </c>
      <c r="E24" s="24">
        <f t="shared" si="2"/>
        <v>1.75</v>
      </c>
      <c r="F24">
        <v>1750</v>
      </c>
      <c r="G24">
        <v>66</v>
      </c>
      <c r="H24">
        <v>1999</v>
      </c>
      <c r="I24">
        <v>57</v>
      </c>
      <c r="J24">
        <v>199</v>
      </c>
      <c r="K24">
        <v>23</v>
      </c>
      <c r="L24">
        <f t="shared" si="3"/>
        <v>0</v>
      </c>
      <c r="N24" s="1">
        <f t="shared" si="4"/>
        <v>0</v>
      </c>
      <c r="Q24" s="1">
        <f>SUMIF('OI 2022'!$I$158:$I$175,'Vestas turbines hist MW'!$B24,'OI 2022'!$K$158:$K$175)*$E24</f>
        <v>0</v>
      </c>
      <c r="R24" s="1">
        <f>SUMIF('OI 2021'!$I$146:$I$166,'Vestas turbines hist MW'!$B24,'OI 2021'!$K$146:$K$166)*$E24</f>
        <v>0</v>
      </c>
      <c r="S24" s="1">
        <f>SUMIF('OI 2020'!$I$144:$I$165,'Vestas turbines hist MW'!B24,'OI 2020'!$K$144:$K$165)*$E24</f>
        <v>0</v>
      </c>
      <c r="T24" s="1">
        <f>SUMIF('OI 2019'!$I$114:$I$131,'Vestas turbines hist MW'!B24,'OI 2019'!$L$114:$L$131)*$E24</f>
        <v>0</v>
      </c>
      <c r="U24" s="1">
        <f>SUMIF('OI 2018'!$I$114:$I$131,'Vestas turbines hist MW'!B24,'OI 2018'!$L$114:$L$131)*$E24</f>
        <v>0</v>
      </c>
      <c r="V24" s="1">
        <f>SUMIF('OI 2017'!$I$113:$I$130,'Vestas turbines hist MW'!B24,'OI 2017'!$L$113:$L$130)*$E24</f>
        <v>0</v>
      </c>
      <c r="W24" s="1">
        <f>SUMIF('OI 2016'!$I$87:$I$99,'Vestas turbines hist MW'!$B24,'OI 2016'!$L$87:$L$99)*$E24</f>
        <v>0</v>
      </c>
      <c r="X24" s="1">
        <f>SUMIF('OI 2015'!$I$87:$I$101,'Vestas turbines hist MW'!$B24,'OI 2015'!$L$87:$L$101)*$E24</f>
        <v>0</v>
      </c>
      <c r="Y24" s="1">
        <f>SUMIF('OI 2014'!$I$87:$I$101,'Vestas turbines hist MW'!$B24,'OI 2014'!$L$87:$L$101)*$E24</f>
        <v>0</v>
      </c>
      <c r="Z24" s="1">
        <f>SUMIF('OI 2013'!$I$87:$I$101,'Vestas turbines hist MW'!$B24,'OI 2013'!$L$87:$L$101)*$E24</f>
        <v>0</v>
      </c>
      <c r="AA24" s="1">
        <f>SUMIF('OI 2012'!$I$87:$I$101,'Vestas turbines hist MW'!$B24,'OI 2012'!$L$87:$L$101)*$E24</f>
        <v>0</v>
      </c>
      <c r="AB24" s="1">
        <f>SUMIF('OI 2011'!$I$95:$I$104,'Vestas turbines hist MW'!$B24,'OI 2011'!$L$95:$L$104)*$E24</f>
        <v>0</v>
      </c>
      <c r="AC24" s="1">
        <f>SUMIF('OI 2010'!$I$95:$I$107,'Vestas turbines hist MW'!$B24,'OI 2010'!$L$95:$L$107)*$E24</f>
        <v>0</v>
      </c>
      <c r="AD24" s="1">
        <f>SUMIF('OI 2009'!$I$95:$I$107,'Vestas turbines hist MW'!$B24,'OI 2009'!$L$95:$L$107)*$E24</f>
        <v>0</v>
      </c>
      <c r="AE24" s="1">
        <f>SUMIF('OI 2008'!$I$95:$I$107,'Vestas turbines hist MW'!$B24,'OI 2008'!$L$95:$L$107)*$E24</f>
        <v>0</v>
      </c>
    </row>
    <row r="25" spans="1:31" hidden="1" x14ac:dyDescent="0.25">
      <c r="A25" t="str">
        <f t="shared" si="1"/>
        <v>V66-2MW</v>
      </c>
      <c r="B25" t="s">
        <v>801</v>
      </c>
      <c r="C25" t="s">
        <v>738</v>
      </c>
      <c r="D25" t="s">
        <v>751</v>
      </c>
      <c r="E25" s="24">
        <f t="shared" si="2"/>
        <v>2</v>
      </c>
      <c r="F25">
        <v>2000</v>
      </c>
      <c r="G25">
        <v>66</v>
      </c>
      <c r="H25" t="s">
        <v>752</v>
      </c>
      <c r="I25">
        <v>57</v>
      </c>
      <c r="J25">
        <v>146</v>
      </c>
      <c r="K25">
        <v>23</v>
      </c>
      <c r="L25">
        <f t="shared" si="3"/>
        <v>0</v>
      </c>
      <c r="N25" s="1">
        <f t="shared" si="4"/>
        <v>0</v>
      </c>
      <c r="Q25" s="1">
        <f>SUMIF('OI 2022'!$I$158:$I$175,'Vestas turbines hist MW'!$B25,'OI 2022'!$K$158:$K$175)*$E25</f>
        <v>0</v>
      </c>
      <c r="R25" s="1">
        <f>SUMIF('OI 2021'!$I$146:$I$166,'Vestas turbines hist MW'!$B25,'OI 2021'!$K$146:$K$166)*$E25</f>
        <v>0</v>
      </c>
      <c r="S25" s="1">
        <f>SUMIF('OI 2020'!$I$144:$I$165,'Vestas turbines hist MW'!B25,'OI 2020'!$K$144:$K$165)*$E25</f>
        <v>0</v>
      </c>
      <c r="T25" s="1">
        <f>SUMIF('OI 2019'!$I$114:$I$131,'Vestas turbines hist MW'!B25,'OI 2019'!$L$114:$L$131)*$E25</f>
        <v>0</v>
      </c>
      <c r="U25" s="1">
        <f>SUMIF('OI 2018'!$I$114:$I$131,'Vestas turbines hist MW'!B25,'OI 2018'!$L$114:$L$131)*$E25</f>
        <v>0</v>
      </c>
      <c r="V25" s="1">
        <f>SUMIF('OI 2017'!$I$113:$I$130,'Vestas turbines hist MW'!B25,'OI 2017'!$L$113:$L$130)*$E25</f>
        <v>0</v>
      </c>
      <c r="W25" s="1">
        <f>SUMIF('OI 2016'!$I$87:$I$99,'Vestas turbines hist MW'!$B25,'OI 2016'!$L$87:$L$99)*$E25</f>
        <v>0</v>
      </c>
      <c r="X25" s="1">
        <f>SUMIF('OI 2015'!$I$87:$I$101,'Vestas turbines hist MW'!$B25,'OI 2015'!$L$87:$L$101)*$E25</f>
        <v>0</v>
      </c>
      <c r="Y25" s="1">
        <f>SUMIF('OI 2014'!$I$87:$I$101,'Vestas turbines hist MW'!$B25,'OI 2014'!$L$87:$L$101)*$E25</f>
        <v>0</v>
      </c>
      <c r="Z25" s="1">
        <f>SUMIF('OI 2013'!$I$87:$I$101,'Vestas turbines hist MW'!$B25,'OI 2013'!$L$87:$L$101)*$E25</f>
        <v>0</v>
      </c>
      <c r="AA25" s="1">
        <f>SUMIF('OI 2012'!$I$87:$I$101,'Vestas turbines hist MW'!$B25,'OI 2012'!$L$87:$L$101)*$E25</f>
        <v>0</v>
      </c>
      <c r="AB25" s="1">
        <f>SUMIF('OI 2011'!$I$95:$I$104,'Vestas turbines hist MW'!$B25,'OI 2011'!$L$95:$L$104)*$E25</f>
        <v>0</v>
      </c>
      <c r="AC25" s="1">
        <f>SUMIF('OI 2010'!$I$95:$I$107,'Vestas turbines hist MW'!$B25,'OI 2010'!$L$95:$L$107)*$E25</f>
        <v>0</v>
      </c>
      <c r="AD25" s="1">
        <f>SUMIF('OI 2009'!$I$95:$I$107,'Vestas turbines hist MW'!$B25,'OI 2009'!$L$95:$L$107)*$E25</f>
        <v>0</v>
      </c>
      <c r="AE25" s="1">
        <f>SUMIF('OI 2008'!$I$95:$I$107,'Vestas turbines hist MW'!$B25,'OI 2008'!$L$95:$L$107)*$E25</f>
        <v>0</v>
      </c>
    </row>
    <row r="26" spans="1:31" hidden="1" x14ac:dyDescent="0.25">
      <c r="A26" t="str">
        <f t="shared" si="1"/>
        <v>V70-1.65MW</v>
      </c>
      <c r="B26" t="s">
        <v>802</v>
      </c>
      <c r="C26" t="s">
        <v>739</v>
      </c>
      <c r="D26" t="s">
        <v>752</v>
      </c>
      <c r="E26" s="24">
        <f t="shared" si="2"/>
        <v>1.65</v>
      </c>
      <c r="F26">
        <v>1650</v>
      </c>
      <c r="G26">
        <v>70</v>
      </c>
      <c r="H26" t="s">
        <v>752</v>
      </c>
      <c r="I26" t="s">
        <v>752</v>
      </c>
      <c r="J26" t="s">
        <v>752</v>
      </c>
      <c r="K26" t="s">
        <v>752</v>
      </c>
      <c r="L26">
        <f t="shared" si="3"/>
        <v>0</v>
      </c>
      <c r="N26" s="1">
        <f t="shared" si="4"/>
        <v>0</v>
      </c>
      <c r="Q26" s="1">
        <f>SUMIF('OI 2022'!$I$158:$I$175,'Vestas turbines hist MW'!$B26,'OI 2022'!$K$158:$K$175)*$E26</f>
        <v>0</v>
      </c>
      <c r="R26" s="1">
        <f>SUMIF('OI 2021'!$I$146:$I$166,'Vestas turbines hist MW'!$B26,'OI 2021'!$K$146:$K$166)*$E26</f>
        <v>0</v>
      </c>
      <c r="S26" s="1">
        <f>SUMIF('OI 2020'!$I$144:$I$165,'Vestas turbines hist MW'!B26,'OI 2020'!$K$144:$K$165)*$E26</f>
        <v>0</v>
      </c>
      <c r="T26" s="1">
        <f>SUMIF('OI 2019'!$I$114:$I$131,'Vestas turbines hist MW'!B26,'OI 2019'!$L$114:$L$131)*$E26</f>
        <v>0</v>
      </c>
      <c r="U26" s="1">
        <f>SUMIF('OI 2018'!$I$114:$I$131,'Vestas turbines hist MW'!B26,'OI 2018'!$L$114:$L$131)*$E26</f>
        <v>0</v>
      </c>
      <c r="V26" s="1">
        <f>SUMIF('OI 2017'!$I$113:$I$130,'Vestas turbines hist MW'!B26,'OI 2017'!$L$113:$L$130)*$E26</f>
        <v>0</v>
      </c>
      <c r="W26" s="1">
        <f>SUMIF('OI 2016'!$I$87:$I$99,'Vestas turbines hist MW'!$B26,'OI 2016'!$L$87:$L$99)*$E26</f>
        <v>0</v>
      </c>
      <c r="X26" s="1">
        <f>SUMIF('OI 2015'!$I$87:$I$101,'Vestas turbines hist MW'!$B26,'OI 2015'!$L$87:$L$101)*$E26</f>
        <v>0</v>
      </c>
      <c r="Y26" s="1">
        <f>SUMIF('OI 2014'!$I$87:$I$101,'Vestas turbines hist MW'!$B26,'OI 2014'!$L$87:$L$101)*$E26</f>
        <v>0</v>
      </c>
      <c r="Z26" s="1">
        <f>SUMIF('OI 2013'!$I$87:$I$101,'Vestas turbines hist MW'!$B26,'OI 2013'!$L$87:$L$101)*$E26</f>
        <v>0</v>
      </c>
      <c r="AA26" s="1">
        <f>SUMIF('OI 2012'!$I$87:$I$101,'Vestas turbines hist MW'!$B26,'OI 2012'!$L$87:$L$101)*$E26</f>
        <v>0</v>
      </c>
      <c r="AB26" s="1">
        <f>SUMIF('OI 2011'!$I$95:$I$104,'Vestas turbines hist MW'!$B26,'OI 2011'!$L$95:$L$104)*$E26</f>
        <v>0</v>
      </c>
      <c r="AC26" s="1">
        <f>SUMIF('OI 2010'!$I$95:$I$107,'Vestas turbines hist MW'!$B26,'OI 2010'!$L$95:$L$107)*$E26</f>
        <v>0</v>
      </c>
      <c r="AD26" s="1">
        <f>SUMIF('OI 2009'!$I$95:$I$107,'Vestas turbines hist MW'!$B26,'OI 2009'!$L$95:$L$107)*$E26</f>
        <v>0</v>
      </c>
      <c r="AE26" s="1">
        <f>SUMIF('OI 2008'!$I$95:$I$107,'Vestas turbines hist MW'!$B26,'OI 2008'!$L$95:$L$107)*$E26</f>
        <v>0</v>
      </c>
    </row>
    <row r="27" spans="1:31" hidden="1" x14ac:dyDescent="0.25">
      <c r="A27" t="str">
        <f t="shared" si="1"/>
        <v>V80-1.8MW</v>
      </c>
      <c r="B27" t="s">
        <v>803</v>
      </c>
      <c r="C27" t="s">
        <v>740</v>
      </c>
      <c r="D27" t="s">
        <v>755</v>
      </c>
      <c r="E27" s="24">
        <f t="shared" si="2"/>
        <v>1.8</v>
      </c>
      <c r="F27">
        <v>1800</v>
      </c>
      <c r="G27">
        <v>80</v>
      </c>
      <c r="H27" t="s">
        <v>752</v>
      </c>
      <c r="I27">
        <v>67</v>
      </c>
      <c r="J27" t="s">
        <v>765</v>
      </c>
      <c r="K27">
        <v>37</v>
      </c>
      <c r="L27">
        <f t="shared" si="3"/>
        <v>0</v>
      </c>
      <c r="N27" s="1">
        <f t="shared" si="4"/>
        <v>0</v>
      </c>
      <c r="Q27" s="1">
        <f>SUMIF('OI 2022'!$I$158:$I$175,'Vestas turbines hist MW'!$B27,'OI 2022'!$K$158:$K$175)*$E27</f>
        <v>0</v>
      </c>
      <c r="R27" s="1">
        <f>SUMIF('OI 2021'!$I$146:$I$166,'Vestas turbines hist MW'!$B27,'OI 2021'!$K$146:$K$166)*$E27</f>
        <v>0</v>
      </c>
      <c r="S27" s="1">
        <f>SUMIF('OI 2020'!$I$144:$I$165,'Vestas turbines hist MW'!B27,'OI 2020'!$K$144:$K$165)*$E27</f>
        <v>0</v>
      </c>
      <c r="T27" s="1">
        <f>SUMIF('OI 2019'!$I$114:$I$131,'Vestas turbines hist MW'!B27,'OI 2019'!$L$114:$L$131)*$E27</f>
        <v>0</v>
      </c>
      <c r="U27" s="1">
        <f>SUMIF('OI 2018'!$I$114:$I$131,'Vestas turbines hist MW'!B27,'OI 2018'!$L$114:$L$131)*$E27</f>
        <v>0</v>
      </c>
      <c r="V27" s="1">
        <f>SUMIF('OI 2017'!$I$113:$I$130,'Vestas turbines hist MW'!B27,'OI 2017'!$L$113:$L$130)*$E27</f>
        <v>0</v>
      </c>
      <c r="W27" s="1">
        <f>SUMIF('OI 2016'!$I$87:$I$99,'Vestas turbines hist MW'!$B27,'OI 2016'!$L$87:$L$99)*$E27</f>
        <v>0</v>
      </c>
      <c r="X27" s="1">
        <f>SUMIF('OI 2015'!$I$87:$I$101,'Vestas turbines hist MW'!$B27,'OI 2015'!$L$87:$L$101)*$E27</f>
        <v>0</v>
      </c>
      <c r="Y27" s="1">
        <f>SUMIF('OI 2014'!$I$87:$I$101,'Vestas turbines hist MW'!$B27,'OI 2014'!$L$87:$L$101)*$E27</f>
        <v>0</v>
      </c>
      <c r="Z27" s="1">
        <f>SUMIF('OI 2013'!$I$87:$I$101,'Vestas turbines hist MW'!$B27,'OI 2013'!$L$87:$L$101)*$E27</f>
        <v>0</v>
      </c>
      <c r="AA27" s="1">
        <f>SUMIF('OI 2012'!$I$87:$I$101,'Vestas turbines hist MW'!$B27,'OI 2012'!$L$87:$L$101)*$E27</f>
        <v>0</v>
      </c>
      <c r="AB27" s="1">
        <f>SUMIF('OI 2011'!$I$95:$I$104,'Vestas turbines hist MW'!$B27,'OI 2011'!$L$95:$L$104)*$E27</f>
        <v>0</v>
      </c>
      <c r="AC27" s="1">
        <f>SUMIF('OI 2010'!$I$95:$I$107,'Vestas turbines hist MW'!$B27,'OI 2010'!$L$95:$L$107)*$E27</f>
        <v>0</v>
      </c>
      <c r="AD27" s="1">
        <f>SUMIF('OI 2009'!$I$95:$I$107,'Vestas turbines hist MW'!$B27,'OI 2009'!$L$95:$L$107)*$E27</f>
        <v>0</v>
      </c>
      <c r="AE27" s="1">
        <f>SUMIF('OI 2008'!$I$95:$I$107,'Vestas turbines hist MW'!$B27,'OI 2008'!$L$95:$L$107)*$E27</f>
        <v>0</v>
      </c>
    </row>
    <row r="28" spans="1:31" x14ac:dyDescent="0.25">
      <c r="A28" t="str">
        <f t="shared" si="1"/>
        <v>V80-2MW</v>
      </c>
      <c r="B28" t="s">
        <v>462</v>
      </c>
      <c r="C28" t="s">
        <v>741</v>
      </c>
      <c r="D28" t="s">
        <v>751</v>
      </c>
      <c r="E28" s="24">
        <f t="shared" si="2"/>
        <v>2</v>
      </c>
      <c r="F28">
        <v>2000</v>
      </c>
      <c r="G28">
        <v>80</v>
      </c>
      <c r="H28">
        <v>2000</v>
      </c>
      <c r="I28">
        <v>68</v>
      </c>
      <c r="J28" t="s">
        <v>766</v>
      </c>
      <c r="K28">
        <v>37</v>
      </c>
      <c r="L28">
        <f t="shared" si="3"/>
        <v>4</v>
      </c>
      <c r="N28" s="1">
        <f t="shared" si="4"/>
        <v>598</v>
      </c>
      <c r="Q28" s="1">
        <f>SUMIF('OI 2022'!$I$158:$I$175,'Vestas turbines hist MW'!$B28,'OI 2022'!$K$158:$K$175)*$E28</f>
        <v>0</v>
      </c>
      <c r="R28" s="1">
        <f>SUMIF('OI 2021'!$I$146:$I$166,'Vestas turbines hist MW'!$B28,'OI 2021'!$K$146:$K$166)*$E28</f>
        <v>0</v>
      </c>
      <c r="S28" s="1">
        <f>SUMIF('OI 2020'!$I$144:$I$165,'Vestas turbines hist MW'!B28,'OI 2020'!$K$144:$K$165)*$E28</f>
        <v>0</v>
      </c>
      <c r="T28" s="1">
        <f>SUMIF('OI 2019'!$I$114:$I$131,'Vestas turbines hist MW'!B28,'OI 2019'!$L$114:$L$131)*$E28</f>
        <v>0</v>
      </c>
      <c r="U28" s="1">
        <f>SUMIF('OI 2018'!$I$114:$I$131,'Vestas turbines hist MW'!B28,'OI 2018'!$L$114:$L$131)*$E28</f>
        <v>0</v>
      </c>
      <c r="V28" s="1">
        <f>SUMIF('OI 2017'!$I$113:$I$130,'Vestas turbines hist MW'!B28,'OI 2017'!$L$113:$L$130)*$E28</f>
        <v>0</v>
      </c>
      <c r="W28" s="1">
        <f>SUMIF('OI 2016'!$I$87:$I$99,'Vestas turbines hist MW'!$B28,'OI 2016'!$L$87:$L$99)*$E28</f>
        <v>0</v>
      </c>
      <c r="X28" s="1">
        <f>SUMIF('OI 2015'!$I$87:$I$101,'Vestas turbines hist MW'!$B28,'OI 2015'!$L$87:$L$101)*$E28</f>
        <v>0</v>
      </c>
      <c r="Y28" s="1">
        <f>SUMIF('OI 2014'!$I$87:$I$101,'Vestas turbines hist MW'!$B28,'OI 2014'!$L$87:$L$101)*$E28</f>
        <v>68</v>
      </c>
      <c r="Z28" s="1">
        <f>SUMIF('OI 2013'!$I$87:$I$101,'Vestas turbines hist MW'!$B28,'OI 2013'!$L$87:$L$101)*$E28</f>
        <v>0</v>
      </c>
      <c r="AA28" s="1">
        <f>SUMIF('OI 2012'!$I$87:$I$101,'Vestas turbines hist MW'!$B28,'OI 2012'!$L$87:$L$101)*$E28</f>
        <v>94</v>
      </c>
      <c r="AB28" s="1">
        <f>SUMIF('OI 2011'!$I$95:$I$104,'Vestas turbines hist MW'!$B28,'OI 2011'!$L$95:$L$104)*$E28</f>
        <v>146</v>
      </c>
      <c r="AC28" s="1">
        <f>SUMIF('OI 2010'!$I$95:$I$107,'Vestas turbines hist MW'!$B28,'OI 2010'!$L$95:$L$107)*$E28</f>
        <v>114</v>
      </c>
      <c r="AD28" s="1">
        <f>SUMIF('OI 2009'!$I$95:$I$107,'Vestas turbines hist MW'!$B28,'OI 2009'!$L$95:$L$107)*$E28</f>
        <v>176</v>
      </c>
      <c r="AE28" s="1">
        <f>SUMIF('OI 2008'!$I$95:$I$107,'Vestas turbines hist MW'!$B28,'OI 2008'!$L$95:$L$107)*$E28</f>
        <v>0</v>
      </c>
    </row>
    <row r="29" spans="1:31" hidden="1" x14ac:dyDescent="0.25">
      <c r="A29" t="str">
        <f t="shared" si="1"/>
        <v>V82-1.5MW</v>
      </c>
      <c r="B29" t="s">
        <v>804</v>
      </c>
      <c r="C29" t="s">
        <v>742</v>
      </c>
      <c r="D29" t="s">
        <v>752</v>
      </c>
      <c r="E29" s="24">
        <f t="shared" si="2"/>
        <v>1.5</v>
      </c>
      <c r="F29">
        <v>1500</v>
      </c>
      <c r="G29">
        <v>82</v>
      </c>
      <c r="H29" t="s">
        <v>752</v>
      </c>
      <c r="I29" t="s">
        <v>752</v>
      </c>
      <c r="J29" t="s">
        <v>752</v>
      </c>
      <c r="K29" t="s">
        <v>752</v>
      </c>
      <c r="L29">
        <f t="shared" si="3"/>
        <v>0</v>
      </c>
      <c r="N29" s="1">
        <f t="shared" si="4"/>
        <v>0</v>
      </c>
      <c r="Q29" s="1">
        <f>SUMIF('OI 2022'!$I$158:$I$175,'Vestas turbines hist MW'!$B29,'OI 2022'!$K$158:$K$175)*$E29</f>
        <v>0</v>
      </c>
      <c r="R29" s="1">
        <f>SUMIF('OI 2021'!$I$146:$I$166,'Vestas turbines hist MW'!$B29,'OI 2021'!$K$146:$K$166)*$E29</f>
        <v>0</v>
      </c>
      <c r="S29" s="1">
        <f>SUMIF('OI 2020'!$I$144:$I$165,'Vestas turbines hist MW'!B29,'OI 2020'!$K$144:$K$165)*$E29</f>
        <v>0</v>
      </c>
      <c r="T29" s="1">
        <f>SUMIF('OI 2019'!$I$114:$I$131,'Vestas turbines hist MW'!B29,'OI 2019'!$L$114:$L$131)*$E29</f>
        <v>0</v>
      </c>
      <c r="U29" s="1">
        <f>SUMIF('OI 2018'!$I$114:$I$131,'Vestas turbines hist MW'!B29,'OI 2018'!$L$114:$L$131)*$E29</f>
        <v>0</v>
      </c>
      <c r="V29" s="1">
        <f>SUMIF('OI 2017'!$I$113:$I$130,'Vestas turbines hist MW'!B29,'OI 2017'!$L$113:$L$130)*$E29</f>
        <v>0</v>
      </c>
      <c r="W29" s="1">
        <f>SUMIF('OI 2016'!$I$87:$I$99,'Vestas turbines hist MW'!$B29,'OI 2016'!$L$87:$L$99)*$E29</f>
        <v>0</v>
      </c>
      <c r="X29" s="1">
        <f>SUMIF('OI 2015'!$I$87:$I$101,'Vestas turbines hist MW'!$B29,'OI 2015'!$L$87:$L$101)*$E29</f>
        <v>0</v>
      </c>
      <c r="Y29" s="1">
        <f>SUMIF('OI 2014'!$I$87:$I$101,'Vestas turbines hist MW'!$B29,'OI 2014'!$L$87:$L$101)*$E29</f>
        <v>0</v>
      </c>
      <c r="Z29" s="1">
        <f>SUMIF('OI 2013'!$I$87:$I$101,'Vestas turbines hist MW'!$B29,'OI 2013'!$L$87:$L$101)*$E29</f>
        <v>0</v>
      </c>
      <c r="AA29" s="1">
        <f>SUMIF('OI 2012'!$I$87:$I$101,'Vestas turbines hist MW'!$B29,'OI 2012'!$L$87:$L$101)*$E29</f>
        <v>0</v>
      </c>
      <c r="AB29" s="1">
        <f>SUMIF('OI 2011'!$I$95:$I$104,'Vestas turbines hist MW'!$B29,'OI 2011'!$L$95:$L$104)*$E29</f>
        <v>0</v>
      </c>
      <c r="AC29" s="1">
        <f>SUMIF('OI 2010'!$I$95:$I$107,'Vestas turbines hist MW'!$B29,'OI 2010'!$L$95:$L$107)*$E29</f>
        <v>0</v>
      </c>
      <c r="AD29" s="1">
        <f>SUMIF('OI 2009'!$I$95:$I$107,'Vestas turbines hist MW'!$B29,'OI 2009'!$L$95:$L$107)*$E29</f>
        <v>0</v>
      </c>
      <c r="AE29" s="1">
        <f>SUMIF('OI 2008'!$I$95:$I$107,'Vestas turbines hist MW'!$B29,'OI 2008'!$L$95:$L$107)*$E29</f>
        <v>0</v>
      </c>
    </row>
    <row r="30" spans="1:31" x14ac:dyDescent="0.25">
      <c r="A30" t="str">
        <f t="shared" si="1"/>
        <v>V82-1.65MW</v>
      </c>
      <c r="B30" t="s">
        <v>805</v>
      </c>
      <c r="C30" t="s">
        <v>743</v>
      </c>
      <c r="D30" t="s">
        <v>754</v>
      </c>
      <c r="E30" s="24">
        <f t="shared" si="2"/>
        <v>1.65</v>
      </c>
      <c r="F30">
        <v>1650</v>
      </c>
      <c r="G30">
        <v>82</v>
      </c>
      <c r="H30">
        <v>2003</v>
      </c>
      <c r="I30">
        <v>52</v>
      </c>
      <c r="J30" t="s">
        <v>767</v>
      </c>
      <c r="K30">
        <v>43</v>
      </c>
      <c r="L30">
        <f t="shared" si="3"/>
        <v>1</v>
      </c>
      <c r="N30" s="1">
        <f t="shared" si="4"/>
        <v>254.1</v>
      </c>
      <c r="Q30" s="1">
        <f>SUMIF('OI 2022'!$I$158:$I$175,'Vestas turbines hist MW'!$B30,'OI 2022'!$K$158:$K$175)*$E30</f>
        <v>0</v>
      </c>
      <c r="R30" s="1">
        <f>SUMIF('OI 2021'!$I$146:$I$166,'Vestas turbines hist MW'!$B30,'OI 2021'!$K$146:$K$166)*$E30</f>
        <v>0</v>
      </c>
      <c r="S30" s="1">
        <f>SUMIF('OI 2020'!$I$144:$I$165,'Vestas turbines hist MW'!B30,'OI 2020'!$K$144:$K$165)*$E30</f>
        <v>0</v>
      </c>
      <c r="T30" s="1">
        <f>SUMIF('OI 2019'!$I$114:$I$131,'Vestas turbines hist MW'!B30,'OI 2019'!$L$114:$L$131)*$E30</f>
        <v>0</v>
      </c>
      <c r="U30" s="1">
        <f>SUMIF('OI 2018'!$I$114:$I$131,'Vestas turbines hist MW'!B30,'OI 2018'!$L$114:$L$131)*$E30</f>
        <v>0</v>
      </c>
      <c r="V30" s="1">
        <f>SUMIF('OI 2017'!$I$113:$I$130,'Vestas turbines hist MW'!B30,'OI 2017'!$L$113:$L$130)*$E30</f>
        <v>0</v>
      </c>
      <c r="W30" s="1">
        <f>SUMIF('OI 2016'!$I$87:$I$99,'Vestas turbines hist MW'!$B30,'OI 2016'!$L$87:$L$99)*$E30</f>
        <v>0</v>
      </c>
      <c r="X30" s="1">
        <f>SUMIF('OI 2015'!$I$87:$I$101,'Vestas turbines hist MW'!$B30,'OI 2015'!$L$87:$L$101)*$E30</f>
        <v>0</v>
      </c>
      <c r="Y30" s="1">
        <f>SUMIF('OI 2014'!$I$87:$I$101,'Vestas turbines hist MW'!$B30,'OI 2014'!$L$87:$L$101)*$E30</f>
        <v>0</v>
      </c>
      <c r="Z30" s="1">
        <f>SUMIF('OI 2013'!$I$87:$I$101,'Vestas turbines hist MW'!$B30,'OI 2013'!$L$87:$L$101)*$E30</f>
        <v>0</v>
      </c>
      <c r="AA30" s="1">
        <f>SUMIF('OI 2012'!$I$87:$I$101,'Vestas turbines hist MW'!$B30,'OI 2012'!$L$87:$L$101)*$E30</f>
        <v>0</v>
      </c>
      <c r="AB30" s="1">
        <f>SUMIF('OI 2011'!$I$95:$I$104,'Vestas turbines hist MW'!$B30,'OI 2011'!$L$95:$L$104)*$E30</f>
        <v>0</v>
      </c>
      <c r="AC30" s="1">
        <f>SUMIF('OI 2010'!$I$95:$I$107,'Vestas turbines hist MW'!$B30,'OI 2010'!$L$95:$L$107)*$E30</f>
        <v>155.1</v>
      </c>
      <c r="AD30" s="1">
        <f>SUMIF('OI 2009'!$I$95:$I$107,'Vestas turbines hist MW'!$B30,'OI 2009'!$L$95:$L$107)*$E30</f>
        <v>99</v>
      </c>
      <c r="AE30" s="1">
        <f>SUMIF('OI 2008'!$I$95:$I$107,'Vestas turbines hist MW'!$B30,'OI 2008'!$L$95:$L$107)*$E30</f>
        <v>0</v>
      </c>
    </row>
    <row r="31" spans="1:31" x14ac:dyDescent="0.25">
      <c r="A31" t="str">
        <f t="shared" si="1"/>
        <v>V90-1.8MW</v>
      </c>
      <c r="B31" t="s">
        <v>806</v>
      </c>
      <c r="C31" t="s">
        <v>744</v>
      </c>
      <c r="D31" t="s">
        <v>760</v>
      </c>
      <c r="E31" s="24">
        <f t="shared" si="2"/>
        <v>1.8</v>
      </c>
      <c r="F31">
        <v>1800</v>
      </c>
      <c r="G31">
        <v>90</v>
      </c>
      <c r="H31" t="s">
        <v>752</v>
      </c>
      <c r="I31">
        <v>68</v>
      </c>
      <c r="J31" t="s">
        <v>768</v>
      </c>
      <c r="K31">
        <v>38</v>
      </c>
      <c r="L31">
        <f t="shared" si="3"/>
        <v>2</v>
      </c>
      <c r="N31" s="1">
        <f t="shared" si="4"/>
        <v>1432.3999999999999</v>
      </c>
      <c r="Q31" s="1">
        <f>SUMIF('OI 2022'!$I$158:$I$175,'Vestas turbines hist MW'!$B31,'OI 2022'!$K$158:$K$175)*$E31</f>
        <v>0</v>
      </c>
      <c r="R31" s="1">
        <f>SUMIF('OI 2021'!$I$146:$I$166,'Vestas turbines hist MW'!$B31,'OI 2021'!$K$146:$K$166)*$E31</f>
        <v>0</v>
      </c>
      <c r="S31" s="1">
        <f>SUMIF('OI 2020'!$I$144:$I$165,'Vestas turbines hist MW'!B31,'OI 2020'!$K$144:$K$165)*$E31</f>
        <v>0</v>
      </c>
      <c r="T31" s="1">
        <f>SUMIF('OI 2019'!$I$114:$I$131,'Vestas turbines hist MW'!B31,'OI 2019'!$L$114:$L$131)*$E31</f>
        <v>0</v>
      </c>
      <c r="U31" s="1">
        <f>SUMIF('OI 2018'!$I$114:$I$131,'Vestas turbines hist MW'!B31,'OI 2018'!$L$114:$L$131)*$E31</f>
        <v>0</v>
      </c>
      <c r="V31" s="1">
        <f>SUMIF('OI 2017'!$I$113:$I$130,'Vestas turbines hist MW'!B31,'OI 2017'!$L$113:$L$130)*$E31</f>
        <v>0</v>
      </c>
      <c r="W31" s="1">
        <f>SUMIF('OI 2016'!$I$87:$I$99,'Vestas turbines hist MW'!$B31,'OI 2016'!$L$87:$L$99)*$E31</f>
        <v>0</v>
      </c>
      <c r="X31" s="1">
        <f>SUMIF('OI 2015'!$I$87:$I$101,'Vestas turbines hist MW'!$B31,'OI 2015'!$L$87:$L$101)*$E31</f>
        <v>0</v>
      </c>
      <c r="Y31" s="1">
        <f>SUMIF('OI 2014'!$I$87:$I$101,'Vestas turbines hist MW'!$B31,'OI 2014'!$L$87:$L$101)*$E31</f>
        <v>0</v>
      </c>
      <c r="Z31" s="1">
        <f>SUMIF('OI 2013'!$I$87:$I$101,'Vestas turbines hist MW'!$B31,'OI 2013'!$L$87:$L$101)*$E31</f>
        <v>0</v>
      </c>
      <c r="AA31" s="1">
        <f>SUMIF('OI 2012'!$I$87:$I$101,'Vestas turbines hist MW'!$B31,'OI 2012'!$L$87:$L$101)*$E31</f>
        <v>0</v>
      </c>
      <c r="AB31" s="1">
        <f>SUMIF('OI 2011'!$I$95:$I$104,'Vestas turbines hist MW'!$B31,'OI 2011'!$L$95:$L$104)*$E31</f>
        <v>617</v>
      </c>
      <c r="AC31" s="1">
        <f>SUMIF('OI 2010'!$I$95:$I$107,'Vestas turbines hist MW'!$B31,'OI 2010'!$L$95:$L$107)*$E31</f>
        <v>768.6</v>
      </c>
      <c r="AD31" s="1">
        <f>SUMIF('OI 2009'!$I$95:$I$107,'Vestas turbines hist MW'!$B31,'OI 2009'!$L$95:$L$107)*$E31</f>
        <v>0</v>
      </c>
      <c r="AE31" s="1">
        <f>SUMIF('OI 2008'!$I$95:$I$107,'Vestas turbines hist MW'!$B31,'OI 2008'!$L$95:$L$107)*$E31</f>
        <v>46.800000000000004</v>
      </c>
    </row>
    <row r="32" spans="1:31" x14ac:dyDescent="0.25">
      <c r="A32" t="str">
        <f t="shared" si="1"/>
        <v>V90-2MW</v>
      </c>
      <c r="B32" t="s">
        <v>244</v>
      </c>
      <c r="C32" t="s">
        <v>745</v>
      </c>
      <c r="D32" t="s">
        <v>760</v>
      </c>
      <c r="E32" s="24">
        <f t="shared" si="2"/>
        <v>2</v>
      </c>
      <c r="F32">
        <v>2000</v>
      </c>
      <c r="G32">
        <v>90</v>
      </c>
      <c r="H32">
        <v>2004</v>
      </c>
      <c r="I32">
        <v>68</v>
      </c>
      <c r="J32" t="s">
        <v>769</v>
      </c>
      <c r="K32">
        <v>36</v>
      </c>
      <c r="L32">
        <f t="shared" si="3"/>
        <v>6</v>
      </c>
      <c r="N32" s="1">
        <f t="shared" si="4"/>
        <v>2885</v>
      </c>
      <c r="Q32" s="1">
        <f>SUMIF('OI 2022'!$I$158:$I$175,'Vestas turbines hist MW'!$B32,'OI 2022'!$K$158:$K$175)*$E32</f>
        <v>0</v>
      </c>
      <c r="R32" s="1">
        <f>SUMIF('OI 2021'!$I$146:$I$166,'Vestas turbines hist MW'!$B32,'OI 2021'!$K$146:$K$166)*$E32</f>
        <v>4</v>
      </c>
      <c r="S32" s="1">
        <f>SUMIF('OI 2020'!$I$144:$I$165,'Vestas turbines hist MW'!B32,'OI 2020'!$K$144:$K$165)*$E32</f>
        <v>2</v>
      </c>
      <c r="T32" s="1">
        <f>SUMIF('OI 2019'!$I$114:$I$131,'Vestas turbines hist MW'!B32,'OI 2019'!$L$114:$L$131)*$E32</f>
        <v>0</v>
      </c>
      <c r="U32" s="1">
        <f>SUMIF('OI 2018'!$I$114:$I$131,'Vestas turbines hist MW'!B32,'OI 2018'!$L$114:$L$131)*$E32</f>
        <v>0</v>
      </c>
      <c r="V32" s="1">
        <f>SUMIF('OI 2017'!$I$113:$I$130,'Vestas turbines hist MW'!B32,'OI 2017'!$L$113:$L$130)*$E32</f>
        <v>0</v>
      </c>
      <c r="W32" s="1">
        <f>SUMIF('OI 2016'!$I$87:$I$99,'Vestas turbines hist MW'!$B32,'OI 2016'!$L$87:$L$99)*$E32</f>
        <v>0</v>
      </c>
      <c r="X32" s="1">
        <f>SUMIF('OI 2015'!$I$87:$I$101,'Vestas turbines hist MW'!$B32,'OI 2015'!$L$87:$L$101)*$E32</f>
        <v>98</v>
      </c>
      <c r="Y32" s="1">
        <f>SUMIF('OI 2014'!$I$87:$I$101,'Vestas turbines hist MW'!$B32,'OI 2014'!$L$87:$L$101)*$E32</f>
        <v>42</v>
      </c>
      <c r="Z32" s="1">
        <f>SUMIF('OI 2013'!$I$87:$I$101,'Vestas turbines hist MW'!$B32,'OI 2013'!$L$87:$L$101)*$E32</f>
        <v>405</v>
      </c>
      <c r="AA32" s="1">
        <f>SUMIF('OI 2012'!$I$87:$I$101,'Vestas turbines hist MW'!$B32,'OI 2012'!$L$87:$L$101)*$E32</f>
        <v>302</v>
      </c>
      <c r="AB32" s="1">
        <f>SUMIF('OI 2011'!$I$95:$I$104,'Vestas turbines hist MW'!$B32,'OI 2011'!$L$95:$L$104)*$E32</f>
        <v>746</v>
      </c>
      <c r="AC32" s="1">
        <f>SUMIF('OI 2010'!$I$95:$I$107,'Vestas turbines hist MW'!$B32,'OI 2010'!$L$95:$L$107)*$E32</f>
        <v>830</v>
      </c>
      <c r="AD32" s="1">
        <f>SUMIF('OI 2009'!$I$95:$I$107,'Vestas turbines hist MW'!$B32,'OI 2009'!$L$95:$L$107)*$E32</f>
        <v>260</v>
      </c>
      <c r="AE32" s="1">
        <f>SUMIF('OI 2008'!$I$95:$I$107,'Vestas turbines hist MW'!$B32,'OI 2008'!$L$95:$L$107)*$E32</f>
        <v>202</v>
      </c>
    </row>
    <row r="33" spans="1:31" x14ac:dyDescent="0.25">
      <c r="A33" t="str">
        <f t="shared" si="1"/>
        <v>V90-3MW</v>
      </c>
      <c r="B33" t="s">
        <v>233</v>
      </c>
      <c r="C33" t="s">
        <v>746</v>
      </c>
      <c r="D33" t="s">
        <v>761</v>
      </c>
      <c r="E33" s="24">
        <f t="shared" si="2"/>
        <v>3</v>
      </c>
      <c r="F33">
        <v>3000</v>
      </c>
      <c r="G33">
        <v>90</v>
      </c>
      <c r="H33">
        <v>2002</v>
      </c>
      <c r="I33">
        <v>68</v>
      </c>
      <c r="J33" t="s">
        <v>770</v>
      </c>
      <c r="K33">
        <v>28</v>
      </c>
      <c r="L33">
        <f t="shared" si="3"/>
        <v>7</v>
      </c>
      <c r="N33" s="1">
        <f t="shared" si="4"/>
        <v>4263</v>
      </c>
      <c r="Q33" s="1">
        <f>SUMIF('OI 2022'!$I$158:$I$175,'Vestas turbines hist MW'!$B33,'OI 2022'!$K$158:$K$175)*$E33</f>
        <v>0</v>
      </c>
      <c r="R33" s="1">
        <f>SUMIF('OI 2021'!$I$146:$I$166,'Vestas turbines hist MW'!$B33,'OI 2021'!$K$146:$K$166)*$E33</f>
        <v>0</v>
      </c>
      <c r="S33" s="1">
        <f>SUMIF('OI 2020'!$I$144:$I$165,'Vestas turbines hist MW'!B33,'OI 2020'!$K$144:$K$165)*$E33</f>
        <v>0</v>
      </c>
      <c r="T33" s="1">
        <f>SUMIF('OI 2019'!$I$114:$I$131,'Vestas turbines hist MW'!B33,'OI 2019'!$L$114:$L$131)*$E33</f>
        <v>0</v>
      </c>
      <c r="U33" s="1">
        <f>SUMIF('OI 2018'!$I$114:$I$131,'Vestas turbines hist MW'!B33,'OI 2018'!$L$114:$L$131)*$E33</f>
        <v>0</v>
      </c>
      <c r="V33" s="1">
        <f>SUMIF('OI 2017'!$I$113:$I$130,'Vestas turbines hist MW'!B33,'OI 2017'!$L$113:$L$130)*$E33</f>
        <v>0</v>
      </c>
      <c r="W33" s="1">
        <f>SUMIF('OI 2016'!$I$87:$I$99,'Vestas turbines hist MW'!$B33,'OI 2016'!$L$87:$L$99)*$E33</f>
        <v>120</v>
      </c>
      <c r="X33" s="1">
        <f>SUMIF('OI 2015'!$I$87:$I$101,'Vestas turbines hist MW'!$B33,'OI 2015'!$L$87:$L$101)*$E33</f>
        <v>87</v>
      </c>
      <c r="Y33" s="1">
        <f>SUMIF('OI 2014'!$I$87:$I$101,'Vestas turbines hist MW'!$B33,'OI 2014'!$L$87:$L$101)*$E33</f>
        <v>183</v>
      </c>
      <c r="Z33" s="1">
        <f>SUMIF('OI 2013'!$I$87:$I$101,'Vestas turbines hist MW'!$B33,'OI 2013'!$L$87:$L$101)*$E33</f>
        <v>129</v>
      </c>
      <c r="AA33" s="1">
        <f>SUMIF('OI 2012'!$I$87:$I$101,'Vestas turbines hist MW'!$B33,'OI 2012'!$L$87:$L$101)*$E33</f>
        <v>624</v>
      </c>
      <c r="AB33" s="1">
        <f>SUMIF('OI 2011'!$I$95:$I$104,'Vestas turbines hist MW'!$B33,'OI 2011'!$L$95:$L$104)*$E33</f>
        <v>579</v>
      </c>
      <c r="AC33" s="1">
        <f>SUMIF('OI 2010'!$I$95:$I$107,'Vestas turbines hist MW'!$B33,'OI 2010'!$L$95:$L$107)*$E33</f>
        <v>1026</v>
      </c>
      <c r="AD33" s="1">
        <f>SUMIF('OI 2009'!$I$95:$I$107,'Vestas turbines hist MW'!$B33,'OI 2009'!$L$95:$L$107)*$E33</f>
        <v>858</v>
      </c>
      <c r="AE33" s="1">
        <f>SUMIF('OI 2008'!$I$95:$I$107,'Vestas turbines hist MW'!$B33,'OI 2008'!$L$95:$L$107)*$E33</f>
        <v>657</v>
      </c>
    </row>
    <row r="34" spans="1:31" hidden="1" x14ac:dyDescent="0.25">
      <c r="A34" t="str">
        <f t="shared" si="1"/>
        <v>V90-3MW</v>
      </c>
      <c r="B34" t="s">
        <v>807</v>
      </c>
      <c r="C34" t="s">
        <v>747</v>
      </c>
      <c r="D34" t="s">
        <v>761</v>
      </c>
      <c r="E34" s="24">
        <f t="shared" si="2"/>
        <v>3</v>
      </c>
      <c r="F34">
        <v>3000</v>
      </c>
      <c r="G34">
        <v>90</v>
      </c>
      <c r="H34" t="s">
        <v>752</v>
      </c>
      <c r="I34" t="s">
        <v>752</v>
      </c>
      <c r="J34" t="s">
        <v>752</v>
      </c>
      <c r="K34" t="s">
        <v>752</v>
      </c>
      <c r="Q34" s="1">
        <f>SUMIF('OI 2022'!$I$158:$I$175,'Vestas turbines hist MW'!$B34,'OI 2022'!$K$158:$K$175)*$E34</f>
        <v>0</v>
      </c>
      <c r="R34" s="1">
        <f>SUMIF('OI 2021'!$I$146:$I$166,'Vestas turbines hist MW'!$B34,'OI 2021'!$K$146:$K$166)*$E34</f>
        <v>0</v>
      </c>
      <c r="T34" s="1">
        <f>SUMIF('OI 2019'!$I$114:$I$131,'Vestas turbines hist MW'!A34,'OI 2019'!$L$114:$L$131)*$E34</f>
        <v>0</v>
      </c>
      <c r="U34" s="1">
        <f>SUMIF('OI 2018'!$I$114:$I$131,'Vestas turbines hist MW'!B34,'OI 2018'!$L$114:$L$131)</f>
        <v>0</v>
      </c>
      <c r="V34" s="1">
        <f>SUMIF('OI 2017'!$I$113:$I$130,'Vestas turbines hist MW'!B34,'OI 2017'!$L$113:$L$130)*$E34</f>
        <v>0</v>
      </c>
      <c r="W34" s="1">
        <f>SUMIF('OI 2016'!$I$87:$I$99,'Vestas turbines hist MW'!$B34,'OI 2016'!$L$87:$L$99)*$E34</f>
        <v>0</v>
      </c>
      <c r="X34" s="1">
        <f>SUMIF('OI 2015'!$I$87:$I$101,'Vestas turbines hist MW'!$B34,'OI 2015'!$L$87:$L$101)*$E34</f>
        <v>0</v>
      </c>
      <c r="Y34" s="1">
        <f>SUMIF('OI 2014'!$I$87:$I$101,'Vestas turbines hist MW'!$B34,'OI 2014'!$L$87:$L$101)*$E34</f>
        <v>0</v>
      </c>
      <c r="Z34" s="1">
        <f>SUMIF('OI 2013'!$I$87:$I$101,'Vestas turbines hist MW'!$B34,'OI 2013'!$L$87:$L$101)*$E34</f>
        <v>0</v>
      </c>
      <c r="AA34" s="1">
        <f>SUMIF('OI 2012'!$I$87:$I$101,'Vestas turbines hist MW'!$B34,'OI 2012'!$L$87:$L$101)*$E34</f>
        <v>0</v>
      </c>
      <c r="AB34" s="1">
        <f>SUMIF('OI 2011'!$I$95:$I$104,'Vestas turbines hist MW'!$B34,'OI 2011'!$L$95:$L$104)*$E34</f>
        <v>0</v>
      </c>
      <c r="AC34" s="1">
        <f>SUMIF('OI 2010'!$I$95:$I$107,'Vestas turbines hist MW'!$B34,'OI 2010'!$L$95:$L$107)*$E34</f>
        <v>0</v>
      </c>
      <c r="AD34" s="1">
        <f>SUMIF('OI 2009'!$I$95:$I$107,'Vestas turbines hist MW'!$B34,'OI 2009'!$L$95:$L$107)*$E34</f>
        <v>0</v>
      </c>
      <c r="AE34" s="1">
        <f>SUMIF('OI 2008'!$I$95:$I$107,'Vestas turbines hist MW'!$B34,'OI 2008'!$L$95:$L$107)*$E34</f>
        <v>0</v>
      </c>
    </row>
    <row r="35" spans="1:31" x14ac:dyDescent="0.25">
      <c r="A35" t="str">
        <f t="shared" si="1"/>
        <v>V100-1.8MW</v>
      </c>
      <c r="B35" t="s">
        <v>222</v>
      </c>
      <c r="C35" t="s">
        <v>692</v>
      </c>
      <c r="D35" t="s">
        <v>748</v>
      </c>
      <c r="E35" s="24">
        <f t="shared" si="2"/>
        <v>1.8</v>
      </c>
      <c r="F35">
        <v>1800</v>
      </c>
      <c r="G35">
        <v>100</v>
      </c>
      <c r="H35">
        <v>2009</v>
      </c>
      <c r="I35" t="s">
        <v>752</v>
      </c>
      <c r="J35" t="s">
        <v>752</v>
      </c>
      <c r="K35" t="s">
        <v>752</v>
      </c>
      <c r="L35">
        <f t="shared" ref="L35:L51" si="5">COUNTIF(U35:AC35,"&gt;0")</f>
        <v>6</v>
      </c>
      <c r="N35" s="1">
        <f t="shared" ref="N35:N51" si="6">SUM(U35:AF35)</f>
        <v>2048.6</v>
      </c>
      <c r="P35" s="1"/>
      <c r="Q35" s="1">
        <f>SUMIF('OI 2022'!$I$158:$I$175,'Vestas turbines hist MW'!$B35,'OI 2022'!$K$158:$K$175)*$E35</f>
        <v>0</v>
      </c>
      <c r="R35" s="1">
        <f>SUMIF('OI 2021'!$I$146:$I$166,'Vestas turbines hist MW'!$B35,'OI 2021'!$K$146:$K$166)*$E35</f>
        <v>0</v>
      </c>
      <c r="S35" s="1">
        <f>SUMIF('OI 2020'!$I$144:$I$165,'Vestas turbines hist MW'!B35,'OI 2020'!$K$144:$K$165)*$E35</f>
        <v>0</v>
      </c>
      <c r="T35" s="1">
        <f>SUMIF('OI 2019'!$I$114:$I$131,'Vestas turbines hist MW'!B35,'OI 2019'!$L$114:$L$131)*$E35</f>
        <v>0</v>
      </c>
      <c r="U35" s="1">
        <f>SUMIF('OI 2018'!$I$114:$I$131,'Vestas turbines hist MW'!B35,'OI 2018'!$L$114:$L$131)*$E35</f>
        <v>0</v>
      </c>
      <c r="V35" s="1">
        <f>SUMIF('OI 2017'!$I$113:$I$130,'Vestas turbines hist MW'!B35,'OI 2017'!$L$113:$L$130)*$E35</f>
        <v>0</v>
      </c>
      <c r="W35" s="1">
        <f>SUMIF('OI 2016'!$I$87:$I$99,'Vestas turbines hist MW'!$B35,'OI 2016'!$L$87:$L$99)*$E35</f>
        <v>27</v>
      </c>
      <c r="X35" s="1">
        <f>SUMIF('OI 2015'!$I$87:$I$101,'Vestas turbines hist MW'!$B35,'OI 2015'!$L$87:$L$101)*$E35</f>
        <v>126</v>
      </c>
      <c r="Y35" s="1">
        <f>SUMIF('OI 2014'!$I$87:$I$101,'Vestas turbines hist MW'!$B35,'OI 2014'!$L$87:$L$101)*$E35</f>
        <v>0</v>
      </c>
      <c r="Z35" s="1">
        <f>SUMIF('OI 2013'!$I$87:$I$101,'Vestas turbines hist MW'!$B35,'OI 2013'!$L$87:$L$101)*$E35</f>
        <v>381.8</v>
      </c>
      <c r="AA35" s="1">
        <f>SUMIF('OI 2012'!$I$87:$I$101,'Vestas turbines hist MW'!$B35,'OI 2012'!$L$87:$L$101)*$E35</f>
        <v>293.40000000000003</v>
      </c>
      <c r="AB35" s="1">
        <f>SUMIF('OI 2011'!$I$95:$I$104,'Vestas turbines hist MW'!$B35,'OI 2011'!$L$95:$L$104)*$E35</f>
        <v>676.80000000000007</v>
      </c>
      <c r="AC35" s="1">
        <f>SUMIF('OI 2010'!$I$95:$I$107,'Vestas turbines hist MW'!$B35,'OI 2010'!$L$95:$L$107)*$E35</f>
        <v>453.6</v>
      </c>
      <c r="AD35" s="1">
        <f>SUMIF('OI 2009'!$I$95:$I$107,'Vestas turbines hist MW'!$B35,'OI 2009'!$L$95:$L$107)*$E35</f>
        <v>90</v>
      </c>
      <c r="AE35" s="1">
        <f>SUMIF('OI 2008'!$I$95:$I$107,'Vestas turbines hist MW'!$B35,'OI 2008'!$L$95:$L$107)*$E35</f>
        <v>0</v>
      </c>
    </row>
    <row r="36" spans="1:31" x14ac:dyDescent="0.25">
      <c r="A36" t="str">
        <f t="shared" ref="A36:A71" si="7">LEFT(C36,FIND("/",C36)-1)&amp;"-"&amp;F36/1000&amp;"MW"</f>
        <v>V100-2MW</v>
      </c>
      <c r="B36" t="s">
        <v>113</v>
      </c>
      <c r="C36" t="s">
        <v>693</v>
      </c>
      <c r="D36" t="s">
        <v>749</v>
      </c>
      <c r="E36" s="24">
        <f t="shared" ref="E36:E73" si="8">F36/1000</f>
        <v>2</v>
      </c>
      <c r="F36">
        <v>2000</v>
      </c>
      <c r="G36">
        <v>100</v>
      </c>
      <c r="H36">
        <v>2013</v>
      </c>
      <c r="I36">
        <v>78</v>
      </c>
      <c r="J36">
        <v>250</v>
      </c>
      <c r="K36">
        <v>45</v>
      </c>
      <c r="L36">
        <f t="shared" si="5"/>
        <v>7</v>
      </c>
      <c r="N36" s="1">
        <f t="shared" si="6"/>
        <v>3850</v>
      </c>
      <c r="Q36" s="1">
        <f>SUMIF('OI 2022'!$I$158:$I$175,'Vestas turbines hist MW'!$B36,'OI 2022'!$K$158:$K$175)*$E36</f>
        <v>4</v>
      </c>
      <c r="R36" s="1">
        <f>SUMIF('OI 2021'!$I$146:$I$166,'Vestas turbines hist MW'!$B36,'OI 2021'!$K$146:$K$166)*$E36</f>
        <v>172</v>
      </c>
      <c r="S36" s="1">
        <f>SUMIF('OI 2020'!$I$144:$I$165,'Vestas turbines hist MW'!B36,'OI 2020'!$K$144:$K$165)*$E36</f>
        <v>248</v>
      </c>
      <c r="T36" s="1">
        <f>SUMIF('OI 2019'!$I$114:$I$131,'Vestas turbines hist MW'!B36,'OI 2019'!$L$114:$L$131)*$E36</f>
        <v>0</v>
      </c>
      <c r="U36" s="1">
        <f>SUMIF('OI 2018'!$I$114:$I$131,'Vestas turbines hist MW'!B36,'OI 2018'!$L$114:$L$131)*$E36</f>
        <v>282</v>
      </c>
      <c r="V36" s="1">
        <f>SUMIF('OI 2017'!$I$113:$I$130,'Vestas turbines hist MW'!B36,'OI 2017'!$L$113:$L$130)*$E36</f>
        <v>144</v>
      </c>
      <c r="W36" s="1">
        <f>SUMIF('OI 2016'!$I$87:$I$99,'Vestas turbines hist MW'!$B36,'OI 2016'!$L$87:$L$99)*$E36</f>
        <v>208</v>
      </c>
      <c r="X36" s="1">
        <f>SUMIF('OI 2015'!$I$87:$I$101,'Vestas turbines hist MW'!$B36,'OI 2015'!$L$87:$L$101)*$E36</f>
        <v>972</v>
      </c>
      <c r="Y36" s="1">
        <f>SUMIF('OI 2014'!$I$87:$I$101,'Vestas turbines hist MW'!$B36,'OI 2014'!$L$87:$L$101)*$E36</f>
        <v>1318</v>
      </c>
      <c r="Z36" s="1">
        <f>SUMIF('OI 2013'!$I$87:$I$101,'Vestas turbines hist MW'!$B36,'OI 2013'!$L$87:$L$101)*$E36</f>
        <v>890</v>
      </c>
      <c r="AA36" s="1">
        <f>SUMIF('OI 2012'!$I$87:$I$101,'Vestas turbines hist MW'!$B36,'OI 2012'!$L$87:$L$101)*$E36</f>
        <v>36</v>
      </c>
      <c r="AB36" s="1">
        <f>SUMIF('OI 2011'!$I$95:$I$104,'Vestas turbines hist MW'!$B36,'OI 2011'!$L$95:$L$104)*$E36</f>
        <v>0</v>
      </c>
      <c r="AC36" s="1">
        <f>SUMIF('OI 2010'!$I$95:$I$107,'Vestas turbines hist MW'!$B36,'OI 2010'!$L$95:$L$107)*$E36</f>
        <v>0</v>
      </c>
      <c r="AD36" s="1">
        <f>SUMIF('OI 2009'!$I$95:$I$107,'Vestas turbines hist MW'!$B36,'OI 2009'!$L$95:$L$107)*$E36</f>
        <v>0</v>
      </c>
      <c r="AE36" s="1">
        <f>SUMIF('OI 2008'!$I$95:$I$107,'Vestas turbines hist MW'!$B36,'OI 2008'!$L$95:$L$107)*$E36</f>
        <v>0</v>
      </c>
    </row>
    <row r="37" spans="1:31" x14ac:dyDescent="0.25">
      <c r="A37" t="str">
        <f t="shared" si="7"/>
        <v>V100-2.6MW</v>
      </c>
      <c r="B37" t="s">
        <v>778</v>
      </c>
      <c r="C37" t="s">
        <v>694</v>
      </c>
      <c r="D37" t="s">
        <v>749</v>
      </c>
      <c r="E37" s="24">
        <f t="shared" si="8"/>
        <v>2.6</v>
      </c>
      <c r="F37">
        <v>2600</v>
      </c>
      <c r="G37">
        <v>100</v>
      </c>
      <c r="H37" t="s">
        <v>752</v>
      </c>
      <c r="I37" t="s">
        <v>752</v>
      </c>
      <c r="J37" t="s">
        <v>752</v>
      </c>
      <c r="K37" t="s">
        <v>752</v>
      </c>
      <c r="L37">
        <f t="shared" si="5"/>
        <v>3</v>
      </c>
      <c r="N37" s="1">
        <f t="shared" si="6"/>
        <v>195</v>
      </c>
      <c r="Q37" s="1">
        <f>SUMIF('OI 2022'!$I$158:$I$175,'Vestas turbines hist MW'!$B37,'OI 2022'!$K$158:$K$175)*$E37</f>
        <v>0</v>
      </c>
      <c r="R37" s="1">
        <f>SUMIF('OI 2021'!$I$146:$I$166,'Vestas turbines hist MW'!$B37,'OI 2021'!$K$146:$K$166)*$E37</f>
        <v>0</v>
      </c>
      <c r="S37" s="1">
        <f>SUMIF('OI 2020'!$I$144:$I$165,'Vestas turbines hist MW'!B37,'OI 2020'!$K$144:$K$165)*$E37</f>
        <v>0</v>
      </c>
      <c r="T37" s="1">
        <f>SUMIF('OI 2019'!$I$114:$I$131,'Vestas turbines hist MW'!B37,'OI 2019'!$L$114:$L$131)*$E37</f>
        <v>0</v>
      </c>
      <c r="U37" s="1">
        <f>SUMIF('OI 2018'!$I$114:$I$131,'Vestas turbines hist MW'!B37,'OI 2018'!$L$114:$L$131)*$E37</f>
        <v>0</v>
      </c>
      <c r="V37" s="1">
        <f>SUMIF('OI 2017'!$I$113:$I$130,'Vestas turbines hist MW'!B37,'OI 2017'!$L$113:$L$130)*$E37</f>
        <v>0</v>
      </c>
      <c r="W37" s="1">
        <f>SUMIF('OI 2016'!$I$87:$I$99,'Vestas turbines hist MW'!$B37,'OI 2016'!$L$87:$L$99)*$E37</f>
        <v>0</v>
      </c>
      <c r="X37" s="1">
        <f>SUMIF('OI 2015'!$I$87:$I$101,'Vestas turbines hist MW'!$B37,'OI 2015'!$L$87:$L$101)*$E37</f>
        <v>0</v>
      </c>
      <c r="Y37" s="1">
        <f>SUMIF('OI 2014'!$I$87:$I$101,'Vestas turbines hist MW'!$B37,'OI 2014'!$L$87:$L$101)*$E37</f>
        <v>0</v>
      </c>
      <c r="Z37" s="1">
        <f>SUMIF('OI 2013'!$I$87:$I$101,'Vestas turbines hist MW'!$B37,'OI 2013'!$L$87:$L$101)*$E37</f>
        <v>62.400000000000006</v>
      </c>
      <c r="AA37" s="1">
        <f>SUMIF('OI 2012'!$I$87:$I$101,'Vestas turbines hist MW'!$B37,'OI 2012'!$L$87:$L$101)*$E37</f>
        <v>54.6</v>
      </c>
      <c r="AB37" s="1">
        <f>SUMIF('OI 2011'!$I$95:$I$104,'Vestas turbines hist MW'!$B37,'OI 2011'!$L$95:$L$104)*$E37</f>
        <v>78</v>
      </c>
      <c r="AC37" s="1">
        <f>SUMIF('OI 2010'!$I$95:$I$107,'Vestas turbines hist MW'!$B37,'OI 2010'!$L$95:$L$107)*$E37</f>
        <v>0</v>
      </c>
      <c r="AD37" s="1">
        <f>SUMIF('OI 2009'!$I$95:$I$107,'Vestas turbines hist MW'!$B37,'OI 2009'!$L$95:$L$107)*$E37</f>
        <v>0</v>
      </c>
      <c r="AE37" s="1">
        <f>SUMIF('OI 2008'!$I$95:$I$107,'Vestas turbines hist MW'!$B37,'OI 2008'!$L$95:$L$107)*$E37</f>
        <v>0</v>
      </c>
    </row>
    <row r="38" spans="1:31" hidden="1" x14ac:dyDescent="0.25">
      <c r="A38" t="str">
        <f t="shared" si="7"/>
        <v>V100-2.75MW</v>
      </c>
      <c r="B38" t="s">
        <v>779</v>
      </c>
      <c r="C38" t="s">
        <v>695</v>
      </c>
      <c r="D38" t="s">
        <v>750</v>
      </c>
      <c r="E38" s="24">
        <f t="shared" si="8"/>
        <v>2.75</v>
      </c>
      <c r="F38">
        <v>2750</v>
      </c>
      <c r="G38">
        <v>100</v>
      </c>
      <c r="H38" t="s">
        <v>752</v>
      </c>
      <c r="I38">
        <v>70</v>
      </c>
      <c r="J38">
        <v>235</v>
      </c>
      <c r="K38">
        <v>44</v>
      </c>
      <c r="L38">
        <f t="shared" si="5"/>
        <v>0</v>
      </c>
      <c r="N38" s="1">
        <f t="shared" si="6"/>
        <v>0</v>
      </c>
      <c r="Q38" s="1">
        <f>SUMIF('OI 2022'!$I$158:$I$175,'Vestas turbines hist MW'!$B38,'OI 2022'!$K$158:$K$175)*$E38</f>
        <v>0</v>
      </c>
      <c r="R38" s="1">
        <f>SUMIF('OI 2021'!$I$146:$I$166,'Vestas turbines hist MW'!$B38,'OI 2021'!$K$146:$K$166)*$E38</f>
        <v>0</v>
      </c>
      <c r="S38" s="1">
        <f>SUMIF('OI 2020'!$I$144:$I$165,'Vestas turbines hist MW'!B38,'OI 2020'!$K$144:$K$165)*$E38</f>
        <v>0</v>
      </c>
      <c r="T38" s="1">
        <f>SUMIF('OI 2019'!$I$114:$I$131,'Vestas turbines hist MW'!B38,'OI 2019'!$L$114:$L$131)*$E38</f>
        <v>0</v>
      </c>
      <c r="U38" s="1">
        <f>SUMIF('OI 2018'!$I$114:$I$131,'Vestas turbines hist MW'!B38,'OI 2018'!$L$114:$L$131)*$E38</f>
        <v>0</v>
      </c>
      <c r="V38" s="1">
        <f>SUMIF('OI 2017'!$I$113:$I$130,'Vestas turbines hist MW'!B38,'OI 2017'!$L$113:$L$130)*$E38</f>
        <v>0</v>
      </c>
      <c r="W38" s="1">
        <f>SUMIF('OI 2016'!$I$87:$I$99,'Vestas turbines hist MW'!$B38,'OI 2016'!$L$87:$L$99)*$E38</f>
        <v>0</v>
      </c>
      <c r="X38" s="1">
        <f>SUMIF('OI 2015'!$I$87:$I$101,'Vestas turbines hist MW'!$B38,'OI 2015'!$L$87:$L$101)*$E38</f>
        <v>0</v>
      </c>
      <c r="Y38" s="1">
        <f>SUMIF('OI 2014'!$I$87:$I$101,'Vestas turbines hist MW'!$B38,'OI 2014'!$L$87:$L$101)*$E38</f>
        <v>0</v>
      </c>
      <c r="Z38" s="1">
        <f>SUMIF('OI 2013'!$I$87:$I$101,'Vestas turbines hist MW'!$B38,'OI 2013'!$L$87:$L$101)*$E38</f>
        <v>0</v>
      </c>
      <c r="AA38" s="1">
        <f>SUMIF('OI 2012'!$I$87:$I$101,'Vestas turbines hist MW'!$B38,'OI 2012'!$L$87:$L$101)*$E38</f>
        <v>0</v>
      </c>
      <c r="AB38" s="1">
        <f>SUMIF('OI 2011'!$I$95:$I$104,'Vestas turbines hist MW'!$B38,'OI 2011'!$L$95:$L$104)*$E38</f>
        <v>0</v>
      </c>
      <c r="AC38" s="1">
        <f>SUMIF('OI 2010'!$I$95:$I$107,'Vestas turbines hist MW'!$B38,'OI 2010'!$L$95:$L$107)*$E38</f>
        <v>0</v>
      </c>
      <c r="AD38" s="1">
        <f>SUMIF('OI 2009'!$I$95:$I$107,'Vestas turbines hist MW'!$B38,'OI 2009'!$L$95:$L$107)*$E38</f>
        <v>0</v>
      </c>
      <c r="AE38" s="1">
        <f>SUMIF('OI 2008'!$I$95:$I$107,'Vestas turbines hist MW'!$B38,'OI 2008'!$L$95:$L$107)*$E38</f>
        <v>0</v>
      </c>
    </row>
    <row r="39" spans="1:31" hidden="1" x14ac:dyDescent="0.25">
      <c r="A39" t="str">
        <f t="shared" si="7"/>
        <v>V105-3.3MW</v>
      </c>
      <c r="B39" t="s">
        <v>780</v>
      </c>
      <c r="C39" t="s">
        <v>696</v>
      </c>
      <c r="D39" t="s">
        <v>751</v>
      </c>
      <c r="E39" s="24">
        <f t="shared" si="8"/>
        <v>3.3</v>
      </c>
      <c r="F39">
        <v>3300</v>
      </c>
      <c r="G39">
        <v>105</v>
      </c>
      <c r="H39">
        <v>2013</v>
      </c>
      <c r="I39" t="s">
        <v>752</v>
      </c>
      <c r="J39" t="s">
        <v>752</v>
      </c>
      <c r="K39" t="s">
        <v>752</v>
      </c>
      <c r="L39">
        <f t="shared" si="5"/>
        <v>0</v>
      </c>
      <c r="N39" s="1">
        <f t="shared" si="6"/>
        <v>0</v>
      </c>
      <c r="Q39" s="1">
        <f>SUMIF('OI 2022'!$I$158:$I$175,'Vestas turbines hist MW'!$B39,'OI 2022'!$K$158:$K$175)*$E39</f>
        <v>0</v>
      </c>
      <c r="R39" s="1">
        <f>SUMIF('OI 2021'!$I$146:$I$166,'Vestas turbines hist MW'!$B39,'OI 2021'!$K$146:$K$166)*$E39</f>
        <v>0</v>
      </c>
      <c r="S39" s="1">
        <f>SUMIF('OI 2020'!$I$144:$I$165,'Vestas turbines hist MW'!B39,'OI 2020'!$K$144:$K$165)*$E39</f>
        <v>0</v>
      </c>
      <c r="T39" s="1">
        <f>SUMIF('OI 2019'!$I$114:$I$131,'Vestas turbines hist MW'!B39,'OI 2019'!$L$114:$L$131)*$E39</f>
        <v>0</v>
      </c>
      <c r="U39" s="1">
        <f>SUMIF('OI 2018'!$I$114:$I$131,'Vestas turbines hist MW'!B39,'OI 2018'!$L$114:$L$131)*$E39</f>
        <v>0</v>
      </c>
      <c r="V39" s="1">
        <f>SUMIF('OI 2017'!$I$113:$I$130,'Vestas turbines hist MW'!B39,'OI 2017'!$L$113:$L$130)*$E39</f>
        <v>0</v>
      </c>
      <c r="W39" s="1">
        <f>SUMIF('OI 2016'!$I$87:$I$99,'Vestas turbines hist MW'!$B39,'OI 2016'!$L$87:$L$99)*$E39</f>
        <v>0</v>
      </c>
      <c r="X39" s="1">
        <f>SUMIF('OI 2015'!$I$87:$I$101,'Vestas turbines hist MW'!$B39,'OI 2015'!$L$87:$L$101)*$E39</f>
        <v>0</v>
      </c>
      <c r="Y39" s="1">
        <f>SUMIF('OI 2014'!$I$87:$I$101,'Vestas turbines hist MW'!$B39,'OI 2014'!$L$87:$L$101)*$E39</f>
        <v>0</v>
      </c>
      <c r="Z39" s="1">
        <f>SUMIF('OI 2013'!$I$87:$I$101,'Vestas turbines hist MW'!$B39,'OI 2013'!$L$87:$L$101)*$E39</f>
        <v>0</v>
      </c>
      <c r="AA39" s="1">
        <f>SUMIF('OI 2012'!$I$87:$I$101,'Vestas turbines hist MW'!$B39,'OI 2012'!$L$87:$L$101)*$E39</f>
        <v>0</v>
      </c>
      <c r="AB39" s="1">
        <f>SUMIF('OI 2011'!$I$95:$I$104,'Vestas turbines hist MW'!$B39,'OI 2011'!$L$95:$L$104)*$E39</f>
        <v>0</v>
      </c>
      <c r="AC39" s="1">
        <f>SUMIF('OI 2010'!$I$95:$I$107,'Vestas turbines hist MW'!$B39,'OI 2010'!$L$95:$L$107)*$E39</f>
        <v>0</v>
      </c>
      <c r="AD39" s="1">
        <f>SUMIF('OI 2009'!$I$95:$I$107,'Vestas turbines hist MW'!$B39,'OI 2009'!$L$95:$L$107)*$E39</f>
        <v>0</v>
      </c>
      <c r="AE39" s="1">
        <f>SUMIF('OI 2008'!$I$95:$I$107,'Vestas turbines hist MW'!$B39,'OI 2008'!$L$95:$L$107)*$E39</f>
        <v>0</v>
      </c>
    </row>
    <row r="40" spans="1:31" x14ac:dyDescent="0.25">
      <c r="A40" t="str">
        <f t="shared" si="7"/>
        <v>V105-3.45MW</v>
      </c>
      <c r="B40" t="s">
        <v>114</v>
      </c>
      <c r="C40" t="s">
        <v>697</v>
      </c>
      <c r="D40" t="s">
        <v>751</v>
      </c>
      <c r="E40" s="24">
        <f t="shared" si="8"/>
        <v>3.45</v>
      </c>
      <c r="F40">
        <v>3450</v>
      </c>
      <c r="G40" s="17">
        <v>105</v>
      </c>
      <c r="H40">
        <v>2016</v>
      </c>
      <c r="I40" t="s">
        <v>752</v>
      </c>
      <c r="J40" t="s">
        <v>752</v>
      </c>
      <c r="K40" t="s">
        <v>752</v>
      </c>
      <c r="L40">
        <f t="shared" si="5"/>
        <v>2</v>
      </c>
      <c r="N40" s="1">
        <f t="shared" si="6"/>
        <v>140.41666666666669</v>
      </c>
      <c r="Q40" s="1">
        <f>SUMIF('OI 2022'!$I$158:$I$175,'Vestas turbines hist MW'!$B40,'OI 2022'!$K$158:$K$175)*$E40</f>
        <v>27.6</v>
      </c>
      <c r="R40" s="1">
        <f>SUMIF('OI 2021'!$I$146:$I$166,'Vestas turbines hist MW'!$B40,'OI 2021'!$K$146:$K$166)*$E40</f>
        <v>86.25</v>
      </c>
      <c r="S40" s="1">
        <f>SUMIF('OI 2020'!$I$144:$I$165,'Vestas turbines hist MW'!B40,'OI 2020'!$K$144:$K$165)*$E40</f>
        <v>438.15000000000003</v>
      </c>
      <c r="T40" s="1">
        <f>SUMIF('OI 2019'!$I$114:$I$131,'Vestas turbines hist MW'!B40,'OI 2019'!$L$114:$L$131)*$E40</f>
        <v>58.650000000000006</v>
      </c>
      <c r="U40" s="1">
        <f>SUMIF('OI 2018'!$I$114:$I$131,'Vestas turbines hist MW'!B40,'OI 2018'!$L$114:$L$131)*$E40</f>
        <v>0</v>
      </c>
      <c r="V40" s="1">
        <f>SUMIF('OI 2017'!$I$113:$I$130,'Vestas turbines hist MW'!B40,'OI 2017'!$L$113:$L$130)*$E40</f>
        <v>109.41666666666667</v>
      </c>
      <c r="W40" s="1">
        <f>SUMIF('OI 2016'!$I$87:$I$99,'Vestas turbines hist MW'!$B40,'OI 2016'!$L$87:$L$99)*$E40</f>
        <v>31</v>
      </c>
      <c r="X40" s="1">
        <f>SUMIF('OI 2015'!$I$87:$I$101,'Vestas turbines hist MW'!$B40,'OI 2015'!$L$87:$L$101)*$E40</f>
        <v>0</v>
      </c>
      <c r="Y40" s="1">
        <f>SUMIF('OI 2014'!$I$87:$I$101,'Vestas turbines hist MW'!$B40,'OI 2014'!$L$87:$L$101)*$E40</f>
        <v>0</v>
      </c>
      <c r="Z40" s="1">
        <f>SUMIF('OI 2013'!$I$87:$I$101,'Vestas turbines hist MW'!$B40,'OI 2013'!$L$87:$L$101)*$E40</f>
        <v>0</v>
      </c>
      <c r="AA40" s="1">
        <f>SUMIF('OI 2012'!$I$87:$I$101,'Vestas turbines hist MW'!$B40,'OI 2012'!$L$87:$L$101)*$E40</f>
        <v>0</v>
      </c>
      <c r="AB40" s="1">
        <f>SUMIF('OI 2011'!$I$95:$I$104,'Vestas turbines hist MW'!$B40,'OI 2011'!$L$95:$L$104)*$E40</f>
        <v>0</v>
      </c>
      <c r="AC40" s="1">
        <f>SUMIF('OI 2010'!$I$95:$I$107,'Vestas turbines hist MW'!$B40,'OI 2010'!$L$95:$L$107)*$E40</f>
        <v>0</v>
      </c>
      <c r="AD40" s="1">
        <f>SUMIF('OI 2009'!$I$95:$I$107,'Vestas turbines hist MW'!$B40,'OI 2009'!$L$95:$L$107)*$E40</f>
        <v>0</v>
      </c>
      <c r="AE40" s="1">
        <f>SUMIF('OI 2008'!$I$95:$I$107,'Vestas turbines hist MW'!$B40,'OI 2008'!$L$95:$L$107)*$E40</f>
        <v>0</v>
      </c>
    </row>
    <row r="41" spans="1:31" hidden="1" x14ac:dyDescent="0.25">
      <c r="A41" t="str">
        <f t="shared" si="7"/>
        <v>V105-3.6MW</v>
      </c>
      <c r="B41" t="s">
        <v>781</v>
      </c>
      <c r="C41" t="s">
        <v>698</v>
      </c>
      <c r="D41" t="s">
        <v>752</v>
      </c>
      <c r="E41" s="24">
        <f t="shared" si="8"/>
        <v>3.6</v>
      </c>
      <c r="F41">
        <v>3600</v>
      </c>
      <c r="G41">
        <v>126</v>
      </c>
      <c r="H41">
        <v>2016</v>
      </c>
      <c r="I41" t="s">
        <v>752</v>
      </c>
      <c r="J41" t="s">
        <v>752</v>
      </c>
      <c r="K41" t="s">
        <v>752</v>
      </c>
      <c r="L41">
        <f t="shared" si="5"/>
        <v>0</v>
      </c>
      <c r="N41" s="1">
        <f t="shared" si="6"/>
        <v>0</v>
      </c>
      <c r="Q41" s="1">
        <f>SUMIF('OI 2022'!$I$158:$I$175,'Vestas turbines hist MW'!$B41,'OI 2022'!$K$158:$K$175)*$E41</f>
        <v>0</v>
      </c>
      <c r="R41" s="1">
        <f>SUMIF('OI 2021'!$I$146:$I$166,'Vestas turbines hist MW'!$B41,'OI 2021'!$K$146:$K$166)*$E41</f>
        <v>0</v>
      </c>
      <c r="S41" s="1">
        <f>SUMIF('OI 2020'!$I$144:$I$165,'Vestas turbines hist MW'!B41,'OI 2020'!$K$144:$K$165)*$E41</f>
        <v>39.6</v>
      </c>
      <c r="T41" s="1">
        <f>SUMIF('OI 2019'!$I$114:$I$131,'Vestas turbines hist MW'!B41,'OI 2019'!$L$114:$L$131)*$E41</f>
        <v>0</v>
      </c>
      <c r="U41" s="1">
        <f>SUMIF('OI 2018'!$I$114:$I$131,'Vestas turbines hist MW'!B41,'OI 2018'!$L$114:$L$131)*$E41</f>
        <v>0</v>
      </c>
      <c r="V41" s="1">
        <f>SUMIF('OI 2017'!$I$113:$I$130,'Vestas turbines hist MW'!B41,'OI 2017'!$L$113:$L$130)*$E41</f>
        <v>0</v>
      </c>
      <c r="W41" s="1">
        <f>SUMIF('OI 2016'!$I$87:$I$99,'Vestas turbines hist MW'!$B41,'OI 2016'!$L$87:$L$99)*$E41</f>
        <v>0</v>
      </c>
      <c r="X41" s="1">
        <f>SUMIF('OI 2015'!$I$87:$I$101,'Vestas turbines hist MW'!$B41,'OI 2015'!$L$87:$L$101)*$E41</f>
        <v>0</v>
      </c>
      <c r="Y41" s="1">
        <f>SUMIF('OI 2014'!$I$87:$I$101,'Vestas turbines hist MW'!$B41,'OI 2014'!$L$87:$L$101)*$E41</f>
        <v>0</v>
      </c>
      <c r="Z41" s="1">
        <f>SUMIF('OI 2013'!$I$87:$I$101,'Vestas turbines hist MW'!$B41,'OI 2013'!$L$87:$L$101)*$E41</f>
        <v>0</v>
      </c>
      <c r="AA41" s="1">
        <f>SUMIF('OI 2012'!$I$87:$I$101,'Vestas turbines hist MW'!$B41,'OI 2012'!$L$87:$L$101)*$E41</f>
        <v>0</v>
      </c>
      <c r="AB41" s="1">
        <f>SUMIF('OI 2011'!$I$95:$I$104,'Vestas turbines hist MW'!$B41,'OI 2011'!$L$95:$L$104)*$E41</f>
        <v>0</v>
      </c>
      <c r="AC41" s="1">
        <f>SUMIF('OI 2010'!$I$95:$I$107,'Vestas turbines hist MW'!$B41,'OI 2010'!$L$95:$L$107)*$E41</f>
        <v>0</v>
      </c>
      <c r="AD41" s="1">
        <f>SUMIF('OI 2009'!$I$95:$I$107,'Vestas turbines hist MW'!$B41,'OI 2009'!$L$95:$L$107)*$E41</f>
        <v>0</v>
      </c>
      <c r="AE41" s="1">
        <f>SUMIF('OI 2008'!$I$95:$I$107,'Vestas turbines hist MW'!$B41,'OI 2008'!$L$95:$L$107)*$E41</f>
        <v>0</v>
      </c>
    </row>
    <row r="42" spans="1:31" x14ac:dyDescent="0.25">
      <c r="A42" t="str">
        <f t="shared" si="7"/>
        <v>V110-2MW</v>
      </c>
      <c r="B42" t="s">
        <v>110</v>
      </c>
      <c r="C42" t="s">
        <v>699</v>
      </c>
      <c r="D42" t="s">
        <v>753</v>
      </c>
      <c r="E42" s="24">
        <f t="shared" si="8"/>
        <v>2</v>
      </c>
      <c r="F42">
        <v>2000</v>
      </c>
      <c r="G42">
        <v>110</v>
      </c>
      <c r="H42">
        <v>2013</v>
      </c>
      <c r="I42" t="s">
        <v>752</v>
      </c>
      <c r="J42" t="s">
        <v>752</v>
      </c>
      <c r="K42" t="s">
        <v>752</v>
      </c>
      <c r="L42">
        <f t="shared" si="5"/>
        <v>6</v>
      </c>
      <c r="N42" s="1">
        <f t="shared" si="6"/>
        <v>9229.9090909090901</v>
      </c>
      <c r="Q42" s="1">
        <f>SUMIF('OI 2022'!$I$158:$I$175,'Vestas turbines hist MW'!$B42,'OI 2022'!$K$158:$K$175)*$E42</f>
        <v>0</v>
      </c>
      <c r="R42" s="1">
        <f>SUMIF('OI 2021'!$I$146:$I$166,'Vestas turbines hist MW'!$B42,'OI 2021'!$K$146:$K$166)*$E42</f>
        <v>118</v>
      </c>
      <c r="S42" s="1">
        <f>SUMIF('OI 2020'!$I$144:$I$165,'Vestas turbines hist MW'!B42,'OI 2020'!$K$144:$K$165)*$E42</f>
        <v>430</v>
      </c>
      <c r="T42" s="1">
        <f>SUMIF('OI 2019'!$I$114:$I$131,'Vestas turbines hist MW'!B42,'OI 2019'!$L$114:$L$131)*$E42</f>
        <v>510</v>
      </c>
      <c r="U42" s="1">
        <f>SUMIF('OI 2018'!$I$114:$I$131,'Vestas turbines hist MW'!B42,'OI 2018'!$L$114:$L$131)*$E42</f>
        <v>720.18181818181824</v>
      </c>
      <c r="V42" s="1">
        <f>SUMIF('OI 2017'!$I$113:$I$130,'Vestas turbines hist MW'!B42,'OI 2017'!$L$113:$L$130)*$E42</f>
        <v>2819</v>
      </c>
      <c r="W42" s="1">
        <f>SUMIF('OI 2016'!$I$87:$I$99,'Vestas turbines hist MW'!$B42,'OI 2016'!$L$87:$L$99)*$E42</f>
        <v>2708.7272727272725</v>
      </c>
      <c r="X42" s="1">
        <f>SUMIF('OI 2015'!$I$87:$I$101,'Vestas turbines hist MW'!$B42,'OI 2015'!$L$87:$L$101)*$E42</f>
        <v>1720</v>
      </c>
      <c r="Y42" s="1">
        <f>SUMIF('OI 2014'!$I$87:$I$101,'Vestas turbines hist MW'!$B42,'OI 2014'!$L$87:$L$101)*$E42</f>
        <v>672</v>
      </c>
      <c r="Z42" s="1">
        <f>SUMIF('OI 2013'!$I$87:$I$101,'Vestas turbines hist MW'!$B42,'OI 2013'!$L$87:$L$101)*$E42</f>
        <v>590</v>
      </c>
      <c r="AA42" s="1">
        <f>SUMIF('OI 2012'!$I$87:$I$101,'Vestas turbines hist MW'!$B42,'OI 2012'!$L$87:$L$101)*$E42</f>
        <v>0</v>
      </c>
      <c r="AB42" s="1">
        <f>SUMIF('OI 2011'!$I$95:$I$104,'Vestas turbines hist MW'!$B42,'OI 2011'!$L$95:$L$104)*$E42</f>
        <v>0</v>
      </c>
      <c r="AC42" s="1">
        <f>SUMIF('OI 2010'!$I$95:$I$107,'Vestas turbines hist MW'!$B42,'OI 2010'!$L$95:$L$107)*$E42</f>
        <v>0</v>
      </c>
      <c r="AD42" s="1">
        <f>SUMIF('OI 2009'!$I$95:$I$107,'Vestas turbines hist MW'!$B42,'OI 2009'!$L$95:$L$107)*$E42</f>
        <v>0</v>
      </c>
      <c r="AE42" s="1">
        <f>SUMIF('OI 2008'!$I$95:$I$107,'Vestas turbines hist MW'!$B42,'OI 2008'!$L$95:$L$107)*$E42</f>
        <v>0</v>
      </c>
    </row>
    <row r="43" spans="1:31" x14ac:dyDescent="0.25">
      <c r="A43" t="str">
        <f t="shared" si="7"/>
        <v>V112-3MW</v>
      </c>
      <c r="B43" t="s">
        <v>321</v>
      </c>
      <c r="C43" t="s">
        <v>700</v>
      </c>
      <c r="D43" t="s">
        <v>754</v>
      </c>
      <c r="E43" s="24">
        <f t="shared" si="8"/>
        <v>3</v>
      </c>
      <c r="F43">
        <v>3000</v>
      </c>
      <c r="G43">
        <v>112</v>
      </c>
      <c r="H43">
        <v>2009</v>
      </c>
      <c r="I43" t="s">
        <v>752</v>
      </c>
      <c r="J43" t="s">
        <v>752</v>
      </c>
      <c r="K43" t="s">
        <v>752</v>
      </c>
      <c r="L43">
        <f t="shared" si="5"/>
        <v>7</v>
      </c>
      <c r="N43" s="1">
        <f t="shared" si="6"/>
        <v>3205</v>
      </c>
      <c r="Q43" s="1">
        <f>SUMIF('OI 2022'!$I$158:$I$175,'Vestas turbines hist MW'!$B43,'OI 2022'!$K$158:$K$175)*$E43</f>
        <v>0</v>
      </c>
      <c r="R43" s="1">
        <f>SUMIF('OI 2021'!$I$146:$I$166,'Vestas turbines hist MW'!$B43,'OI 2021'!$K$146:$K$166)*$E43</f>
        <v>0</v>
      </c>
      <c r="S43" s="1">
        <f>SUMIF('OI 2020'!$I$144:$I$165,'Vestas turbines hist MW'!B43,'OI 2020'!$K$144:$K$165)*$E43</f>
        <v>0</v>
      </c>
      <c r="T43" s="1">
        <f>SUMIF('OI 2019'!$I$114:$I$131,'Vestas turbines hist MW'!B43,'OI 2019'!$L$114:$L$131)*$E43</f>
        <v>0</v>
      </c>
      <c r="U43" s="1">
        <f>SUMIF('OI 2018'!$I$114:$I$131,'Vestas turbines hist MW'!B43,'OI 2018'!$L$114:$L$131)*$E43</f>
        <v>57</v>
      </c>
      <c r="V43" s="1">
        <f>SUMIF('OI 2017'!$I$113:$I$130,'Vestas turbines hist MW'!B43,'OI 2017'!$L$113:$L$130)*$E43</f>
        <v>0</v>
      </c>
      <c r="W43" s="1">
        <f>SUMIF('OI 2016'!$I$87:$I$99,'Vestas turbines hist MW'!$B43,'OI 2016'!$L$87:$L$99)*$E43</f>
        <v>0</v>
      </c>
      <c r="X43" s="1">
        <f>SUMIF('OI 2015'!$I$87:$I$101,'Vestas turbines hist MW'!$B43,'OI 2015'!$L$87:$L$101)*$E43</f>
        <v>36</v>
      </c>
      <c r="Y43" s="1">
        <f>SUMIF('OI 2014'!$I$87:$I$101,'Vestas turbines hist MW'!$B43,'OI 2014'!$L$87:$L$101)*$E43</f>
        <v>292</v>
      </c>
      <c r="Z43" s="1">
        <f>SUMIF('OI 2013'!$I$87:$I$101,'Vestas turbines hist MW'!$B43,'OI 2013'!$L$87:$L$101)*$E43</f>
        <v>1134</v>
      </c>
      <c r="AA43" s="1">
        <f>SUMIF('OI 2012'!$I$87:$I$101,'Vestas turbines hist MW'!$B43,'OI 2012'!$L$87:$L$101)*$E43</f>
        <v>336</v>
      </c>
      <c r="AB43" s="1">
        <f>SUMIF('OI 2011'!$I$95:$I$104,'Vestas turbines hist MW'!$B43,'OI 2011'!$L$95:$L$104)*$E43</f>
        <v>750</v>
      </c>
      <c r="AC43" s="1">
        <f>SUMIF('OI 2010'!$I$95:$I$107,'Vestas turbines hist MW'!$B43,'OI 2010'!$L$95:$L$107)*$E43</f>
        <v>600</v>
      </c>
      <c r="AD43" s="1">
        <f>SUMIF('OI 2009'!$I$95:$I$107,'Vestas turbines hist MW'!$B43,'OI 2009'!$L$95:$L$107)*$E43</f>
        <v>0</v>
      </c>
      <c r="AE43" s="1">
        <f>SUMIF('OI 2008'!$I$95:$I$107,'Vestas turbines hist MW'!$B43,'OI 2008'!$L$95:$L$107)*$E43</f>
        <v>0</v>
      </c>
    </row>
    <row r="44" spans="1:31" x14ac:dyDescent="0.25">
      <c r="A44" t="str">
        <f t="shared" si="7"/>
        <v>V112-3.075MW</v>
      </c>
      <c r="B44" t="s">
        <v>333</v>
      </c>
      <c r="C44" t="s">
        <v>701</v>
      </c>
      <c r="D44" t="s">
        <v>755</v>
      </c>
      <c r="E44" s="24">
        <f t="shared" si="8"/>
        <v>3.0750000000000002</v>
      </c>
      <c r="F44">
        <v>3075</v>
      </c>
      <c r="G44">
        <v>112</v>
      </c>
      <c r="H44">
        <v>2015</v>
      </c>
      <c r="I44" t="s">
        <v>752</v>
      </c>
      <c r="J44" t="s">
        <v>752</v>
      </c>
      <c r="K44" t="s">
        <v>752</v>
      </c>
      <c r="L44">
        <f t="shared" si="5"/>
        <v>1</v>
      </c>
      <c r="N44" s="1">
        <f t="shared" si="6"/>
        <v>40</v>
      </c>
      <c r="Q44" s="1">
        <f>SUMIF('OI 2022'!$I$158:$I$175,'Vestas turbines hist MW'!$B44,'OI 2022'!$K$158:$K$175)*$E44</f>
        <v>0</v>
      </c>
      <c r="R44" s="1">
        <f>SUMIF('OI 2021'!$I$146:$I$166,'Vestas turbines hist MW'!$B44,'OI 2021'!$K$146:$K$166)*$E44</f>
        <v>0</v>
      </c>
      <c r="S44" s="1">
        <f>SUMIF('OI 2020'!$I$144:$I$165,'Vestas turbines hist MW'!B44,'OI 2020'!$K$144:$K$165)*$E44</f>
        <v>0</v>
      </c>
      <c r="T44" s="1">
        <f>SUMIF('OI 2019'!$I$114:$I$131,'Vestas turbines hist MW'!B44,'OI 2019'!$L$114:$L$131)*$E44</f>
        <v>0</v>
      </c>
      <c r="U44" s="1">
        <f>SUMIF('OI 2018'!$I$114:$I$131,'Vestas turbines hist MW'!B44,'OI 2018'!$L$114:$L$131)*$E44</f>
        <v>0</v>
      </c>
      <c r="V44" s="1">
        <f>SUMIF('OI 2017'!$I$113:$I$130,'Vestas turbines hist MW'!B44,'OI 2017'!$L$113:$L$130)*$E44</f>
        <v>0</v>
      </c>
      <c r="W44" s="1">
        <f>SUMIF('OI 2016'!$I$87:$I$99,'Vestas turbines hist MW'!$B44,'OI 2016'!$L$87:$L$99)*$E44</f>
        <v>0</v>
      </c>
      <c r="X44" s="1">
        <f>SUMIF('OI 2015'!$I$87:$I$101,'Vestas turbines hist MW'!$B44,'OI 2015'!$L$87:$L$101)*$E44</f>
        <v>40</v>
      </c>
      <c r="Y44" s="1">
        <f>SUMIF('OI 2014'!$I$87:$I$101,'Vestas turbines hist MW'!$B44,'OI 2014'!$L$87:$L$101)*$E44</f>
        <v>0</v>
      </c>
      <c r="Z44" s="1">
        <f>SUMIF('OI 2013'!$I$87:$I$101,'Vestas turbines hist MW'!$B44,'OI 2013'!$L$87:$L$101)*$E44</f>
        <v>0</v>
      </c>
      <c r="AA44" s="1">
        <f>SUMIF('OI 2012'!$I$87:$I$101,'Vestas turbines hist MW'!$B44,'OI 2012'!$L$87:$L$101)*$E44</f>
        <v>0</v>
      </c>
      <c r="AB44" s="1">
        <f>SUMIF('OI 2011'!$I$95:$I$104,'Vestas turbines hist MW'!$B44,'OI 2011'!$L$95:$L$104)*$E44</f>
        <v>0</v>
      </c>
      <c r="AC44" s="1">
        <f>SUMIF('OI 2010'!$I$95:$I$107,'Vestas turbines hist MW'!$B44,'OI 2010'!$L$95:$L$107)*$E44</f>
        <v>0</v>
      </c>
      <c r="AD44" s="1">
        <f>SUMIF('OI 2009'!$I$95:$I$107,'Vestas turbines hist MW'!$B44,'OI 2009'!$L$95:$L$107)*$E44</f>
        <v>0</v>
      </c>
      <c r="AE44" s="1">
        <f>SUMIF('OI 2008'!$I$95:$I$107,'Vestas turbines hist MW'!$B44,'OI 2008'!$L$95:$L$107)*$E44</f>
        <v>0</v>
      </c>
    </row>
    <row r="45" spans="1:31" x14ac:dyDescent="0.25">
      <c r="A45" t="str">
        <f t="shared" si="7"/>
        <v>V112-3.3MW</v>
      </c>
      <c r="B45" t="s">
        <v>111</v>
      </c>
      <c r="C45" t="s">
        <v>702</v>
      </c>
      <c r="D45" t="s">
        <v>756</v>
      </c>
      <c r="E45" s="24">
        <f t="shared" si="8"/>
        <v>3.3</v>
      </c>
      <c r="F45">
        <v>3300</v>
      </c>
      <c r="G45">
        <v>112</v>
      </c>
      <c r="H45">
        <v>2013</v>
      </c>
      <c r="I45" t="s">
        <v>752</v>
      </c>
      <c r="J45" t="s">
        <v>752</v>
      </c>
      <c r="K45" t="s">
        <v>752</v>
      </c>
      <c r="L45">
        <f t="shared" si="5"/>
        <v>5</v>
      </c>
      <c r="N45" s="1">
        <f t="shared" si="6"/>
        <v>1855.1999999999998</v>
      </c>
      <c r="Q45" s="1">
        <f>SUMIF('OI 2022'!$I$158:$I$175,'Vestas turbines hist MW'!$B45,'OI 2022'!$K$158:$K$175)*$E45</f>
        <v>0</v>
      </c>
      <c r="R45" s="1">
        <f>SUMIF('OI 2021'!$I$146:$I$166,'Vestas turbines hist MW'!$B45,'OI 2021'!$K$146:$K$166)*$E45</f>
        <v>0</v>
      </c>
      <c r="S45" s="1">
        <f>SUMIF('OI 2020'!$I$144:$I$165,'Vestas turbines hist MW'!B45,'OI 2020'!$K$144:$K$165)*$E45</f>
        <v>0</v>
      </c>
      <c r="T45" s="1">
        <f>SUMIF('OI 2019'!$I$114:$I$131,'Vestas turbines hist MW'!B45,'OI 2019'!$L$114:$L$131)*$E45</f>
        <v>29.7</v>
      </c>
      <c r="U45" s="1">
        <f>SUMIF('OI 2018'!$I$114:$I$131,'Vestas turbines hist MW'!B45,'OI 2018'!$L$114:$L$131)*$E45</f>
        <v>0</v>
      </c>
      <c r="V45" s="1">
        <f>SUMIF('OI 2017'!$I$113:$I$130,'Vestas turbines hist MW'!B45,'OI 2017'!$L$113:$L$130)*$E45</f>
        <v>86</v>
      </c>
      <c r="W45" s="1">
        <f>SUMIF('OI 2016'!$I$87:$I$99,'Vestas turbines hist MW'!$B45,'OI 2016'!$L$87:$L$99)*$E45</f>
        <v>115</v>
      </c>
      <c r="X45" s="1">
        <f>SUMIF('OI 2015'!$I$87:$I$101,'Vestas turbines hist MW'!$B45,'OI 2015'!$L$87:$L$101)*$E45</f>
        <v>700</v>
      </c>
      <c r="Y45" s="1">
        <f>SUMIF('OI 2014'!$I$87:$I$101,'Vestas turbines hist MW'!$B45,'OI 2014'!$L$87:$L$101)*$E45</f>
        <v>660.19999999999993</v>
      </c>
      <c r="Z45" s="1">
        <f>SUMIF('OI 2013'!$I$87:$I$101,'Vestas turbines hist MW'!$B45,'OI 2013'!$L$87:$L$101)*$E45</f>
        <v>294</v>
      </c>
      <c r="AA45" s="1">
        <f>SUMIF('OI 2012'!$I$87:$I$101,'Vestas turbines hist MW'!$B45,'OI 2012'!$L$87:$L$101)*$E45</f>
        <v>0</v>
      </c>
      <c r="AB45" s="1">
        <f>SUMIF('OI 2011'!$I$95:$I$104,'Vestas turbines hist MW'!$B45,'OI 2011'!$L$95:$L$104)*$E45</f>
        <v>0</v>
      </c>
      <c r="AC45" s="1">
        <f>SUMIF('OI 2010'!$I$95:$I$107,'Vestas turbines hist MW'!$B45,'OI 2010'!$L$95:$L$107)*$E45</f>
        <v>0</v>
      </c>
      <c r="AD45" s="1">
        <f>SUMIF('OI 2009'!$I$95:$I$107,'Vestas turbines hist MW'!$B45,'OI 2009'!$L$95:$L$107)*$E45</f>
        <v>0</v>
      </c>
      <c r="AE45" s="1">
        <f>SUMIF('OI 2008'!$I$95:$I$107,'Vestas turbines hist MW'!$B45,'OI 2008'!$L$95:$L$107)*$E45</f>
        <v>0</v>
      </c>
    </row>
    <row r="46" spans="1:31" x14ac:dyDescent="0.25">
      <c r="A46" t="str">
        <f t="shared" si="7"/>
        <v>V112-3.45MW</v>
      </c>
      <c r="B46" t="s">
        <v>112</v>
      </c>
      <c r="C46" t="s">
        <v>703</v>
      </c>
      <c r="D46" t="s">
        <v>757</v>
      </c>
      <c r="E46" s="24">
        <f t="shared" si="8"/>
        <v>3.45</v>
      </c>
      <c r="F46">
        <v>3450</v>
      </c>
      <c r="G46">
        <v>112</v>
      </c>
      <c r="H46">
        <v>2015</v>
      </c>
      <c r="I46" t="s">
        <v>752</v>
      </c>
      <c r="J46" t="s">
        <v>752</v>
      </c>
      <c r="K46" t="s">
        <v>752</v>
      </c>
      <c r="L46">
        <f t="shared" si="5"/>
        <v>4</v>
      </c>
      <c r="N46" s="1">
        <f t="shared" si="6"/>
        <v>1269.3681455271276</v>
      </c>
      <c r="Q46" s="1">
        <f>SUMIF('OI 2022'!$I$158:$I$175,'Vestas turbines hist MW'!$B46,'OI 2022'!$K$158:$K$175)*$E46</f>
        <v>6.9</v>
      </c>
      <c r="R46" s="1">
        <f>SUMIF('OI 2021'!$I$146:$I$166,'Vestas turbines hist MW'!$B46,'OI 2021'!$K$146:$K$166)*$E46</f>
        <v>34.5</v>
      </c>
      <c r="S46" s="1">
        <f>SUMIF('OI 2020'!$I$144:$I$165,'Vestas turbines hist MW'!B46,'OI 2020'!$K$144:$K$165)*$E46</f>
        <v>117.30000000000001</v>
      </c>
      <c r="T46" s="1">
        <f>SUMIF('OI 2019'!$I$114:$I$131,'Vestas turbines hist MW'!B46,'OI 2019'!$L$114:$L$131)*$E46</f>
        <v>248.4</v>
      </c>
      <c r="U46" s="1">
        <f>SUMIF('OI 2018'!$I$114:$I$131,'Vestas turbines hist MW'!B46,'OI 2018'!$L$114:$L$131)*$E46</f>
        <v>79.181818181818187</v>
      </c>
      <c r="V46" s="1">
        <f>SUMIF('OI 2017'!$I$113:$I$130,'Vestas turbines hist MW'!B46,'OI 2017'!$L$113:$L$130)*$E46</f>
        <v>138.43333333333334</v>
      </c>
      <c r="W46" s="1">
        <f>SUMIF('OI 2016'!$I$87:$I$99,'Vestas turbines hist MW'!$B46,'OI 2016'!$L$87:$L$99)*$E46</f>
        <v>566.35</v>
      </c>
      <c r="X46" s="1">
        <f>SUMIF('OI 2015'!$I$87:$I$101,'Vestas turbines hist MW'!$B46,'OI 2015'!$L$87:$L$101)*$E46</f>
        <v>485.40299401197603</v>
      </c>
      <c r="Y46" s="1">
        <f>SUMIF('OI 2014'!$I$87:$I$101,'Vestas turbines hist MW'!$B46,'OI 2014'!$L$87:$L$101)*$E46</f>
        <v>0</v>
      </c>
      <c r="Z46" s="1">
        <f>SUMIF('OI 2013'!$I$87:$I$101,'Vestas turbines hist MW'!$B46,'OI 2013'!$L$87:$L$101)*$E46</f>
        <v>0</v>
      </c>
      <c r="AA46" s="1">
        <f>SUMIF('OI 2012'!$I$87:$I$101,'Vestas turbines hist MW'!$B46,'OI 2012'!$L$87:$L$101)*$E46</f>
        <v>0</v>
      </c>
      <c r="AB46" s="1">
        <f>SUMIF('OI 2011'!$I$95:$I$104,'Vestas turbines hist MW'!$B46,'OI 2011'!$L$95:$L$104)*$E46</f>
        <v>0</v>
      </c>
      <c r="AC46" s="1">
        <f>SUMIF('OI 2010'!$I$95:$I$107,'Vestas turbines hist MW'!$B46,'OI 2010'!$L$95:$L$107)*$E46</f>
        <v>0</v>
      </c>
      <c r="AD46" s="1">
        <f>SUMIF('OI 2009'!$I$95:$I$107,'Vestas turbines hist MW'!$B46,'OI 2009'!$L$95:$L$107)*$E46</f>
        <v>0</v>
      </c>
      <c r="AE46" s="1">
        <f>SUMIF('OI 2008'!$I$95:$I$107,'Vestas turbines hist MW'!$B46,'OI 2008'!$L$95:$L$107)*$E46</f>
        <v>0</v>
      </c>
    </row>
    <row r="47" spans="1:31" hidden="1" x14ac:dyDescent="0.25">
      <c r="A47" t="str">
        <f t="shared" si="7"/>
        <v>V112-3.6MW</v>
      </c>
      <c r="B47" t="s">
        <v>782</v>
      </c>
      <c r="C47" t="s">
        <v>704</v>
      </c>
      <c r="D47" t="s">
        <v>752</v>
      </c>
      <c r="E47" s="24">
        <f t="shared" si="8"/>
        <v>3.6</v>
      </c>
      <c r="F47">
        <v>3600</v>
      </c>
      <c r="G47">
        <v>126</v>
      </c>
      <c r="H47">
        <v>2016</v>
      </c>
      <c r="I47" t="s">
        <v>752</v>
      </c>
      <c r="J47" t="s">
        <v>752</v>
      </c>
      <c r="K47" t="s">
        <v>752</v>
      </c>
      <c r="L47">
        <f t="shared" si="5"/>
        <v>0</v>
      </c>
      <c r="N47" s="1">
        <f t="shared" si="6"/>
        <v>0</v>
      </c>
      <c r="Q47" s="1">
        <f>SUMIF('OI 2022'!$I$158:$I$175,'Vestas turbines hist MW'!$B47,'OI 2022'!$K$158:$K$175)*$E47</f>
        <v>0</v>
      </c>
      <c r="R47" s="1">
        <f>SUMIF('OI 2021'!$I$146:$I$166,'Vestas turbines hist MW'!$B47,'OI 2021'!$K$146:$K$166)*$E47</f>
        <v>0</v>
      </c>
      <c r="S47" s="1">
        <f>SUMIF('OI 2020'!$I$144:$I$165,'Vestas turbines hist MW'!B47,'OI 2020'!$K$144:$K$165)*$E47</f>
        <v>0</v>
      </c>
      <c r="T47" s="1">
        <f>SUMIF('OI 2019'!$I$114:$I$131,'Vestas turbines hist MW'!B47,'OI 2019'!$L$114:$L$131)*$E47</f>
        <v>0</v>
      </c>
      <c r="U47" s="1">
        <f>SUMIF('OI 2018'!$I$114:$I$131,'Vestas turbines hist MW'!B47,'OI 2018'!$L$114:$L$131)*$E47</f>
        <v>0</v>
      </c>
      <c r="V47" s="1">
        <f>SUMIF('OI 2017'!$I$113:$I$130,'Vestas turbines hist MW'!B47,'OI 2017'!$L$113:$L$130)*$E47</f>
        <v>0</v>
      </c>
      <c r="W47" s="1">
        <f>SUMIF('OI 2016'!$I$87:$I$99,'Vestas turbines hist MW'!$B47,'OI 2016'!$L$87:$L$99)*$E47</f>
        <v>0</v>
      </c>
      <c r="X47" s="1">
        <f>SUMIF('OI 2015'!$I$87:$I$101,'Vestas turbines hist MW'!$B47,'OI 2015'!$L$87:$L$101)*$E47</f>
        <v>0</v>
      </c>
      <c r="Y47" s="1">
        <f>SUMIF('OI 2014'!$I$87:$I$101,'Vestas turbines hist MW'!$B47,'OI 2014'!$L$87:$L$101)*$E47</f>
        <v>0</v>
      </c>
      <c r="Z47" s="1">
        <f>SUMIF('OI 2013'!$I$87:$I$101,'Vestas turbines hist MW'!$B47,'OI 2013'!$L$87:$L$101)*$E47</f>
        <v>0</v>
      </c>
      <c r="AA47" s="1">
        <f>SUMIF('OI 2012'!$I$87:$I$101,'Vestas turbines hist MW'!$B47,'OI 2012'!$L$87:$L$101)*$E47</f>
        <v>0</v>
      </c>
      <c r="AB47" s="1">
        <f>SUMIF('OI 2011'!$I$95:$I$104,'Vestas turbines hist MW'!$B47,'OI 2011'!$L$95:$L$104)*$E47</f>
        <v>0</v>
      </c>
      <c r="AC47" s="1">
        <f>SUMIF('OI 2010'!$I$95:$I$107,'Vestas turbines hist MW'!$B47,'OI 2010'!$L$95:$L$107)*$E47</f>
        <v>0</v>
      </c>
      <c r="AD47" s="1">
        <f>SUMIF('OI 2009'!$I$95:$I$107,'Vestas turbines hist MW'!$B47,'OI 2009'!$L$95:$L$107)*$E47</f>
        <v>0</v>
      </c>
      <c r="AE47" s="1">
        <f>SUMIF('OI 2008'!$I$95:$I$107,'Vestas turbines hist MW'!$B47,'OI 2008'!$L$95:$L$107)*$E47</f>
        <v>0</v>
      </c>
    </row>
    <row r="48" spans="1:31" x14ac:dyDescent="0.25">
      <c r="A48" t="str">
        <f t="shared" si="7"/>
        <v>V116-2MW</v>
      </c>
      <c r="B48" t="s">
        <v>122</v>
      </c>
      <c r="C48" t="s">
        <v>705</v>
      </c>
      <c r="D48" t="s">
        <v>749</v>
      </c>
      <c r="E48" s="24">
        <f t="shared" si="8"/>
        <v>2</v>
      </c>
      <c r="F48">
        <v>2000</v>
      </c>
      <c r="G48">
        <v>116</v>
      </c>
      <c r="H48">
        <v>2017</v>
      </c>
      <c r="I48" t="s">
        <v>752</v>
      </c>
      <c r="J48" t="s">
        <v>752</v>
      </c>
      <c r="K48" t="s">
        <v>752</v>
      </c>
      <c r="L48">
        <f t="shared" si="5"/>
        <v>2</v>
      </c>
      <c r="N48" s="1">
        <f t="shared" si="6"/>
        <v>498</v>
      </c>
      <c r="Q48" s="1">
        <f>SUMIF('OI 2022'!$I$158:$I$175,'Vestas turbines hist MW'!$B48,'OI 2022'!$K$158:$K$175)*$E48</f>
        <v>0</v>
      </c>
      <c r="R48" s="1">
        <f>SUMIF('OI 2021'!$I$146:$I$166,'Vestas turbines hist MW'!$B48,'OI 2021'!$K$146:$K$166)*$E48</f>
        <v>0</v>
      </c>
      <c r="S48" s="1">
        <f>SUMIF('OI 2020'!$I$144:$I$165,'Vestas turbines hist MW'!B48,'OI 2020'!$K$144:$K$165)*$E48</f>
        <v>0</v>
      </c>
      <c r="T48" s="1">
        <f>SUMIF('OI 2019'!$I$114:$I$131,'Vestas turbines hist MW'!B48,'OI 2019'!$L$114:$L$131)*$E48</f>
        <v>0</v>
      </c>
      <c r="U48" s="1">
        <f>SUMIF('OI 2018'!$I$114:$I$131,'Vestas turbines hist MW'!B48,'OI 2018'!$L$114:$L$131)*$E48</f>
        <v>432</v>
      </c>
      <c r="V48" s="1">
        <f>SUMIF('OI 2017'!$I$113:$I$130,'Vestas turbines hist MW'!B48,'OI 2017'!$L$113:$L$130)*$E48</f>
        <v>66</v>
      </c>
      <c r="W48" s="1">
        <f>SUMIF('OI 2016'!$I$87:$I$99,'Vestas turbines hist MW'!$B48,'OI 2016'!$L$87:$L$99)*$E48</f>
        <v>0</v>
      </c>
      <c r="X48" s="1">
        <f>SUMIF('OI 2015'!$I$87:$I$101,'Vestas turbines hist MW'!$B48,'OI 2015'!$L$87:$L$101)*$E48</f>
        <v>0</v>
      </c>
      <c r="Y48" s="1">
        <f>SUMIF('OI 2014'!$I$87:$I$101,'Vestas turbines hist MW'!$B48,'OI 2014'!$L$87:$L$101)*$E48</f>
        <v>0</v>
      </c>
      <c r="Z48" s="1">
        <f>SUMIF('OI 2013'!$I$87:$I$101,'Vestas turbines hist MW'!$B48,'OI 2013'!$L$87:$L$101)*$E48</f>
        <v>0</v>
      </c>
      <c r="AA48" s="1">
        <f>SUMIF('OI 2012'!$I$87:$I$101,'Vestas turbines hist MW'!$B48,'OI 2012'!$L$87:$L$101)*$E48</f>
        <v>0</v>
      </c>
      <c r="AB48" s="1">
        <f>SUMIF('OI 2011'!$I$95:$I$104,'Vestas turbines hist MW'!$B48,'OI 2011'!$L$95:$L$104)*$E48</f>
        <v>0</v>
      </c>
      <c r="AC48" s="1">
        <f>SUMIF('OI 2010'!$I$95:$I$107,'Vestas turbines hist MW'!$B48,'OI 2010'!$L$95:$L$107)*$E48</f>
        <v>0</v>
      </c>
      <c r="AD48" s="1">
        <f>SUMIF('OI 2009'!$I$95:$I$107,'Vestas turbines hist MW'!$B48,'OI 2009'!$L$95:$L$107)*$E48</f>
        <v>0</v>
      </c>
      <c r="AE48" s="1">
        <f>SUMIF('OI 2008'!$I$95:$I$107,'Vestas turbines hist MW'!$B48,'OI 2008'!$L$95:$L$107)*$E48</f>
        <v>0</v>
      </c>
    </row>
    <row r="49" spans="1:31" x14ac:dyDescent="0.25">
      <c r="A49" t="str">
        <f t="shared" si="7"/>
        <v>V117-3.3MW</v>
      </c>
      <c r="B49" t="s">
        <v>224</v>
      </c>
      <c r="C49" t="s">
        <v>706</v>
      </c>
      <c r="D49" t="s">
        <v>758</v>
      </c>
      <c r="E49" s="24">
        <f t="shared" si="8"/>
        <v>3.3</v>
      </c>
      <c r="F49">
        <v>3300</v>
      </c>
      <c r="G49">
        <v>117</v>
      </c>
      <c r="H49">
        <v>2013</v>
      </c>
      <c r="I49" t="s">
        <v>752</v>
      </c>
      <c r="J49" t="s">
        <v>752</v>
      </c>
      <c r="K49" t="s">
        <v>752</v>
      </c>
      <c r="L49">
        <f t="shared" si="5"/>
        <v>4</v>
      </c>
      <c r="N49" s="1">
        <f t="shared" si="6"/>
        <v>1479.6999999999998</v>
      </c>
      <c r="Q49" s="1">
        <f>SUMIF('OI 2022'!$I$158:$I$175,'Vestas turbines hist MW'!$B49,'OI 2022'!$K$158:$K$175)*$E49</f>
        <v>0</v>
      </c>
      <c r="R49" s="1">
        <f>SUMIF('OI 2021'!$I$146:$I$166,'Vestas turbines hist MW'!$B49,'OI 2021'!$K$146:$K$166)*$E49</f>
        <v>0</v>
      </c>
      <c r="S49" s="1">
        <f>SUMIF('OI 2020'!$I$144:$I$165,'Vestas turbines hist MW'!B49,'OI 2020'!$K$144:$K$165)*$E49</f>
        <v>0</v>
      </c>
      <c r="T49" s="1">
        <f>SUMIF('OI 2019'!$I$114:$I$131,'Vestas turbines hist MW'!B49,'OI 2019'!$L$114:$L$131)*$E49</f>
        <v>0</v>
      </c>
      <c r="U49" s="1">
        <f>SUMIF('OI 2018'!$I$114:$I$131,'Vestas turbines hist MW'!B49,'OI 2018'!$L$114:$L$131)*$E49</f>
        <v>33</v>
      </c>
      <c r="V49" s="1">
        <f>SUMIF('OI 2017'!$I$113:$I$130,'Vestas turbines hist MW'!B49,'OI 2017'!$L$113:$L$130)*$E49</f>
        <v>0</v>
      </c>
      <c r="W49" s="1">
        <f>SUMIF('OI 2016'!$I$87:$I$99,'Vestas turbines hist MW'!$B49,'OI 2016'!$L$87:$L$99)*$E49</f>
        <v>178</v>
      </c>
      <c r="X49" s="1">
        <f>SUMIF('OI 2015'!$I$87:$I$101,'Vestas turbines hist MW'!$B49,'OI 2015'!$L$87:$L$101)*$E49</f>
        <v>1205.9999999999998</v>
      </c>
      <c r="Y49" s="1">
        <f>SUMIF('OI 2014'!$I$87:$I$101,'Vestas turbines hist MW'!$B49,'OI 2014'!$L$87:$L$101)*$E49</f>
        <v>62.699999999999996</v>
      </c>
      <c r="Z49" s="1">
        <f>SUMIF('OI 2013'!$I$87:$I$101,'Vestas turbines hist MW'!$B49,'OI 2013'!$L$87:$L$101)*$E49</f>
        <v>0</v>
      </c>
      <c r="AA49" s="1">
        <f>SUMIF('OI 2012'!$I$87:$I$101,'Vestas turbines hist MW'!$B49,'OI 2012'!$L$87:$L$101)*$E49</f>
        <v>0</v>
      </c>
      <c r="AB49" s="1">
        <f>SUMIF('OI 2011'!$I$95:$I$104,'Vestas turbines hist MW'!$B49,'OI 2011'!$L$95:$L$104)*$E49</f>
        <v>0</v>
      </c>
      <c r="AC49" s="1">
        <f>SUMIF('OI 2010'!$I$95:$I$107,'Vestas turbines hist MW'!$B49,'OI 2010'!$L$95:$L$107)*$E49</f>
        <v>0</v>
      </c>
      <c r="AD49" s="1">
        <f>SUMIF('OI 2009'!$I$95:$I$107,'Vestas turbines hist MW'!$B49,'OI 2009'!$L$95:$L$107)*$E49</f>
        <v>0</v>
      </c>
      <c r="AE49" s="1">
        <f>SUMIF('OI 2008'!$I$95:$I$107,'Vestas turbines hist MW'!$B49,'OI 2008'!$L$95:$L$107)*$E49</f>
        <v>0</v>
      </c>
    </row>
    <row r="50" spans="1:31" x14ac:dyDescent="0.25">
      <c r="A50" t="str">
        <f t="shared" si="7"/>
        <v>V117-3.45MW</v>
      </c>
      <c r="B50" t="s">
        <v>115</v>
      </c>
      <c r="C50" t="s">
        <v>707</v>
      </c>
      <c r="D50" t="s">
        <v>757</v>
      </c>
      <c r="E50" s="24">
        <f t="shared" si="8"/>
        <v>3.45</v>
      </c>
      <c r="F50">
        <v>3450</v>
      </c>
      <c r="G50">
        <v>126</v>
      </c>
      <c r="H50">
        <v>2016</v>
      </c>
      <c r="I50" t="s">
        <v>752</v>
      </c>
      <c r="J50" t="s">
        <v>752</v>
      </c>
      <c r="K50" t="s">
        <v>752</v>
      </c>
      <c r="L50">
        <f t="shared" si="5"/>
        <v>4</v>
      </c>
      <c r="N50" s="1">
        <f t="shared" si="6"/>
        <v>2325.4916666666668</v>
      </c>
      <c r="Q50" s="1">
        <f>SUMIF('OI 2022'!$I$158:$I$175,'Vestas turbines hist MW'!$B50,'OI 2022'!$K$158:$K$175)*$E50</f>
        <v>44.85</v>
      </c>
      <c r="R50" s="1">
        <f>SUMIF('OI 2021'!$I$146:$I$166,'Vestas turbines hist MW'!$B50,'OI 2021'!$K$146:$K$166)*$E50</f>
        <v>79.350000000000009</v>
      </c>
      <c r="S50" s="1">
        <f>SUMIF('OI 2020'!$I$144:$I$165,'Vestas turbines hist MW'!B50,'OI 2020'!$K$144:$K$165)*$E50</f>
        <v>113.85000000000001</v>
      </c>
      <c r="T50" s="1">
        <f>SUMIF('OI 2019'!$I$114:$I$131,'Vestas turbines hist MW'!B50,'OI 2019'!$L$114:$L$131)*$E50</f>
        <v>158.70000000000002</v>
      </c>
      <c r="U50" s="1">
        <f>SUMIF('OI 2018'!$I$114:$I$131,'Vestas turbines hist MW'!B50,'OI 2018'!$L$114:$L$131)*$E50</f>
        <v>614.625</v>
      </c>
      <c r="V50" s="1">
        <f>SUMIF('OI 2017'!$I$113:$I$130,'Vestas turbines hist MW'!B50,'OI 2017'!$L$113:$L$130)*$E50</f>
        <v>230.91666666666666</v>
      </c>
      <c r="W50" s="1">
        <f>SUMIF('OI 2016'!$I$87:$I$99,'Vestas turbines hist MW'!$B50,'OI 2016'!$L$87:$L$99)*$E50</f>
        <v>1376.45</v>
      </c>
      <c r="X50" s="1">
        <f>SUMIF('OI 2015'!$I$87:$I$101,'Vestas turbines hist MW'!$B50,'OI 2015'!$L$87:$L$101)*$E50</f>
        <v>103.5</v>
      </c>
      <c r="Y50" s="1">
        <f>SUMIF('OI 2014'!$I$87:$I$101,'Vestas turbines hist MW'!$B50,'OI 2014'!$L$87:$L$101)*$E50</f>
        <v>0</v>
      </c>
      <c r="Z50" s="1">
        <f>SUMIF('OI 2013'!$I$87:$I$101,'Vestas turbines hist MW'!$B50,'OI 2013'!$L$87:$L$101)*$E50</f>
        <v>0</v>
      </c>
      <c r="AA50" s="1">
        <f>SUMIF('OI 2012'!$I$87:$I$101,'Vestas turbines hist MW'!$B50,'OI 2012'!$L$87:$L$101)*$E50</f>
        <v>0</v>
      </c>
      <c r="AB50" s="1">
        <f>SUMIF('OI 2011'!$I$95:$I$104,'Vestas turbines hist MW'!$B50,'OI 2011'!$L$95:$L$104)*$E50</f>
        <v>0</v>
      </c>
      <c r="AC50" s="1">
        <f>SUMIF('OI 2010'!$I$95:$I$107,'Vestas turbines hist MW'!$B50,'OI 2010'!$L$95:$L$107)*$E50</f>
        <v>0</v>
      </c>
      <c r="AD50" s="1">
        <f>SUMIF('OI 2009'!$I$95:$I$107,'Vestas turbines hist MW'!$B50,'OI 2009'!$L$95:$L$107)*$E50</f>
        <v>0</v>
      </c>
      <c r="AE50" s="1">
        <f>SUMIF('OI 2008'!$I$95:$I$107,'Vestas turbines hist MW'!$B50,'OI 2008'!$L$95:$L$107)*$E50</f>
        <v>0</v>
      </c>
    </row>
    <row r="51" spans="1:31" hidden="1" x14ac:dyDescent="0.25">
      <c r="A51" t="str">
        <f t="shared" si="7"/>
        <v>V117-4MW</v>
      </c>
      <c r="B51" t="s">
        <v>808</v>
      </c>
      <c r="C51" t="s">
        <v>708</v>
      </c>
      <c r="D51" t="s">
        <v>756</v>
      </c>
      <c r="E51" s="24">
        <f t="shared" si="8"/>
        <v>4</v>
      </c>
      <c r="F51">
        <v>4000</v>
      </c>
      <c r="G51">
        <v>117</v>
      </c>
      <c r="H51">
        <v>2017</v>
      </c>
      <c r="I51" t="s">
        <v>752</v>
      </c>
      <c r="J51" t="s">
        <v>752</v>
      </c>
      <c r="K51" t="s">
        <v>752</v>
      </c>
      <c r="L51">
        <f t="shared" si="5"/>
        <v>0</v>
      </c>
      <c r="N51" s="1">
        <f t="shared" si="6"/>
        <v>0</v>
      </c>
      <c r="Q51" s="1">
        <f>SUMIF('OI 2022'!$I$158:$I$175,'Vestas turbines hist MW'!$B51,'OI 2022'!$K$158:$K$175)*$E51</f>
        <v>0</v>
      </c>
      <c r="R51" s="1">
        <f>SUMIF('OI 2021'!$I$146:$I$166,'Vestas turbines hist MW'!$B51,'OI 2021'!$K$146:$K$166)*$E51</f>
        <v>0</v>
      </c>
      <c r="S51" s="1">
        <f>SUMIF('OI 2020'!$I$144:$I$165,'Vestas turbines hist MW'!B51,'OI 2020'!$K$144:$K$165)*$E51</f>
        <v>0</v>
      </c>
      <c r="T51" s="1">
        <f>SUMIF('OI 2019'!$I$114:$I$131,'Vestas turbines hist MW'!B51,'OI 2019'!$L$114:$L$131)*$E51</f>
        <v>0</v>
      </c>
      <c r="U51" s="1">
        <f>SUMIF('OI 2018'!$I$114:$I$131,'Vestas turbines hist MW'!B51,'OI 2018'!$L$114:$L$131)*$E51</f>
        <v>0</v>
      </c>
      <c r="V51" s="1">
        <f>SUMIF('OI 2017'!$I$113:$I$130,'Vestas turbines hist MW'!B51,'OI 2017'!$L$113:$L$130)*$E51</f>
        <v>0</v>
      </c>
      <c r="W51" s="1">
        <f>SUMIF('OI 2016'!$I$87:$I$99,'Vestas turbines hist MW'!$B51,'OI 2016'!$L$87:$L$99)*$E51</f>
        <v>0</v>
      </c>
      <c r="X51" s="1">
        <f>SUMIF('OI 2015'!$I$87:$I$101,'Vestas turbines hist MW'!$B51,'OI 2015'!$L$87:$L$101)*$E51</f>
        <v>0</v>
      </c>
      <c r="Y51" s="1">
        <f>SUMIF('OI 2014'!$I$87:$I$101,'Vestas turbines hist MW'!$B51,'OI 2014'!$L$87:$L$101)*$E51</f>
        <v>0</v>
      </c>
      <c r="Z51" s="1">
        <f>SUMIF('OI 2013'!$I$87:$I$101,'Vestas turbines hist MW'!$B51,'OI 2013'!$L$87:$L$101)*$E51</f>
        <v>0</v>
      </c>
      <c r="AA51" s="1">
        <f>SUMIF('OI 2012'!$I$87:$I$101,'Vestas turbines hist MW'!$B51,'OI 2012'!$L$87:$L$101)*$E51</f>
        <v>0</v>
      </c>
      <c r="AB51" s="1">
        <f>SUMIF('OI 2011'!$I$95:$I$104,'Vestas turbines hist MW'!$B51,'OI 2011'!$L$95:$L$104)*$E51</f>
        <v>0</v>
      </c>
      <c r="AC51" s="1">
        <f>SUMIF('OI 2010'!$I$95:$I$107,'Vestas turbines hist MW'!$B51,'OI 2010'!$L$95:$L$107)*$E51</f>
        <v>0</v>
      </c>
      <c r="AD51" s="1">
        <f>SUMIF('OI 2009'!$I$95:$I$107,'Vestas turbines hist MW'!$B51,'OI 2009'!$L$95:$L$107)*$E51</f>
        <v>0</v>
      </c>
      <c r="AE51" s="1">
        <f>SUMIF('OI 2008'!$I$95:$I$107,'Vestas turbines hist MW'!$B51,'OI 2008'!$L$95:$L$107)*$E51</f>
        <v>0</v>
      </c>
    </row>
    <row r="52" spans="1:31" x14ac:dyDescent="0.25">
      <c r="B52" s="8" t="s">
        <v>1156</v>
      </c>
      <c r="E52" s="24"/>
      <c r="N52" s="1"/>
      <c r="Q52" s="1">
        <f>SUMIF('OI 2022'!$I$158:$I$175,'Vestas turbines hist MW'!$B52,'OI 2022'!$K$158:$K$175)*$E52</f>
        <v>0</v>
      </c>
      <c r="R52" s="1">
        <f>SUMIF('OI 2021'!$I$146:$I$166,'Vestas turbines hist MW'!$B52,'OI 2021'!$K$146:$K$166)*$E52</f>
        <v>0</v>
      </c>
      <c r="S52" s="1">
        <f>SUMIF('OI 2020'!$I$144:$I$165,'Vestas turbines hist MW'!B52,'OI 2020'!$K$144:$K$165)*$E52</f>
        <v>0</v>
      </c>
      <c r="T52" s="1">
        <f>SUMIF('OI 2019'!$I$114:$I$131,'Vestas turbines hist MW'!B52,'OI 2019'!$L$114:$L$131)*$E52</f>
        <v>0</v>
      </c>
      <c r="U52" s="1">
        <f>SUMIF('OI 2018'!$I$114:$I$131,'Vestas turbines hist MW'!B52,'OI 2018'!$L$114:$L$131)*$E52</f>
        <v>0</v>
      </c>
      <c r="V52" s="1">
        <f>SUMIF('OI 2017'!$I$113:$I$130,'Vestas turbines hist MW'!B52,'OI 2017'!$L$113:$L$130)*$E52</f>
        <v>0</v>
      </c>
      <c r="W52" s="1">
        <f>SUMIF('OI 2016'!$I$87:$I$99,'Vestas turbines hist MW'!$B52,'OI 2016'!$L$87:$L$99)*$E52</f>
        <v>0</v>
      </c>
      <c r="X52" s="1">
        <f>SUMIF('OI 2015'!$I$87:$I$101,'Vestas turbines hist MW'!$B52,'OI 2015'!$L$87:$L$101)*$E52</f>
        <v>0</v>
      </c>
      <c r="Y52" s="1">
        <f>SUMIF('OI 2014'!$I$87:$I$101,'Vestas turbines hist MW'!$B52,'OI 2014'!$L$87:$L$101)*$E52</f>
        <v>0</v>
      </c>
      <c r="Z52" s="1">
        <f>SUMIF('OI 2013'!$I$87:$I$101,'Vestas turbines hist MW'!$B52,'OI 2013'!$L$87:$L$101)*$E52</f>
        <v>0</v>
      </c>
      <c r="AA52" s="1">
        <f>SUMIF('OI 2012'!$I$87:$I$101,'Vestas turbines hist MW'!$B52,'OI 2012'!$L$87:$L$101)*$E52</f>
        <v>0</v>
      </c>
      <c r="AB52" s="1">
        <f>SUMIF('OI 2011'!$I$95:$I$104,'Vestas turbines hist MW'!$B52,'OI 2011'!$L$95:$L$104)*$E52</f>
        <v>0</v>
      </c>
      <c r="AC52" s="1">
        <f>SUMIF('OI 2010'!$I$95:$I$107,'Vestas turbines hist MW'!$B52,'OI 2010'!$L$95:$L$107)*$E52</f>
        <v>0</v>
      </c>
      <c r="AD52" s="1">
        <f>SUMIF('OI 2009'!$I$95:$I$107,'Vestas turbines hist MW'!$B52,'OI 2009'!$L$95:$L$107)*$E52</f>
        <v>0</v>
      </c>
      <c r="AE52" s="1">
        <f>SUMIF('OI 2008'!$I$95:$I$107,'Vestas turbines hist MW'!$B52,'OI 2008'!$L$95:$L$107)*$E52</f>
        <v>0</v>
      </c>
    </row>
    <row r="53" spans="1:31" x14ac:dyDescent="0.25">
      <c r="A53" t="str">
        <f t="shared" si="7"/>
        <v>V120-2MW</v>
      </c>
      <c r="B53" t="s">
        <v>578</v>
      </c>
      <c r="C53" t="s">
        <v>709</v>
      </c>
      <c r="D53" t="s">
        <v>759</v>
      </c>
      <c r="E53" s="24">
        <f t="shared" si="8"/>
        <v>2</v>
      </c>
      <c r="F53">
        <v>2000</v>
      </c>
      <c r="G53">
        <v>120</v>
      </c>
      <c r="H53">
        <v>2018</v>
      </c>
      <c r="I53" t="s">
        <v>752</v>
      </c>
      <c r="J53" t="s">
        <v>752</v>
      </c>
      <c r="K53" t="s">
        <v>752</v>
      </c>
      <c r="L53">
        <f>COUNTIF(U53:AC53,"&gt;0")</f>
        <v>1</v>
      </c>
      <c r="N53" s="1">
        <f>SUM(U53:AF53)</f>
        <v>390</v>
      </c>
      <c r="Q53" s="1">
        <f>SUMIF('OI 2022'!$I$158:$I$175,'Vestas turbines hist MW'!$B53,'OI 2022'!$K$158:$K$175)*$E53</f>
        <v>0</v>
      </c>
      <c r="R53" s="1">
        <f>SUMIF('OI 2021'!$I$146:$I$166,'Vestas turbines hist MW'!$B53,'OI 2021'!$K$146:$K$166)*$E53</f>
        <v>0</v>
      </c>
      <c r="S53" s="1">
        <f>SUMIF('OI 2020'!$I$144:$I$165,'Vestas turbines hist MW'!B53,'OI 2020'!$K$144:$K$165)*$E53</f>
        <v>0</v>
      </c>
      <c r="T53" s="1">
        <f>SUMIF('OI 2019'!$I$114:$I$131,'Vestas turbines hist MW'!B53,'OI 2019'!$L$114:$L$131)*$E53</f>
        <v>30</v>
      </c>
      <c r="U53" s="1">
        <f>SUMIF('OI 2018'!$I$114:$I$131,'Vestas turbines hist MW'!B53,'OI 2018'!$L$114:$L$131)*$E53</f>
        <v>390</v>
      </c>
      <c r="V53" s="1">
        <f>SUMIF('OI 2017'!$I$113:$I$130,'Vestas turbines hist MW'!B53,'OI 2017'!$L$113:$L$130)*$E53</f>
        <v>0</v>
      </c>
      <c r="W53" s="1">
        <f>SUMIF('OI 2016'!$I$87:$I$99,'Vestas turbines hist MW'!$B53,'OI 2016'!$L$87:$L$99)*$E53</f>
        <v>0</v>
      </c>
      <c r="X53" s="1">
        <f>SUMIF('OI 2015'!$I$87:$I$101,'Vestas turbines hist MW'!$B53,'OI 2015'!$L$87:$L$101)*$E53</f>
        <v>0</v>
      </c>
      <c r="Y53" s="1">
        <f>SUMIF('OI 2014'!$I$87:$I$101,'Vestas turbines hist MW'!$B53,'OI 2014'!$L$87:$L$101)*$E53</f>
        <v>0</v>
      </c>
      <c r="Z53" s="1">
        <f>SUMIF('OI 2013'!$I$87:$I$101,'Vestas turbines hist MW'!$B53,'OI 2013'!$L$87:$L$101)*$E53</f>
        <v>0</v>
      </c>
      <c r="AA53" s="1">
        <f>SUMIF('OI 2012'!$I$87:$I$101,'Vestas turbines hist MW'!$B53,'OI 2012'!$L$87:$L$101)*$E53</f>
        <v>0</v>
      </c>
      <c r="AB53" s="1">
        <f>SUMIF('OI 2011'!$I$95:$I$104,'Vestas turbines hist MW'!$B53,'OI 2011'!$L$95:$L$104)*$E53</f>
        <v>0</v>
      </c>
      <c r="AC53" s="1">
        <f>SUMIF('OI 2010'!$I$95:$I$107,'Vestas turbines hist MW'!$B53,'OI 2010'!$L$95:$L$107)*$E53</f>
        <v>0</v>
      </c>
      <c r="AD53" s="1">
        <f>SUMIF('OI 2009'!$I$95:$I$107,'Vestas turbines hist MW'!$B53,'OI 2009'!$L$95:$L$107)*$E53</f>
        <v>0</v>
      </c>
      <c r="AE53" s="1">
        <f>SUMIF('OI 2008'!$I$95:$I$107,'Vestas turbines hist MW'!$B53,'OI 2008'!$L$95:$L$107)*$E53</f>
        <v>0</v>
      </c>
    </row>
    <row r="54" spans="1:31" x14ac:dyDescent="0.25">
      <c r="B54" s="8" t="s">
        <v>574</v>
      </c>
      <c r="E54" s="24">
        <f t="shared" si="8"/>
        <v>2.2000000000000002</v>
      </c>
      <c r="F54">
        <v>2200</v>
      </c>
      <c r="N54" s="1"/>
      <c r="Q54" s="1">
        <f>SUMIF('OI 2022'!$I$158:$I$175,'Vestas turbines hist MW'!$B54,'OI 2022'!$K$158:$K$175)*$E54</f>
        <v>50.6</v>
      </c>
      <c r="R54" s="1">
        <f>SUMIF('OI 2021'!$I$146:$I$166,'Vestas turbines hist MW'!$B54,'OI 2021'!$K$146:$K$166)*$E54</f>
        <v>561</v>
      </c>
      <c r="S54" s="1">
        <f>SUMIF('OI 2020'!$I$144:$I$165,'Vestas turbines hist MW'!B54,'OI 2020'!$K$144:$K$165)*$E54</f>
        <v>704</v>
      </c>
      <c r="T54" s="1">
        <f>SUMIF('OI 2019'!$I$114:$I$131,'Vestas turbines hist MW'!B54,'OI 2019'!$L$114:$L$131)*$E54</f>
        <v>2760.5999999999995</v>
      </c>
      <c r="U54" s="1">
        <f>SUMIF('OI 2018'!$I$114:$I$131,'Vestas turbines hist MW'!B54,'OI 2018'!$L$114:$L$131)*$E54</f>
        <v>582.40000000000009</v>
      </c>
      <c r="V54" s="1">
        <f>SUMIF('OI 2017'!$I$113:$I$130,'Vestas turbines hist MW'!B54,'OI 2017'!$L$113:$L$130)*$E54</f>
        <v>0</v>
      </c>
      <c r="W54" s="1">
        <f>SUMIF('OI 2016'!$I$87:$I$99,'Vestas turbines hist MW'!$B54,'OI 2016'!$L$87:$L$99)*$E54</f>
        <v>0</v>
      </c>
      <c r="X54" s="1">
        <f>SUMIF('OI 2015'!$I$87:$I$101,'Vestas turbines hist MW'!$B54,'OI 2015'!$L$87:$L$101)*$E54</f>
        <v>0</v>
      </c>
      <c r="Y54" s="1">
        <f>SUMIF('OI 2014'!$I$87:$I$101,'Vestas turbines hist MW'!$B54,'OI 2014'!$L$87:$L$101)*$E54</f>
        <v>0</v>
      </c>
      <c r="Z54" s="1">
        <f>SUMIF('OI 2013'!$I$87:$I$101,'Vestas turbines hist MW'!$B54,'OI 2013'!$L$87:$L$101)*$E54</f>
        <v>0</v>
      </c>
      <c r="AA54" s="1">
        <f>SUMIF('OI 2012'!$I$87:$I$101,'Vestas turbines hist MW'!$B54,'OI 2012'!$L$87:$L$101)*$E54</f>
        <v>0</v>
      </c>
      <c r="AB54" s="1">
        <f>SUMIF('OI 2011'!$I$95:$I$104,'Vestas turbines hist MW'!$B54,'OI 2011'!$L$95:$L$104)*$E54</f>
        <v>0</v>
      </c>
      <c r="AC54" s="1">
        <f>SUMIF('OI 2010'!$I$95:$I$107,'Vestas turbines hist MW'!$B54,'OI 2010'!$L$95:$L$107)*$E54</f>
        <v>0</v>
      </c>
      <c r="AD54" s="1">
        <f>SUMIF('OI 2009'!$I$95:$I$107,'Vestas turbines hist MW'!$B54,'OI 2009'!$L$95:$L$107)*$E54</f>
        <v>0</v>
      </c>
      <c r="AE54" s="1">
        <f>SUMIF('OI 2008'!$I$95:$I$107,'Vestas turbines hist MW'!$B54,'OI 2008'!$L$95:$L$107)*$E54</f>
        <v>0</v>
      </c>
    </row>
    <row r="55" spans="1:31" x14ac:dyDescent="0.25">
      <c r="A55" t="str">
        <f t="shared" si="7"/>
        <v>V126-3MW</v>
      </c>
      <c r="B55" t="s">
        <v>809</v>
      </c>
      <c r="C55" t="s">
        <v>710</v>
      </c>
      <c r="D55" t="s">
        <v>759</v>
      </c>
      <c r="E55" s="24">
        <f t="shared" si="8"/>
        <v>3</v>
      </c>
      <c r="F55">
        <v>3000</v>
      </c>
      <c r="G55">
        <v>126</v>
      </c>
      <c r="H55" t="s">
        <v>752</v>
      </c>
      <c r="I55" t="s">
        <v>752</v>
      </c>
      <c r="J55" t="s">
        <v>752</v>
      </c>
      <c r="K55" t="s">
        <v>752</v>
      </c>
      <c r="L55">
        <f>COUNTIF(U55:AC55,"&gt;0")</f>
        <v>1</v>
      </c>
      <c r="N55" s="1">
        <f>SUM(U55:AF55)</f>
        <v>9</v>
      </c>
      <c r="Q55" s="1">
        <f>SUMIF('OI 2022'!$I$158:$I$175,'Vestas turbines hist MW'!$B55,'OI 2022'!$K$158:$K$175)*$E55</f>
        <v>0</v>
      </c>
      <c r="R55" s="1">
        <f>SUMIF('OI 2021'!$I$146:$I$166,'Vestas turbines hist MW'!$B55,'OI 2021'!$K$146:$K$166)*$E55</f>
        <v>0</v>
      </c>
      <c r="S55" s="1">
        <f>SUMIF('OI 2020'!$I$144:$I$165,'Vestas turbines hist MW'!B55,'OI 2020'!$K$144:$K$165)*$E55</f>
        <v>0</v>
      </c>
      <c r="T55" s="1">
        <f>SUMIF('OI 2019'!$I$114:$I$131,'Vestas turbines hist MW'!B55,'OI 2019'!$L$114:$L$131)*$E55</f>
        <v>0</v>
      </c>
      <c r="U55" s="1">
        <f>SUMIF('OI 2018'!$I$114:$I$131,'Vestas turbines hist MW'!B55,'OI 2018'!$L$114:$L$131)*$E55</f>
        <v>0</v>
      </c>
      <c r="V55" s="1">
        <f>SUMIF('OI 2017'!$I$113:$I$130,'Vestas turbines hist MW'!B55,'OI 2017'!$L$113:$L$130)*$E55</f>
        <v>0</v>
      </c>
      <c r="W55" s="1">
        <f>SUMIF('OI 2016'!$I$87:$I$99,'Vestas turbines hist MW'!$B55,'OI 2016'!$L$87:$L$99)*$E55</f>
        <v>0</v>
      </c>
      <c r="X55" s="1">
        <f>SUMIF('OI 2015'!$I$87:$I$101,'Vestas turbines hist MW'!$B55,'OI 2015'!$L$87:$L$101)*$E55</f>
        <v>0</v>
      </c>
      <c r="Y55" s="1">
        <f>SUMIF('OI 2014'!$I$87:$I$101,'Vestas turbines hist MW'!$B55,'OI 2014'!$L$87:$L$101)*$E55</f>
        <v>0</v>
      </c>
      <c r="Z55" s="1">
        <f>SUMIF('OI 2013'!$I$87:$I$101,'Vestas turbines hist MW'!$B55,'OI 2013'!$L$87:$L$101)*$E55</f>
        <v>0</v>
      </c>
      <c r="AA55" s="1">
        <f>SUMIF('OI 2012'!$I$87:$I$101,'Vestas turbines hist MW'!$B55,'OI 2012'!$L$87:$L$101)*$E55</f>
        <v>9</v>
      </c>
      <c r="AB55" s="1">
        <f>SUMIF('OI 2011'!$I$95:$I$104,'Vestas turbines hist MW'!$B55,'OI 2011'!$L$95:$L$104)*$E55</f>
        <v>0</v>
      </c>
      <c r="AC55" s="1">
        <f>SUMIF('OI 2010'!$I$95:$I$107,'Vestas turbines hist MW'!$B55,'OI 2010'!$L$95:$L$107)*$E55</f>
        <v>0</v>
      </c>
      <c r="AD55" s="1">
        <f>SUMIF('OI 2009'!$I$95:$I$107,'Vestas turbines hist MW'!$B55,'OI 2009'!$L$95:$L$107)*$E55</f>
        <v>0</v>
      </c>
      <c r="AE55" s="1">
        <f>SUMIF('OI 2008'!$I$95:$I$107,'Vestas turbines hist MW'!$B55,'OI 2008'!$L$95:$L$107)*$E55</f>
        <v>0</v>
      </c>
    </row>
    <row r="56" spans="1:31" x14ac:dyDescent="0.25">
      <c r="A56" t="str">
        <f t="shared" si="7"/>
        <v>V126-3.3MW</v>
      </c>
      <c r="B56" t="s">
        <v>106</v>
      </c>
      <c r="C56" t="s">
        <v>711</v>
      </c>
      <c r="D56" t="s">
        <v>753</v>
      </c>
      <c r="E56" s="24">
        <f t="shared" si="8"/>
        <v>3.3</v>
      </c>
      <c r="F56">
        <v>3300</v>
      </c>
      <c r="G56">
        <v>126</v>
      </c>
      <c r="H56">
        <v>2013</v>
      </c>
      <c r="I56" t="s">
        <v>752</v>
      </c>
      <c r="J56" t="s">
        <v>752</v>
      </c>
      <c r="K56" t="s">
        <v>752</v>
      </c>
      <c r="L56">
        <f>COUNTIF(U56:AC56,"&gt;0")</f>
        <v>4</v>
      </c>
      <c r="N56" s="1">
        <f>SUM(U56:AF56)</f>
        <v>1312.6999999999998</v>
      </c>
      <c r="Q56" s="1">
        <f>SUMIF('OI 2022'!$I$158:$I$175,'Vestas turbines hist MW'!$B56,'OI 2022'!$K$158:$K$175)*$E56</f>
        <v>0</v>
      </c>
      <c r="R56" s="1">
        <f>SUMIF('OI 2021'!$I$146:$I$166,'Vestas turbines hist MW'!$B56,'OI 2021'!$K$146:$K$166)*$E56</f>
        <v>0</v>
      </c>
      <c r="S56" s="1">
        <f>SUMIF('OI 2020'!$I$144:$I$165,'Vestas turbines hist MW'!B56,'OI 2020'!$K$144:$K$165)*$E56</f>
        <v>0</v>
      </c>
      <c r="T56" s="1">
        <f>SUMIF('OI 2019'!$I$114:$I$131,'Vestas turbines hist MW'!B56,'OI 2019'!$L$114:$L$131)*$E56</f>
        <v>0</v>
      </c>
      <c r="U56" s="1">
        <f>SUMIF('OI 2018'!$I$114:$I$131,'Vestas turbines hist MW'!B56,'OI 2018'!$L$114:$L$131)*$E56</f>
        <v>0</v>
      </c>
      <c r="V56" s="1">
        <f>SUMIF('OI 2017'!$I$113:$I$130,'Vestas turbines hist MW'!B56,'OI 2017'!$L$113:$L$130)*$E56</f>
        <v>73</v>
      </c>
      <c r="W56" s="1">
        <f>SUMIF('OI 2016'!$I$87:$I$99,'Vestas turbines hist MW'!$B56,'OI 2016'!$L$87:$L$99)*$E56</f>
        <v>194.00000000000003</v>
      </c>
      <c r="X56" s="1">
        <f>SUMIF('OI 2015'!$I$87:$I$101,'Vestas turbines hist MW'!$B56,'OI 2015'!$L$87:$L$101)*$E56</f>
        <v>721.99999999999989</v>
      </c>
      <c r="Y56" s="1">
        <f>SUMIF('OI 2014'!$I$87:$I$101,'Vestas turbines hist MW'!$B56,'OI 2014'!$L$87:$L$101)*$E56</f>
        <v>323.7</v>
      </c>
      <c r="Z56" s="1">
        <f>SUMIF('OI 2013'!$I$87:$I$101,'Vestas turbines hist MW'!$B56,'OI 2013'!$L$87:$L$101)*$E56</f>
        <v>0</v>
      </c>
      <c r="AA56" s="1">
        <f>SUMIF('OI 2012'!$I$87:$I$101,'Vestas turbines hist MW'!$B56,'OI 2012'!$L$87:$L$101)*$E56</f>
        <v>0</v>
      </c>
      <c r="AB56" s="1">
        <f>SUMIF('OI 2011'!$I$95:$I$104,'Vestas turbines hist MW'!$B56,'OI 2011'!$L$95:$L$104)*$E56</f>
        <v>0</v>
      </c>
      <c r="AC56" s="1">
        <f>SUMIF('OI 2010'!$I$95:$I$107,'Vestas turbines hist MW'!$B56,'OI 2010'!$L$95:$L$107)*$E56</f>
        <v>0</v>
      </c>
      <c r="AD56" s="1">
        <f>SUMIF('OI 2009'!$I$95:$I$107,'Vestas turbines hist MW'!$B56,'OI 2009'!$L$95:$L$107)*$E56</f>
        <v>0</v>
      </c>
      <c r="AE56" s="1">
        <f>SUMIF('OI 2008'!$I$95:$I$107,'Vestas turbines hist MW'!$B56,'OI 2008'!$L$95:$L$107)*$E56</f>
        <v>0</v>
      </c>
    </row>
    <row r="57" spans="1:31" x14ac:dyDescent="0.25">
      <c r="A57" t="str">
        <f t="shared" si="7"/>
        <v>V126-3.45MW</v>
      </c>
      <c r="B57" t="s">
        <v>109</v>
      </c>
      <c r="C57" t="s">
        <v>712</v>
      </c>
      <c r="D57" t="s">
        <v>753</v>
      </c>
      <c r="E57" s="24">
        <f t="shared" si="8"/>
        <v>3.45</v>
      </c>
      <c r="F57">
        <v>3450</v>
      </c>
      <c r="G57">
        <v>126</v>
      </c>
      <c r="H57">
        <v>2015</v>
      </c>
      <c r="I57" t="s">
        <v>752</v>
      </c>
      <c r="J57" t="s">
        <v>752</v>
      </c>
      <c r="K57" t="s">
        <v>752</v>
      </c>
      <c r="L57">
        <f>COUNTIF(U57:AC57,"&gt;0")</f>
        <v>4</v>
      </c>
      <c r="N57" s="1">
        <f>SUM(U57:AF57)</f>
        <v>3169.8368421052628</v>
      </c>
      <c r="Q57" s="1">
        <f>SUMIF('OI 2022'!$I$158:$I$175,'Vestas turbines hist MW'!$B57,'OI 2022'!$K$158:$K$175)*$E57</f>
        <v>86.25</v>
      </c>
      <c r="R57" s="1">
        <f>SUMIF('OI 2021'!$I$146:$I$166,'Vestas turbines hist MW'!$B57,'OI 2021'!$K$146:$K$166)*$E57</f>
        <v>369.15000000000003</v>
      </c>
      <c r="S57" s="1">
        <f>SUMIF('OI 2020'!$I$144:$I$165,'Vestas turbines hist MW'!B57,'OI 2020'!$K$144:$K$165)*$E57</f>
        <v>341.55</v>
      </c>
      <c r="T57" s="1">
        <f>SUMIF('OI 2019'!$I$114:$I$131,'Vestas turbines hist MW'!B57,'OI 2019'!$L$114:$L$131)*$E57</f>
        <v>456.95000000000005</v>
      </c>
      <c r="U57" s="1">
        <f>SUMIF('OI 2018'!$I$114:$I$131,'Vestas turbines hist MW'!B57,'OI 2018'!$L$114:$L$131)*$E57</f>
        <v>793.8868421052631</v>
      </c>
      <c r="V57" s="1">
        <f>SUMIF('OI 2017'!$I$113:$I$130,'Vestas turbines hist MW'!B57,'OI 2017'!$L$113:$L$130)*$E57</f>
        <v>1072.2833333333333</v>
      </c>
      <c r="W57" s="1">
        <f>SUMIF('OI 2016'!$I$87:$I$99,'Vestas turbines hist MW'!$B57,'OI 2016'!$L$87:$L$99)*$E57</f>
        <v>1210.6666666666665</v>
      </c>
      <c r="X57" s="1">
        <f>SUMIF('OI 2015'!$I$87:$I$101,'Vestas turbines hist MW'!$B57,'OI 2015'!$L$87:$L$101)*$E57</f>
        <v>93</v>
      </c>
      <c r="Y57" s="1">
        <f>SUMIF('OI 2014'!$I$87:$I$101,'Vestas turbines hist MW'!$B57,'OI 2014'!$L$87:$L$101)*$E57</f>
        <v>0</v>
      </c>
      <c r="Z57" s="1">
        <f>SUMIF('OI 2013'!$I$87:$I$101,'Vestas turbines hist MW'!$B57,'OI 2013'!$L$87:$L$101)*$E57</f>
        <v>0</v>
      </c>
      <c r="AA57" s="1">
        <f>SUMIF('OI 2012'!$I$87:$I$101,'Vestas turbines hist MW'!$B57,'OI 2012'!$L$87:$L$101)*$E57</f>
        <v>0</v>
      </c>
      <c r="AB57" s="1">
        <f>SUMIF('OI 2011'!$I$95:$I$104,'Vestas turbines hist MW'!$B57,'OI 2011'!$L$95:$L$104)*$E57</f>
        <v>0</v>
      </c>
      <c r="AC57" s="1">
        <f>SUMIF('OI 2010'!$I$95:$I$107,'Vestas turbines hist MW'!$B57,'OI 2010'!$L$95:$L$107)*$E57</f>
        <v>0</v>
      </c>
      <c r="AD57" s="1">
        <f>SUMIF('OI 2009'!$I$95:$I$107,'Vestas turbines hist MW'!$B57,'OI 2009'!$L$95:$L$107)*$E57</f>
        <v>0</v>
      </c>
      <c r="AE57" s="1">
        <f>SUMIF('OI 2008'!$I$95:$I$107,'Vestas turbines hist MW'!$B57,'OI 2008'!$L$95:$L$107)*$E57</f>
        <v>0</v>
      </c>
    </row>
    <row r="58" spans="1:31" x14ac:dyDescent="0.25">
      <c r="B58" s="8" t="s">
        <v>1364</v>
      </c>
      <c r="E58" s="24">
        <f t="shared" si="8"/>
        <v>4.2</v>
      </c>
      <c r="F58">
        <v>4200</v>
      </c>
      <c r="N58" s="1"/>
      <c r="Q58" s="1">
        <f>SUMIF('OI 2022'!$I$158:$I$175,'Vestas turbines hist MW'!$B58,'OI 2022'!$K$158:$K$175)*$E58</f>
        <v>0</v>
      </c>
      <c r="R58" s="1">
        <f>SUMIF('OI 2021'!$I$146:$I$166,'Vestas turbines hist MW'!$B58,'OI 2021'!$K$146:$K$166)*$E58</f>
        <v>252</v>
      </c>
      <c r="S58" s="1">
        <f>SUMIF('OI 2020'!$I$144:$I$165,'Vestas turbines hist MW'!B58,'OI 2020'!$K$144:$K$165)*$E58</f>
        <v>478.8</v>
      </c>
      <c r="T58" s="1">
        <f>SUMIF('OI 2019'!$I$114:$I$131,'Vestas turbines hist MW'!B58,'OI 2019'!$L$114:$L$131)*$E58</f>
        <v>252</v>
      </c>
      <c r="U58" s="1">
        <f>SUMIF('OI 2018'!$I$114:$I$131,'Vestas turbines hist MW'!B58,'OI 2018'!$L$114:$L$131)*$E58</f>
        <v>0</v>
      </c>
      <c r="V58" s="1">
        <f>SUMIF('OI 2017'!$I$113:$I$130,'Vestas turbines hist MW'!B58,'OI 2017'!$L$113:$L$130)*$E58</f>
        <v>0</v>
      </c>
      <c r="W58" s="1">
        <f>SUMIF('OI 2016'!$I$87:$I$99,'Vestas turbines hist MW'!$B58,'OI 2016'!$L$87:$L$99)*$E58</f>
        <v>0</v>
      </c>
      <c r="X58" s="1">
        <f>SUMIF('OI 2015'!$I$87:$I$101,'Vestas turbines hist MW'!$B58,'OI 2015'!$L$87:$L$101)*$E58</f>
        <v>0</v>
      </c>
      <c r="Y58" s="1">
        <f>SUMIF('OI 2014'!$I$87:$I$101,'Vestas turbines hist MW'!$B58,'OI 2014'!$L$87:$L$101)*$E58</f>
        <v>0</v>
      </c>
      <c r="Z58" s="1">
        <f>SUMIF('OI 2013'!$I$87:$I$101,'Vestas turbines hist MW'!$B58,'OI 2013'!$L$87:$L$101)*$E58</f>
        <v>0</v>
      </c>
      <c r="AA58" s="1">
        <f>SUMIF('OI 2012'!$I$87:$I$101,'Vestas turbines hist MW'!$B58,'OI 2012'!$L$87:$L$101)*$E58</f>
        <v>0</v>
      </c>
      <c r="AB58" s="1">
        <f>SUMIF('OI 2011'!$I$95:$I$104,'Vestas turbines hist MW'!$B58,'OI 2011'!$L$95:$L$104)*$E58</f>
        <v>0</v>
      </c>
      <c r="AC58" s="1">
        <f>SUMIF('OI 2010'!$I$95:$I$107,'Vestas turbines hist MW'!$B58,'OI 2010'!$L$95:$L$107)*$E58</f>
        <v>0</v>
      </c>
      <c r="AD58" s="1">
        <f>SUMIF('OI 2009'!$I$95:$I$107,'Vestas turbines hist MW'!$B58,'OI 2009'!$L$95:$L$107)*$E58</f>
        <v>0</v>
      </c>
      <c r="AE58" s="1">
        <f>SUMIF('OI 2008'!$I$95:$I$107,'Vestas turbines hist MW'!$B58,'OI 2008'!$L$95:$L$107)*$E58</f>
        <v>0</v>
      </c>
    </row>
    <row r="59" spans="1:31" x14ac:dyDescent="0.25">
      <c r="A59" t="str">
        <f t="shared" si="7"/>
        <v>V136-3.45MW</v>
      </c>
      <c r="B59" t="s">
        <v>108</v>
      </c>
      <c r="C59" t="s">
        <v>713</v>
      </c>
      <c r="D59" t="s">
        <v>755</v>
      </c>
      <c r="E59" s="24">
        <f t="shared" si="8"/>
        <v>3.45</v>
      </c>
      <c r="F59">
        <v>3450</v>
      </c>
      <c r="G59">
        <v>136</v>
      </c>
      <c r="H59">
        <v>2015</v>
      </c>
      <c r="I59" t="s">
        <v>752</v>
      </c>
      <c r="J59" t="s">
        <v>752</v>
      </c>
      <c r="K59" t="s">
        <v>752</v>
      </c>
      <c r="L59">
        <f>COUNTIF(U59:AC59,"&gt;0")</f>
        <v>3</v>
      </c>
      <c r="N59" s="1">
        <f>SUM(U59:AF59)</f>
        <v>4783.3043859649124</v>
      </c>
      <c r="Q59" s="1">
        <f>SUMIF('OI 2022'!$I$158:$I$175,'Vestas turbines hist MW'!$B59,'OI 2022'!$K$158:$K$175)*$E59</f>
        <v>37.950000000000003</v>
      </c>
      <c r="R59" s="1">
        <f>SUMIF('OI 2021'!$I$146:$I$166,'Vestas turbines hist MW'!$B59,'OI 2021'!$K$146:$K$166)*$E59</f>
        <v>272.55</v>
      </c>
      <c r="S59" s="1">
        <f>SUMIF('OI 2020'!$I$144:$I$165,'Vestas turbines hist MW'!B59,'OI 2020'!$K$144:$K$165)*$E59</f>
        <v>945.30000000000007</v>
      </c>
      <c r="T59" s="1">
        <f>SUMIF('OI 2019'!$I$114:$I$131,'Vestas turbines hist MW'!B59,'OI 2019'!$L$114:$L$131)*$E59</f>
        <v>396.36666666666667</v>
      </c>
      <c r="U59" s="1">
        <f>SUMIF('OI 2018'!$I$114:$I$131,'Vestas turbines hist MW'!B59,'OI 2018'!$L$114:$L$131)*$E59</f>
        <v>2476.1267543859649</v>
      </c>
      <c r="V59" s="1">
        <f>SUMIF('OI 2017'!$I$113:$I$130,'Vestas turbines hist MW'!B59,'OI 2017'!$L$113:$L$130)*$E59</f>
        <v>2190.1776315789475</v>
      </c>
      <c r="W59" s="1">
        <f>SUMIF('OI 2016'!$I$87:$I$99,'Vestas turbines hist MW'!$B59,'OI 2016'!$L$87:$L$99)*$E59</f>
        <v>0</v>
      </c>
      <c r="X59" s="1">
        <f>SUMIF('OI 2015'!$I$87:$I$101,'Vestas turbines hist MW'!$B59,'OI 2015'!$L$87:$L$101)*$E59</f>
        <v>117</v>
      </c>
      <c r="Y59" s="1">
        <f>SUMIF('OI 2014'!$I$87:$I$101,'Vestas turbines hist MW'!$B59,'OI 2014'!$L$87:$L$101)*$E59</f>
        <v>0</v>
      </c>
      <c r="Z59" s="1">
        <f>SUMIF('OI 2013'!$I$87:$I$101,'Vestas turbines hist MW'!$B59,'OI 2013'!$L$87:$L$101)*$E59</f>
        <v>0</v>
      </c>
      <c r="AA59" s="1">
        <f>SUMIF('OI 2012'!$I$87:$I$101,'Vestas turbines hist MW'!$B59,'OI 2012'!$L$87:$L$101)*$E59</f>
        <v>0</v>
      </c>
      <c r="AB59" s="1">
        <f>SUMIF('OI 2011'!$I$95:$I$104,'Vestas turbines hist MW'!$B59,'OI 2011'!$L$95:$L$104)*$E59</f>
        <v>0</v>
      </c>
      <c r="AC59" s="1">
        <f>SUMIF('OI 2010'!$I$95:$I$107,'Vestas turbines hist MW'!$B59,'OI 2010'!$L$95:$L$107)*$E59</f>
        <v>0</v>
      </c>
      <c r="AD59" s="1">
        <f>SUMIF('OI 2009'!$I$95:$I$107,'Vestas turbines hist MW'!$B59,'OI 2009'!$L$95:$L$107)*$E59</f>
        <v>0</v>
      </c>
      <c r="AE59" s="1">
        <f>SUMIF('OI 2008'!$I$95:$I$107,'Vestas turbines hist MW'!$B59,'OI 2008'!$L$95:$L$107)*$E59</f>
        <v>0</v>
      </c>
    </row>
    <row r="60" spans="1:31" x14ac:dyDescent="0.25">
      <c r="A60" t="str">
        <f t="shared" si="7"/>
        <v>V136-3.6MW</v>
      </c>
      <c r="B60" t="s">
        <v>118</v>
      </c>
      <c r="C60" t="s">
        <v>714</v>
      </c>
      <c r="D60" t="s">
        <v>752</v>
      </c>
      <c r="E60" s="24">
        <f t="shared" si="8"/>
        <v>3.6</v>
      </c>
      <c r="F60">
        <v>3600</v>
      </c>
      <c r="G60">
        <v>126</v>
      </c>
      <c r="H60">
        <v>2016</v>
      </c>
      <c r="I60" t="s">
        <v>752</v>
      </c>
      <c r="J60" t="s">
        <v>752</v>
      </c>
      <c r="K60" t="s">
        <v>752</v>
      </c>
      <c r="L60">
        <f>COUNTIF(U60:AC60,"&gt;0")</f>
        <v>2</v>
      </c>
      <c r="N60" s="1">
        <f>SUM(U60:AF60)</f>
        <v>529.80000000000007</v>
      </c>
      <c r="Q60" s="1">
        <f>SUMIF('OI 2022'!$I$158:$I$175,'Vestas turbines hist MW'!$B60,'OI 2022'!$K$158:$K$175)*$E60</f>
        <v>0</v>
      </c>
      <c r="R60" s="1">
        <f>SUMIF('OI 2021'!$I$146:$I$166,'Vestas turbines hist MW'!$B60,'OI 2021'!$K$146:$K$166)*$E60</f>
        <v>0</v>
      </c>
      <c r="S60" s="1">
        <f>SUMIF('OI 2020'!$I$144:$I$165,'Vestas turbines hist MW'!B60,'OI 2020'!$K$144:$K$165)*$E60</f>
        <v>3.6</v>
      </c>
      <c r="T60" s="1">
        <f>SUMIF('OI 2019'!$I$114:$I$131,'Vestas turbines hist MW'!B60,'OI 2019'!$L$114:$L$131)*$E60</f>
        <v>43.2</v>
      </c>
      <c r="U60" s="1">
        <f>SUMIF('OI 2018'!$I$114:$I$131,'Vestas turbines hist MW'!B60,'OI 2018'!$L$114:$L$131)*$E60</f>
        <v>370.8</v>
      </c>
      <c r="V60" s="1">
        <f>SUMIF('OI 2017'!$I$113:$I$130,'Vestas turbines hist MW'!B60,'OI 2017'!$L$113:$L$130)*$E60</f>
        <v>159.00000000000003</v>
      </c>
      <c r="W60" s="1">
        <f>SUMIF('OI 2016'!$I$87:$I$99,'Vestas turbines hist MW'!$B60,'OI 2016'!$L$87:$L$99)*$E60</f>
        <v>0</v>
      </c>
      <c r="X60" s="1">
        <f>SUMIF('OI 2015'!$I$87:$I$101,'Vestas turbines hist MW'!$B60,'OI 2015'!$L$87:$L$101)*$E60</f>
        <v>0</v>
      </c>
      <c r="Y60" s="1">
        <f>SUMIF('OI 2014'!$I$87:$I$101,'Vestas turbines hist MW'!$B60,'OI 2014'!$L$87:$L$101)*$E60</f>
        <v>0</v>
      </c>
      <c r="Z60" s="1">
        <f>SUMIF('OI 2013'!$I$87:$I$101,'Vestas turbines hist MW'!$B60,'OI 2013'!$L$87:$L$101)*$E60</f>
        <v>0</v>
      </c>
      <c r="AA60" s="1">
        <f>SUMIF('OI 2012'!$I$87:$I$101,'Vestas turbines hist MW'!$B60,'OI 2012'!$L$87:$L$101)*$E60</f>
        <v>0</v>
      </c>
      <c r="AB60" s="1">
        <f>SUMIF('OI 2011'!$I$95:$I$104,'Vestas turbines hist MW'!$B60,'OI 2011'!$L$95:$L$104)*$E60</f>
        <v>0</v>
      </c>
      <c r="AC60" s="1">
        <f>SUMIF('OI 2010'!$I$95:$I$107,'Vestas turbines hist MW'!$B60,'OI 2010'!$L$95:$L$107)*$E60</f>
        <v>0</v>
      </c>
      <c r="AD60" s="1">
        <f>SUMIF('OI 2009'!$I$95:$I$107,'Vestas turbines hist MW'!$B60,'OI 2009'!$L$95:$L$107)*$E60</f>
        <v>0</v>
      </c>
      <c r="AE60" s="1">
        <f>SUMIF('OI 2008'!$I$95:$I$107,'Vestas turbines hist MW'!$B60,'OI 2008'!$L$95:$L$107)*$E60</f>
        <v>0</v>
      </c>
    </row>
    <row r="61" spans="1:31" x14ac:dyDescent="0.25">
      <c r="A61" t="str">
        <f t="shared" si="7"/>
        <v>V136-4MW</v>
      </c>
      <c r="B61" t="s">
        <v>121</v>
      </c>
      <c r="C61" t="s">
        <v>715</v>
      </c>
      <c r="D61" t="s">
        <v>749</v>
      </c>
      <c r="E61" s="24">
        <f t="shared" si="8"/>
        <v>4</v>
      </c>
      <c r="F61">
        <v>4000</v>
      </c>
      <c r="G61">
        <v>136</v>
      </c>
      <c r="H61">
        <v>2017</v>
      </c>
      <c r="I61" t="s">
        <v>752</v>
      </c>
      <c r="J61" t="s">
        <v>752</v>
      </c>
      <c r="K61" t="s">
        <v>752</v>
      </c>
      <c r="L61">
        <f>COUNTIF(U61:AC61,"&gt;0")</f>
        <v>2</v>
      </c>
      <c r="N61" s="1">
        <f>SUM(U61:AF61)</f>
        <v>1967.2380952380952</v>
      </c>
      <c r="Q61" s="1">
        <f>SUMIF('OI 2022'!$I$158:$I$175,'Vestas turbines hist MW'!$B61,'OI 2022'!$K$158:$K$175)*$E61</f>
        <v>252</v>
      </c>
      <c r="R61" s="1">
        <f>SUMIF('OI 2021'!$I$146:$I$166,'Vestas turbines hist MW'!$B61,'OI 2021'!$K$146:$K$166)*$E61</f>
        <v>316</v>
      </c>
      <c r="S61" s="1">
        <f>SUMIF('OI 2020'!$I$144:$I$165,'Vestas turbines hist MW'!B61,'OI 2020'!$K$144:$K$165)*$E61</f>
        <v>884</v>
      </c>
      <c r="T61" s="1">
        <f>SUMIF('OI 2019'!$I$114:$I$131,'Vestas turbines hist MW'!B61,'OI 2019'!$L$114:$L$131)*$E61</f>
        <v>951.64119601328912</v>
      </c>
      <c r="U61" s="1">
        <f>SUMIF('OI 2018'!$I$114:$I$131,'Vestas turbines hist MW'!B61,'OI 2018'!$L$114:$L$131)*$E61</f>
        <v>1627.2380952380952</v>
      </c>
      <c r="V61" s="1">
        <f>SUMIF('OI 2017'!$I$113:$I$130,'Vestas turbines hist MW'!B61,'OI 2017'!$L$113:$L$130)*$E61</f>
        <v>340</v>
      </c>
      <c r="W61" s="1">
        <f>SUMIF('OI 2016'!$I$87:$I$99,'Vestas turbines hist MW'!$B61,'OI 2016'!$L$87:$L$99)*$E61</f>
        <v>0</v>
      </c>
      <c r="X61" s="1">
        <f>SUMIF('OI 2015'!$I$87:$I$101,'Vestas turbines hist MW'!$B61,'OI 2015'!$L$87:$L$101)*$E61</f>
        <v>0</v>
      </c>
      <c r="Y61" s="1">
        <f>SUMIF('OI 2014'!$I$87:$I$101,'Vestas turbines hist MW'!$B61,'OI 2014'!$L$87:$L$101)*$E61</f>
        <v>0</v>
      </c>
      <c r="Z61" s="1">
        <f>SUMIF('OI 2013'!$I$87:$I$101,'Vestas turbines hist MW'!$B61,'OI 2013'!$L$87:$L$101)*$E61</f>
        <v>0</v>
      </c>
      <c r="AA61" s="1">
        <f>SUMIF('OI 2012'!$I$87:$I$101,'Vestas turbines hist MW'!$B61,'OI 2012'!$L$87:$L$101)*$E61</f>
        <v>0</v>
      </c>
      <c r="AB61" s="1">
        <f>SUMIF('OI 2011'!$I$95:$I$104,'Vestas turbines hist MW'!$B61,'OI 2011'!$L$95:$L$104)*$E61</f>
        <v>0</v>
      </c>
      <c r="AC61" s="1">
        <f>SUMIF('OI 2010'!$I$95:$I$107,'Vestas turbines hist MW'!$B61,'OI 2010'!$L$95:$L$107)*$E61</f>
        <v>0</v>
      </c>
      <c r="AD61" s="1">
        <f>SUMIF('OI 2009'!$I$95:$I$107,'Vestas turbines hist MW'!$B61,'OI 2009'!$L$95:$L$107)*$E61</f>
        <v>0</v>
      </c>
      <c r="AE61" s="1">
        <f>SUMIF('OI 2008'!$I$95:$I$107,'Vestas turbines hist MW'!$B61,'OI 2008'!$L$95:$L$107)*$E61</f>
        <v>0</v>
      </c>
    </row>
    <row r="62" spans="1:31" x14ac:dyDescent="0.25">
      <c r="B62" s="8" t="s">
        <v>1559</v>
      </c>
      <c r="E62" s="24">
        <f t="shared" si="8"/>
        <v>4.5</v>
      </c>
      <c r="F62">
        <v>4500</v>
      </c>
      <c r="N62" s="1"/>
      <c r="Q62" s="1">
        <f>SUMIF('OI 2022'!$I$158:$I$175,'Vestas turbines hist MW'!$B62,'OI 2022'!$K$158:$K$175)*$E62</f>
        <v>522</v>
      </c>
      <c r="R62" s="1">
        <f>SUMIF('OI 2021'!$I$146:$I$166,'Vestas turbines hist MW'!$B62,'OI 2021'!$K$146:$K$166)*$E62</f>
        <v>0</v>
      </c>
      <c r="S62" s="1">
        <f>SUMIF('OI 2020'!$I$144:$I$165,'Vestas turbines hist MW'!B62,'OI 2020'!$K$144:$K$165)*$E62</f>
        <v>0</v>
      </c>
      <c r="T62" s="1">
        <f>SUMIF('OI 2019'!$I$114:$I$131,'Vestas turbines hist MW'!B62,'OI 2019'!$L$114:$L$131)*$E62</f>
        <v>0</v>
      </c>
      <c r="U62" s="1">
        <f>SUMIF('OI 2018'!$I$114:$I$131,'Vestas turbines hist MW'!B62,'OI 2018'!$L$114:$L$131)*$E62</f>
        <v>0</v>
      </c>
      <c r="V62" s="1">
        <f>SUMIF('OI 2017'!$I$113:$I$130,'Vestas turbines hist MW'!B62,'OI 2017'!$L$113:$L$130)*$E62</f>
        <v>0</v>
      </c>
      <c r="W62" s="1">
        <f>SUMIF('OI 2016'!$I$87:$I$99,'Vestas turbines hist MW'!$B62,'OI 2016'!$L$87:$L$99)*$E62</f>
        <v>0</v>
      </c>
      <c r="X62" s="1">
        <f>SUMIF('OI 2015'!$I$87:$I$101,'Vestas turbines hist MW'!$B62,'OI 2015'!$L$87:$L$101)*$E62</f>
        <v>0</v>
      </c>
      <c r="Y62" s="1">
        <f>SUMIF('OI 2014'!$I$87:$I$101,'Vestas turbines hist MW'!$B62,'OI 2014'!$L$87:$L$101)*$E62</f>
        <v>0</v>
      </c>
      <c r="Z62" s="1">
        <f>SUMIF('OI 2013'!$I$87:$I$101,'Vestas turbines hist MW'!$B62,'OI 2013'!$L$87:$L$101)*$E62</f>
        <v>0</v>
      </c>
      <c r="AA62" s="1">
        <f>SUMIF('OI 2012'!$I$87:$I$101,'Vestas turbines hist MW'!$B62,'OI 2012'!$L$87:$L$101)*$E62</f>
        <v>0</v>
      </c>
      <c r="AB62" s="1">
        <f>SUMIF('OI 2011'!$I$95:$I$104,'Vestas turbines hist MW'!$B62,'OI 2011'!$L$95:$L$104)*$E62</f>
        <v>0</v>
      </c>
      <c r="AC62" s="1">
        <f>SUMIF('OI 2010'!$I$95:$I$107,'Vestas turbines hist MW'!$B62,'OI 2010'!$L$95:$L$107)*$E62</f>
        <v>0</v>
      </c>
      <c r="AD62" s="1">
        <f>SUMIF('OI 2009'!$I$95:$I$107,'Vestas turbines hist MW'!$B62,'OI 2009'!$L$95:$L$107)*$E62</f>
        <v>0</v>
      </c>
      <c r="AE62" s="1">
        <f>SUMIF('OI 2008'!$I$95:$I$107,'Vestas turbines hist MW'!$B62,'OI 2008'!$L$95:$L$107)*$E62</f>
        <v>0</v>
      </c>
    </row>
    <row r="63" spans="1:31" x14ac:dyDescent="0.25">
      <c r="A63" t="str">
        <f t="shared" si="7"/>
        <v>V150-4MW</v>
      </c>
      <c r="B63" t="s">
        <v>619</v>
      </c>
      <c r="C63" t="s">
        <v>716</v>
      </c>
      <c r="D63" t="s">
        <v>759</v>
      </c>
      <c r="E63" s="24">
        <f t="shared" si="8"/>
        <v>4</v>
      </c>
      <c r="F63">
        <v>4000</v>
      </c>
      <c r="G63">
        <v>150</v>
      </c>
      <c r="H63">
        <v>2017</v>
      </c>
      <c r="I63" t="s">
        <v>752</v>
      </c>
      <c r="J63" t="s">
        <v>752</v>
      </c>
      <c r="K63" t="s">
        <v>752</v>
      </c>
      <c r="L63">
        <f>COUNTIF(U63:AC63,"&gt;0")</f>
        <v>1</v>
      </c>
      <c r="N63" s="1">
        <f>SUM(U63:AF63)</f>
        <v>1068</v>
      </c>
      <c r="Q63" s="1">
        <f>SUMIF('OI 2022'!$I$158:$I$175,'Vestas turbines hist MW'!$B63,'OI 2022'!$K$158:$K$175)*$E63</f>
        <v>556</v>
      </c>
      <c r="R63" s="1">
        <f>SUMIF('OI 2021'!$I$146:$I$166,'Vestas turbines hist MW'!$B63,'OI 2021'!$K$146:$K$166)*$E63</f>
        <v>2080</v>
      </c>
      <c r="S63" s="1">
        <f>SUMIF('OI 2020'!$I$144:$I$165,'Vestas turbines hist MW'!B63,'OI 2020'!$K$144:$K$165)*$E63</f>
        <v>4103.6190476190477</v>
      </c>
      <c r="T63" s="1">
        <f>SUMIF('OI 2019'!$I$114:$I$131,'Vestas turbines hist MW'!B63,'OI 2019'!$L$114:$L$131)*$E63</f>
        <v>4227.4285714285716</v>
      </c>
      <c r="U63" s="1">
        <f>SUMIF('OI 2018'!$I$114:$I$131,'Vestas turbines hist MW'!B63,'OI 2018'!$L$114:$L$131)*$E63</f>
        <v>1068</v>
      </c>
      <c r="V63" s="1">
        <f>SUMIF('OI 2017'!$I$113:$I$130,'Vestas turbines hist MW'!B63,'OI 2017'!$L$113:$L$130)*$E63</f>
        <v>0</v>
      </c>
      <c r="W63" s="1">
        <f>SUMIF('OI 2016'!$I$87:$I$99,'Vestas turbines hist MW'!$B63,'OI 2016'!$L$87:$L$99)*$E63</f>
        <v>0</v>
      </c>
      <c r="X63" s="1">
        <f>SUMIF('OI 2015'!$I$87:$I$101,'Vestas turbines hist MW'!$B63,'OI 2015'!$L$87:$L$101)*$E63</f>
        <v>0</v>
      </c>
      <c r="Y63" s="1">
        <f>SUMIF('OI 2014'!$I$87:$I$101,'Vestas turbines hist MW'!$B63,'OI 2014'!$L$87:$L$101)*$E63</f>
        <v>0</v>
      </c>
      <c r="Z63" s="1">
        <f>SUMIF('OI 2013'!$I$87:$I$101,'Vestas turbines hist MW'!$B63,'OI 2013'!$L$87:$L$101)*$E63</f>
        <v>0</v>
      </c>
      <c r="AA63" s="1">
        <f>SUMIF('OI 2012'!$I$87:$I$101,'Vestas turbines hist MW'!$B63,'OI 2012'!$L$87:$L$101)*$E63</f>
        <v>0</v>
      </c>
      <c r="AB63" s="1">
        <f>SUMIF('OI 2011'!$I$95:$I$104,'Vestas turbines hist MW'!$B63,'OI 2011'!$L$95:$L$104)*$E63</f>
        <v>0</v>
      </c>
      <c r="AC63" s="1">
        <f>SUMIF('OI 2010'!$I$95:$I$107,'Vestas turbines hist MW'!$B63,'OI 2010'!$L$95:$L$107)*$E63</f>
        <v>0</v>
      </c>
      <c r="AD63" s="1">
        <f>SUMIF('OI 2009'!$I$95:$I$107,'Vestas turbines hist MW'!$B63,'OI 2009'!$L$95:$L$107)*$E63</f>
        <v>0</v>
      </c>
      <c r="AE63" s="1">
        <f>SUMIF('OI 2008'!$I$95:$I$107,'Vestas turbines hist MW'!$B63,'OI 2008'!$L$95:$L$107)*$E63</f>
        <v>0</v>
      </c>
    </row>
    <row r="64" spans="1:31" x14ac:dyDescent="0.25">
      <c r="B64" s="8" t="s">
        <v>1400</v>
      </c>
      <c r="E64" s="24">
        <f t="shared" si="8"/>
        <v>4.5</v>
      </c>
      <c r="F64">
        <v>4500</v>
      </c>
      <c r="N64" s="1"/>
      <c r="Q64" s="1">
        <f>SUMIF('OI 2022'!$I$158:$I$175,'Vestas turbines hist MW'!$B64,'OI 2022'!$K$158:$K$175)*$E64</f>
        <v>3339</v>
      </c>
      <c r="R64" s="1">
        <f>SUMIF('OI 2021'!$I$146:$I$166,'Vestas turbines hist MW'!$B64,'OI 2021'!$K$146:$K$166)*$E64</f>
        <v>1156.5</v>
      </c>
      <c r="S64" s="1">
        <f>SUMIF('OI 2020'!$I$144:$I$165,'Vestas turbines hist MW'!B64,'OI 2020'!$K$144:$K$165)*$E64</f>
        <v>409.5</v>
      </c>
      <c r="T64" s="1">
        <f>SUMIF('OI 2019'!$I$114:$I$131,'Vestas turbines hist MW'!B64,'OI 2019'!$L$114:$L$131)*$E64</f>
        <v>0</v>
      </c>
      <c r="U64" s="1">
        <f>SUMIF('OI 2018'!$I$114:$I$131,'Vestas turbines hist MW'!B64,'OI 2018'!$L$114:$L$131)*$E64</f>
        <v>0</v>
      </c>
      <c r="V64" s="1">
        <f>SUMIF('OI 2017'!$I$113:$I$130,'Vestas turbines hist MW'!B64,'OI 2017'!$L$113:$L$130)*$E64</f>
        <v>0</v>
      </c>
      <c r="W64" s="1">
        <f>SUMIF('OI 2016'!$I$87:$I$99,'Vestas turbines hist MW'!$B64,'OI 2016'!$L$87:$L$99)*$E64</f>
        <v>0</v>
      </c>
      <c r="X64" s="1">
        <f>SUMIF('OI 2015'!$I$87:$I$101,'Vestas turbines hist MW'!$B64,'OI 2015'!$L$87:$L$101)*$E64</f>
        <v>0</v>
      </c>
      <c r="Y64" s="1">
        <f>SUMIF('OI 2014'!$I$87:$I$101,'Vestas turbines hist MW'!$B64,'OI 2014'!$L$87:$L$101)*$E64</f>
        <v>0</v>
      </c>
      <c r="Z64" s="1">
        <f>SUMIF('OI 2013'!$I$87:$I$101,'Vestas turbines hist MW'!$B64,'OI 2013'!$L$87:$L$101)*$E64</f>
        <v>0</v>
      </c>
      <c r="AA64" s="1">
        <f>SUMIF('OI 2012'!$I$87:$I$101,'Vestas turbines hist MW'!$B64,'OI 2012'!$L$87:$L$101)*$E64</f>
        <v>0</v>
      </c>
      <c r="AB64" s="1">
        <f>SUMIF('OI 2011'!$I$95:$I$104,'Vestas turbines hist MW'!$B64,'OI 2011'!$L$95:$L$104)*$E64</f>
        <v>0</v>
      </c>
      <c r="AC64" s="1">
        <f>SUMIF('OI 2010'!$I$95:$I$107,'Vestas turbines hist MW'!$B64,'OI 2010'!$L$95:$L$107)*$E64</f>
        <v>0</v>
      </c>
      <c r="AD64" s="1">
        <f>SUMIF('OI 2009'!$I$95:$I$107,'Vestas turbines hist MW'!$B64,'OI 2009'!$L$95:$L$107)*$E64</f>
        <v>0</v>
      </c>
      <c r="AE64" s="1">
        <f>SUMIF('OI 2008'!$I$95:$I$107,'Vestas turbines hist MW'!$B64,'OI 2008'!$L$95:$L$107)*$E64</f>
        <v>0</v>
      </c>
    </row>
    <row r="65" spans="1:31" x14ac:dyDescent="0.25">
      <c r="B65" s="8" t="s">
        <v>1234</v>
      </c>
      <c r="E65" s="24">
        <f t="shared" si="8"/>
        <v>5.6</v>
      </c>
      <c r="F65">
        <v>5600</v>
      </c>
      <c r="N65" s="1"/>
      <c r="Q65" s="1">
        <f>SUMIF('OI 2022'!$I$158:$I$175,'Vestas turbines hist MW'!$B65,'OI 2022'!$K$158:$K$175)*$E65</f>
        <v>0</v>
      </c>
      <c r="R65" s="1">
        <f>SUMIF('OI 2021'!$I$146:$I$166,'Vestas turbines hist MW'!$B65,'OI 2021'!$K$146:$K$166)*$E65</f>
        <v>39.199999999999996</v>
      </c>
      <c r="S65" s="1">
        <f>SUMIF('OI 2020'!$I$144:$I$165,'Vestas turbines hist MW'!B65,'OI 2020'!$K$144:$K$165)*$E65</f>
        <v>123.19999999999999</v>
      </c>
      <c r="T65" s="1">
        <f>SUMIF('OI 2019'!$I$114:$I$131,'Vestas turbines hist MW'!B65,'OI 2019'!$L$114:$L$131)*$E65</f>
        <v>285.39999999999998</v>
      </c>
      <c r="U65" s="1">
        <f>SUMIF('OI 2018'!$I$114:$I$131,'Vestas turbines hist MW'!B65,'OI 2018'!$L$114:$L$131)*$E65</f>
        <v>0</v>
      </c>
      <c r="V65" s="1">
        <f>SUMIF('OI 2017'!$I$113:$I$130,'Vestas turbines hist MW'!B65,'OI 2017'!$L$113:$L$130)*$E65</f>
        <v>0</v>
      </c>
      <c r="W65" s="1">
        <f>SUMIF('OI 2016'!$I$87:$I$99,'Vestas turbines hist MW'!$B65,'OI 2016'!$L$87:$L$99)*$E65</f>
        <v>0</v>
      </c>
      <c r="X65" s="1">
        <f>SUMIF('OI 2015'!$I$87:$I$101,'Vestas turbines hist MW'!$B65,'OI 2015'!$L$87:$L$101)*$E65</f>
        <v>0</v>
      </c>
      <c r="Y65" s="1">
        <f>SUMIF('OI 2014'!$I$87:$I$101,'Vestas turbines hist MW'!$B65,'OI 2014'!$L$87:$L$101)*$E65</f>
        <v>0</v>
      </c>
      <c r="Z65" s="1">
        <f>SUMIF('OI 2013'!$I$87:$I$101,'Vestas turbines hist MW'!$B65,'OI 2013'!$L$87:$L$101)*$E65</f>
        <v>0</v>
      </c>
      <c r="AA65" s="1">
        <f>SUMIF('OI 2012'!$I$87:$I$101,'Vestas turbines hist MW'!$B65,'OI 2012'!$L$87:$L$101)*$E65</f>
        <v>0</v>
      </c>
      <c r="AB65" s="1">
        <f>SUMIF('OI 2011'!$I$95:$I$104,'Vestas turbines hist MW'!$B65,'OI 2011'!$L$95:$L$104)*$E65</f>
        <v>0</v>
      </c>
      <c r="AC65" s="1">
        <f>SUMIF('OI 2010'!$I$95:$I$107,'Vestas turbines hist MW'!$B65,'OI 2010'!$L$95:$L$107)*$E65</f>
        <v>0</v>
      </c>
      <c r="AD65" s="1">
        <f>SUMIF('OI 2009'!$I$95:$I$107,'Vestas turbines hist MW'!$B65,'OI 2009'!$L$95:$L$107)*$E65</f>
        <v>0</v>
      </c>
      <c r="AE65" s="1">
        <f>SUMIF('OI 2008'!$I$95:$I$107,'Vestas turbines hist MW'!$B65,'OI 2008'!$L$95:$L$107)*$E65</f>
        <v>0</v>
      </c>
    </row>
    <row r="66" spans="1:31" x14ac:dyDescent="0.25">
      <c r="B66" s="8" t="s">
        <v>1565</v>
      </c>
      <c r="E66" s="24">
        <f t="shared" si="8"/>
        <v>3.6</v>
      </c>
      <c r="F66">
        <v>3600</v>
      </c>
      <c r="N66" s="1"/>
      <c r="Q66" s="1">
        <f>SUMIF('OI 2022'!$I$158:$I$175,'Vestas turbines hist MW'!$B66,'OI 2022'!$K$158:$K$175)*$E66</f>
        <v>54</v>
      </c>
      <c r="R66" s="1">
        <f>SUMIF('OI 2021'!$I$146:$I$166,'Vestas turbines hist MW'!$B66,'OI 2021'!$K$146:$K$166)*$E66</f>
        <v>0</v>
      </c>
      <c r="S66" s="1">
        <f>SUMIF('OI 2020'!$I$144:$I$165,'Vestas turbines hist MW'!B66,'OI 2020'!$K$144:$K$165)*$E66</f>
        <v>0</v>
      </c>
      <c r="T66" s="1">
        <f>SUMIF('OI 2019'!$I$114:$I$131,'Vestas turbines hist MW'!B66,'OI 2019'!$L$114:$L$131)*$E66</f>
        <v>0</v>
      </c>
      <c r="U66" s="1">
        <f>SUMIF('OI 2018'!$I$114:$I$131,'Vestas turbines hist MW'!B66,'OI 2018'!$L$114:$L$131)*$E66</f>
        <v>0</v>
      </c>
      <c r="V66" s="1">
        <f>SUMIF('OI 2017'!$I$113:$I$130,'Vestas turbines hist MW'!B66,'OI 2017'!$L$113:$L$130)*$E66</f>
        <v>0</v>
      </c>
      <c r="W66" s="1">
        <f>SUMIF('OI 2016'!$I$87:$I$99,'Vestas turbines hist MW'!$B66,'OI 2016'!$L$87:$L$99)*$E66</f>
        <v>0</v>
      </c>
      <c r="X66" s="1">
        <f>SUMIF('OI 2015'!$I$87:$I$101,'Vestas turbines hist MW'!$B66,'OI 2015'!$L$87:$L$101)*$E66</f>
        <v>0</v>
      </c>
      <c r="Y66" s="1">
        <f>SUMIF('OI 2014'!$I$87:$I$101,'Vestas turbines hist MW'!$B66,'OI 2014'!$L$87:$L$101)*$E66</f>
        <v>0</v>
      </c>
      <c r="Z66" s="1">
        <f>SUMIF('OI 2013'!$I$87:$I$101,'Vestas turbines hist MW'!$B66,'OI 2013'!$L$87:$L$101)*$E66</f>
        <v>0</v>
      </c>
      <c r="AA66" s="1">
        <f>SUMIF('OI 2012'!$I$87:$I$101,'Vestas turbines hist MW'!$B66,'OI 2012'!$L$87:$L$101)*$E66</f>
        <v>0</v>
      </c>
      <c r="AB66" s="1">
        <f>SUMIF('OI 2011'!$I$95:$I$104,'Vestas turbines hist MW'!$B66,'OI 2011'!$L$95:$L$104)*$E66</f>
        <v>0</v>
      </c>
      <c r="AC66" s="1">
        <f>SUMIF('OI 2010'!$I$95:$I$107,'Vestas turbines hist MW'!$B66,'OI 2010'!$L$95:$L$107)*$E66</f>
        <v>0</v>
      </c>
      <c r="AD66" s="1">
        <f>SUMIF('OI 2009'!$I$95:$I$107,'Vestas turbines hist MW'!$B66,'OI 2009'!$L$95:$L$107)*$E66</f>
        <v>0</v>
      </c>
      <c r="AE66" s="1">
        <f>SUMIF('OI 2008'!$I$95:$I$107,'Vestas turbines hist MW'!$B66,'OI 2008'!$L$95:$L$107)*$E66</f>
        <v>0</v>
      </c>
    </row>
    <row r="67" spans="1:31" x14ac:dyDescent="0.25">
      <c r="B67" s="8" t="s">
        <v>1220</v>
      </c>
      <c r="E67" s="24">
        <f t="shared" si="8"/>
        <v>5.6</v>
      </c>
      <c r="F67">
        <v>5600</v>
      </c>
      <c r="N67" s="1"/>
      <c r="Q67" s="1">
        <f>SUMIF('OI 2022'!$I$158:$I$175,'Vestas turbines hist MW'!$B67,'OI 2022'!$K$158:$K$175)*$E67</f>
        <v>0</v>
      </c>
      <c r="R67" s="1">
        <f>SUMIF('OI 2021'!$I$146:$I$166,'Vestas turbines hist MW'!$B67,'OI 2021'!$K$146:$K$166)*$E67</f>
        <v>224</v>
      </c>
      <c r="S67" s="1">
        <f>SUMIF('OI 2020'!$I$144:$I$165,'Vestas turbines hist MW'!B67,'OI 2020'!$K$144:$K$165)*$E67</f>
        <v>1002.4</v>
      </c>
      <c r="T67" s="1">
        <f>SUMIF('OI 2019'!$I$114:$I$131,'Vestas turbines hist MW'!B67,'OI 2019'!$L$114:$L$131)*$E67</f>
        <v>251.99999999999997</v>
      </c>
      <c r="U67" s="1">
        <f>SUMIF('OI 2018'!$I$114:$I$131,'Vestas turbines hist MW'!B67,'OI 2018'!$L$114:$L$131)*$E67</f>
        <v>0</v>
      </c>
      <c r="V67" s="1">
        <f>SUMIF('OI 2017'!$I$113:$I$130,'Vestas turbines hist MW'!B67,'OI 2017'!$L$113:$L$130)*$E67</f>
        <v>0</v>
      </c>
      <c r="W67" s="1">
        <f>SUMIF('OI 2016'!$I$87:$I$99,'Vestas turbines hist MW'!$B67,'OI 2016'!$L$87:$L$99)*$E67</f>
        <v>0</v>
      </c>
      <c r="X67" s="1">
        <f>SUMIF('OI 2015'!$I$87:$I$101,'Vestas turbines hist MW'!$B67,'OI 2015'!$L$87:$L$101)*$E67</f>
        <v>0</v>
      </c>
      <c r="Y67" s="1">
        <f>SUMIF('OI 2014'!$I$87:$I$101,'Vestas turbines hist MW'!$B67,'OI 2014'!$L$87:$L$101)*$E67</f>
        <v>0</v>
      </c>
      <c r="Z67" s="1">
        <f>SUMIF('OI 2013'!$I$87:$I$101,'Vestas turbines hist MW'!$B67,'OI 2013'!$L$87:$L$101)*$E67</f>
        <v>0</v>
      </c>
      <c r="AA67" s="1">
        <f>SUMIF('OI 2012'!$I$87:$I$101,'Vestas turbines hist MW'!$B67,'OI 2012'!$L$87:$L$101)*$E67</f>
        <v>0</v>
      </c>
      <c r="AB67" s="1">
        <f>SUMIF('OI 2011'!$I$95:$I$104,'Vestas turbines hist MW'!$B67,'OI 2011'!$L$95:$L$104)*$E67</f>
        <v>0</v>
      </c>
      <c r="AC67" s="1">
        <f>SUMIF('OI 2010'!$I$95:$I$107,'Vestas turbines hist MW'!$B67,'OI 2010'!$L$95:$L$107)*$E67</f>
        <v>0</v>
      </c>
      <c r="AD67" s="1">
        <f>SUMIF('OI 2009'!$I$95:$I$107,'Vestas turbines hist MW'!$B67,'OI 2009'!$L$95:$L$107)*$E67</f>
        <v>0</v>
      </c>
      <c r="AE67" s="1">
        <f>SUMIF('OI 2008'!$I$95:$I$107,'Vestas turbines hist MW'!$B67,'OI 2008'!$L$95:$L$107)*$E67</f>
        <v>0</v>
      </c>
    </row>
    <row r="68" spans="1:31" x14ac:dyDescent="0.25">
      <c r="B68" s="8" t="s">
        <v>1404</v>
      </c>
      <c r="E68" s="24">
        <f t="shared" si="8"/>
        <v>6</v>
      </c>
      <c r="F68">
        <v>6000</v>
      </c>
      <c r="N68" s="1"/>
      <c r="Q68" s="1">
        <f>SUMIF('OI 2022'!$I$158:$I$175,'Vestas turbines hist MW'!$B68,'OI 2022'!$K$158:$K$175)*$E68</f>
        <v>0</v>
      </c>
      <c r="R68" s="1">
        <f>SUMIF('OI 2021'!$I$146:$I$166,'Vestas turbines hist MW'!$B68,'OI 2021'!$K$146:$K$166)*$E68</f>
        <v>1818</v>
      </c>
      <c r="S68" s="1">
        <f>SUMIF('OI 2020'!$I$144:$I$165,'Vestas turbines hist MW'!B68,'OI 2020'!$K$144:$K$165)*$E68</f>
        <v>228</v>
      </c>
      <c r="T68" s="1">
        <f>SUMIF('OI 2019'!$I$114:$I$131,'Vestas turbines hist MW'!B68,'OI 2019'!$L$114:$L$131)*$E68</f>
        <v>0</v>
      </c>
      <c r="U68" s="1">
        <f>SUMIF('OI 2018'!$I$114:$I$131,'Vestas turbines hist MW'!B68,'OI 2018'!$L$114:$L$131)*$E68</f>
        <v>0</v>
      </c>
      <c r="V68" s="1">
        <f>SUMIF('OI 2017'!$I$113:$I$130,'Vestas turbines hist MW'!B68,'OI 2017'!$L$113:$L$130)*$E68</f>
        <v>0</v>
      </c>
      <c r="W68" s="1">
        <f>SUMIF('OI 2016'!$I$87:$I$99,'Vestas turbines hist MW'!$B68,'OI 2016'!$L$87:$L$99)*$E68</f>
        <v>0</v>
      </c>
      <c r="X68" s="1">
        <f>SUMIF('OI 2015'!$I$87:$I$101,'Vestas turbines hist MW'!$B68,'OI 2015'!$L$87:$L$101)*$E68</f>
        <v>0</v>
      </c>
      <c r="Y68" s="1">
        <f>SUMIF('OI 2014'!$I$87:$I$101,'Vestas turbines hist MW'!$B68,'OI 2014'!$L$87:$L$101)*$E68</f>
        <v>0</v>
      </c>
      <c r="Z68" s="1">
        <f>SUMIF('OI 2013'!$I$87:$I$101,'Vestas turbines hist MW'!$B68,'OI 2013'!$L$87:$L$101)*$E68</f>
        <v>0</v>
      </c>
      <c r="AA68" s="1">
        <f>SUMIF('OI 2012'!$I$87:$I$101,'Vestas turbines hist MW'!$B68,'OI 2012'!$L$87:$L$101)*$E68</f>
        <v>0</v>
      </c>
      <c r="AB68" s="1">
        <f>SUMIF('OI 2011'!$I$95:$I$104,'Vestas turbines hist MW'!$B68,'OI 2011'!$L$95:$L$104)*$E68</f>
        <v>0</v>
      </c>
      <c r="AC68" s="1">
        <f>SUMIF('OI 2010'!$I$95:$I$107,'Vestas turbines hist MW'!$B68,'OI 2010'!$L$95:$L$107)*$E68</f>
        <v>0</v>
      </c>
      <c r="AD68" s="1">
        <f>SUMIF('OI 2009'!$I$95:$I$107,'Vestas turbines hist MW'!$B68,'OI 2009'!$L$95:$L$107)*$E68</f>
        <v>0</v>
      </c>
      <c r="AE68" s="1">
        <f>SUMIF('OI 2008'!$I$95:$I$107,'Vestas turbines hist MW'!$B68,'OI 2008'!$L$95:$L$107)*$E68</f>
        <v>0</v>
      </c>
    </row>
    <row r="69" spans="1:31" x14ac:dyDescent="0.25">
      <c r="B69" s="8" t="s">
        <v>1486</v>
      </c>
      <c r="E69" s="24">
        <f t="shared" si="8"/>
        <v>6.2</v>
      </c>
      <c r="F69">
        <v>6200</v>
      </c>
      <c r="N69" s="1"/>
      <c r="Q69" s="1">
        <f>SUMIF('OI 2022'!$I$158:$I$175,'Vestas turbines hist MW'!$B69,'OI 2022'!$K$158:$K$175)*$E69</f>
        <v>2430.4</v>
      </c>
      <c r="R69" s="1">
        <f>SUMIF('OI 2021'!$I$146:$I$166,'Vestas turbines hist MW'!$B69,'OI 2021'!$K$146:$K$166)*$E69</f>
        <v>1091.2</v>
      </c>
      <c r="S69" s="1">
        <f>SUMIF('OI 2020'!$I$144:$I$165,'Vestas turbines hist MW'!B69,'OI 2020'!$K$144:$K$165)*$E69</f>
        <v>0</v>
      </c>
      <c r="T69" s="1">
        <f>SUMIF('OI 2019'!$I$114:$I$131,'Vestas turbines hist MW'!B69,'OI 2019'!$L$114:$L$131)*$E69</f>
        <v>0</v>
      </c>
      <c r="U69" s="1">
        <f>SUMIF('OI 2018'!$I$114:$I$131,'Vestas turbines hist MW'!B69,'OI 2018'!$L$114:$L$131)*$E69</f>
        <v>0</v>
      </c>
      <c r="V69" s="1">
        <f>SUMIF('OI 2017'!$I$113:$I$130,'Vestas turbines hist MW'!B69,'OI 2017'!$L$113:$L$130)*$E69</f>
        <v>0</v>
      </c>
      <c r="W69" s="1">
        <f>SUMIF('OI 2016'!$I$87:$I$99,'Vestas turbines hist MW'!$B69,'OI 2016'!$L$87:$L$99)*$E69</f>
        <v>0</v>
      </c>
      <c r="X69" s="1">
        <f>SUMIF('OI 2015'!$I$87:$I$101,'Vestas turbines hist MW'!$B69,'OI 2015'!$L$87:$L$101)*$E69</f>
        <v>0</v>
      </c>
      <c r="Y69" s="1">
        <f>SUMIF('OI 2014'!$I$87:$I$101,'Vestas turbines hist MW'!$B69,'OI 2014'!$L$87:$L$101)*$E69</f>
        <v>0</v>
      </c>
      <c r="Z69" s="1">
        <f>SUMIF('OI 2013'!$I$87:$I$101,'Vestas turbines hist MW'!$B69,'OI 2013'!$L$87:$L$101)*$E69</f>
        <v>0</v>
      </c>
      <c r="AA69" s="1">
        <f>SUMIF('OI 2012'!$I$87:$I$101,'Vestas turbines hist MW'!$B69,'OI 2012'!$L$87:$L$101)*$E69</f>
        <v>0</v>
      </c>
      <c r="AB69" s="1">
        <f>SUMIF('OI 2011'!$I$95:$I$104,'Vestas turbines hist MW'!$B69,'OI 2011'!$L$95:$L$104)*$E69</f>
        <v>0</v>
      </c>
      <c r="AC69" s="1">
        <f>SUMIF('OI 2010'!$I$95:$I$107,'Vestas turbines hist MW'!$B69,'OI 2010'!$L$95:$L$107)*$E69</f>
        <v>0</v>
      </c>
      <c r="AD69" s="1">
        <f>SUMIF('OI 2009'!$I$95:$I$107,'Vestas turbines hist MW'!$B69,'OI 2009'!$L$95:$L$107)*$E69</f>
        <v>0</v>
      </c>
      <c r="AE69" s="1">
        <f>SUMIF('OI 2008'!$I$95:$I$107,'Vestas turbines hist MW'!$B69,'OI 2008'!$L$95:$L$107)*$E69</f>
        <v>0</v>
      </c>
    </row>
    <row r="70" spans="1:31" x14ac:dyDescent="0.25">
      <c r="A70" t="str">
        <f t="shared" si="7"/>
        <v>V164-7MW</v>
      </c>
      <c r="B70" t="s">
        <v>810</v>
      </c>
      <c r="C70" t="s">
        <v>717</v>
      </c>
      <c r="D70" t="s">
        <v>757</v>
      </c>
      <c r="E70" s="24">
        <f t="shared" si="8"/>
        <v>7</v>
      </c>
      <c r="F70">
        <v>7000</v>
      </c>
      <c r="G70">
        <v>164</v>
      </c>
      <c r="H70">
        <v>2014</v>
      </c>
      <c r="I70" t="s">
        <v>752</v>
      </c>
      <c r="J70" t="s">
        <v>752</v>
      </c>
      <c r="K70" t="s">
        <v>752</v>
      </c>
      <c r="L70">
        <f>COUNTIF(U70:AC70,"&gt;0")</f>
        <v>0</v>
      </c>
      <c r="N70" s="1">
        <f>SUM(U70:AF70)</f>
        <v>0</v>
      </c>
      <c r="Q70" s="1">
        <f>SUMIF('OI 2022'!$I$158:$I$175,'Vestas turbines hist MW'!$B70,'OI 2022'!$K$158:$K$175)*$E70</f>
        <v>0</v>
      </c>
      <c r="R70" s="1">
        <f>SUMIF('OI 2021'!$I$146:$I$166,'Vestas turbines hist MW'!$B70,'OI 2021'!$K$146:$K$166)*$E70</f>
        <v>0</v>
      </c>
      <c r="S70" s="1">
        <f>SUMIF('OI 2020'!$I$144:$I$165,'Vestas turbines hist MW'!B70,'OI 2020'!$K$144:$K$165)*$E70</f>
        <v>0</v>
      </c>
      <c r="T70" s="1">
        <f>SUMIF('OI 2019'!$I$114:$I$131,'Vestas turbines hist MW'!B70,'OI 2019'!$L$114:$L$131)*$E70</f>
        <v>0</v>
      </c>
      <c r="U70" s="1">
        <f>SUMIF('OI 2018'!$I$114:$I$131,'Vestas turbines hist MW'!B70,'OI 2018'!$L$114:$L$131)*$E70</f>
        <v>0</v>
      </c>
      <c r="V70" s="1">
        <f>SUMIF('OI 2017'!$I$113:$I$130,'Vestas turbines hist MW'!B70,'OI 2017'!$L$113:$L$130)*$E70</f>
        <v>0</v>
      </c>
      <c r="W70" s="1">
        <f>SUMIF('OI 2016'!$I$87:$I$99,'Vestas turbines hist MW'!$B70,'OI 2016'!$L$87:$L$99)*$E70</f>
        <v>0</v>
      </c>
      <c r="X70" s="1">
        <f>SUMIF('OI 2015'!$I$87:$I$101,'Vestas turbines hist MW'!$B70,'OI 2015'!$L$87:$L$101)*$E70</f>
        <v>0</v>
      </c>
      <c r="Y70" s="1">
        <f>SUMIF('OI 2014'!$I$87:$I$101,'Vestas turbines hist MW'!$B70,'OI 2014'!$L$87:$L$101)*$E70</f>
        <v>0</v>
      </c>
      <c r="Z70" s="1">
        <f>SUMIF('OI 2013'!$I$87:$I$101,'Vestas turbines hist MW'!$B70,'OI 2013'!$L$87:$L$101)*$E70</f>
        <v>0</v>
      </c>
      <c r="AA70" s="1">
        <f>SUMIF('OI 2012'!$I$87:$I$101,'Vestas turbines hist MW'!$B70,'OI 2012'!$L$87:$L$101)*$E70</f>
        <v>0</v>
      </c>
      <c r="AB70" s="1">
        <f>SUMIF('OI 2011'!$I$95:$I$104,'Vestas turbines hist MW'!$B70,'OI 2011'!$L$95:$L$104)*$E70</f>
        <v>0</v>
      </c>
      <c r="AC70" s="1">
        <f>SUMIF('OI 2010'!$I$95:$I$107,'Vestas turbines hist MW'!$B70,'OI 2010'!$L$95:$L$107)*$E70</f>
        <v>0</v>
      </c>
      <c r="AD70" s="1">
        <f>SUMIF('OI 2009'!$I$95:$I$107,'Vestas turbines hist MW'!$B70,'OI 2009'!$L$95:$L$107)*$E70</f>
        <v>0</v>
      </c>
      <c r="AE70" s="1">
        <f>SUMIF('OI 2008'!$I$95:$I$107,'Vestas turbines hist MW'!$B70,'OI 2008'!$L$95:$L$107)*$E70</f>
        <v>0</v>
      </c>
    </row>
    <row r="71" spans="1:31" x14ac:dyDescent="0.25">
      <c r="A71" t="str">
        <f t="shared" si="7"/>
        <v>V164-8MW</v>
      </c>
      <c r="B71" t="s">
        <v>811</v>
      </c>
      <c r="C71" t="s">
        <v>718</v>
      </c>
      <c r="D71" t="s">
        <v>757</v>
      </c>
      <c r="E71" s="24">
        <f t="shared" si="8"/>
        <v>8</v>
      </c>
      <c r="F71">
        <v>8000</v>
      </c>
      <c r="G71">
        <v>164</v>
      </c>
      <c r="H71">
        <v>2014</v>
      </c>
      <c r="I71">
        <v>375</v>
      </c>
      <c r="J71" t="s">
        <v>752</v>
      </c>
      <c r="K71" t="s">
        <v>752</v>
      </c>
      <c r="L71">
        <f>COUNTIF(U71:AC71,"&gt;0")</f>
        <v>0</v>
      </c>
      <c r="N71" s="1">
        <f>SUM(U71:AF71)</f>
        <v>0</v>
      </c>
      <c r="Q71" s="1">
        <f>SUMIF('OI 2022'!$I$158:$I$175,'Vestas turbines hist MW'!$B71,'OI 2022'!$K$158:$K$175)*$E71</f>
        <v>0</v>
      </c>
      <c r="R71" s="1">
        <f>SUMIF('OI 2021'!$I$146:$I$166,'Vestas turbines hist MW'!$B71,'OI 2021'!$K$146:$K$166)*$E71</f>
        <v>0</v>
      </c>
      <c r="S71" s="1">
        <f>SUMIF('OI 2020'!$I$144:$I$165,'Vestas turbines hist MW'!B71,'OI 2020'!$K$144:$K$165)*$E71</f>
        <v>0</v>
      </c>
      <c r="T71" s="1">
        <f>SUMIF('OI 2019'!$I$114:$I$131,'Vestas turbines hist MW'!B71,'OI 2019'!$L$114:$L$131)*$E71</f>
        <v>0</v>
      </c>
      <c r="U71" s="1">
        <f>SUMIF('OI 2018'!$I$114:$I$131,'Vestas turbines hist MW'!B71,'OI 2018'!$L$114:$L$131)*$E71</f>
        <v>0</v>
      </c>
      <c r="V71" s="1">
        <f>SUMIF('OI 2017'!$I$113:$I$130,'Vestas turbines hist MW'!B71,'OI 2017'!$L$113:$L$130)*$E71</f>
        <v>0</v>
      </c>
      <c r="W71" s="1">
        <f>SUMIF('OI 2016'!$I$87:$I$99,'Vestas turbines hist MW'!$B71,'OI 2016'!$L$87:$L$99)*$E71</f>
        <v>0</v>
      </c>
      <c r="X71" s="1">
        <f>SUMIF('OI 2015'!$I$87:$I$101,'Vestas turbines hist MW'!$B71,'OI 2015'!$L$87:$L$101)*$E71</f>
        <v>0</v>
      </c>
      <c r="Y71" s="1">
        <f>SUMIF('OI 2014'!$I$87:$I$101,'Vestas turbines hist MW'!$B71,'OI 2014'!$L$87:$L$101)*$E71</f>
        <v>0</v>
      </c>
      <c r="Z71" s="1">
        <f>SUMIF('OI 2013'!$I$87:$I$101,'Vestas turbines hist MW'!$B71,'OI 2013'!$L$87:$L$101)*$E71</f>
        <v>0</v>
      </c>
      <c r="AA71" s="1">
        <f>SUMIF('OI 2012'!$I$87:$I$101,'Vestas turbines hist MW'!$B71,'OI 2012'!$L$87:$L$101)*$E71</f>
        <v>0</v>
      </c>
      <c r="AB71" s="1">
        <f>SUMIF('OI 2011'!$I$95:$I$104,'Vestas turbines hist MW'!$B71,'OI 2011'!$L$95:$L$104)*$E71</f>
        <v>0</v>
      </c>
      <c r="AC71" s="1">
        <f>SUMIF('OI 2010'!$I$95:$I$107,'Vestas turbines hist MW'!$B71,'OI 2010'!$L$95:$L$107)*$E71</f>
        <v>0</v>
      </c>
      <c r="AD71" s="1">
        <f>SUMIF('OI 2009'!$I$95:$I$107,'Vestas turbines hist MW'!$B71,'OI 2009'!$L$95:$L$107)*$E71</f>
        <v>0</v>
      </c>
      <c r="AE71" s="1">
        <f>SUMIF('OI 2008'!$I$95:$I$107,'Vestas turbines hist MW'!$B71,'OI 2008'!$L$95:$L$107)*$E71</f>
        <v>0</v>
      </c>
    </row>
    <row r="72" spans="1:31" x14ac:dyDescent="0.25">
      <c r="B72" s="10" t="s">
        <v>1545</v>
      </c>
      <c r="E72" s="24">
        <f t="shared" si="8"/>
        <v>10</v>
      </c>
      <c r="F72">
        <v>10000</v>
      </c>
      <c r="N72" s="1"/>
      <c r="Q72" s="1">
        <f>SUMIF('OI 2022'!$I$158:$I$175,'Vestas turbines hist MW'!$B72,'OI 2022'!$K$158:$K$175)*$E72</f>
        <v>60</v>
      </c>
      <c r="R72" s="1">
        <f>SUMIF('OI 2021'!$I$146:$I$166,'Vestas turbines hist MW'!$B72,'OI 2021'!$K$146:$K$166)*$E72</f>
        <v>0</v>
      </c>
      <c r="S72" s="1">
        <f>SUMIF('OI 2020'!$I$144:$I$165,'Vestas turbines hist MW'!B72,'OI 2020'!$K$144:$K$165)*$E72</f>
        <v>0</v>
      </c>
      <c r="T72" s="1">
        <f>SUMIF('OI 2019'!$I$114:$I$131,'Vestas turbines hist MW'!B72,'OI 2019'!$L$114:$L$131)*$E72</f>
        <v>0</v>
      </c>
      <c r="U72" s="1">
        <f>SUMIF('OI 2018'!$I$114:$I$131,'Vestas turbines hist MW'!B72,'OI 2018'!$L$114:$L$131)*$E72</f>
        <v>0</v>
      </c>
      <c r="V72" s="1">
        <f>SUMIF('OI 2017'!$I$113:$I$130,'Vestas turbines hist MW'!B72,'OI 2017'!$L$113:$L$130)*$E72</f>
        <v>0</v>
      </c>
      <c r="W72" s="1">
        <f>SUMIF('OI 2016'!$I$87:$I$99,'Vestas turbines hist MW'!$B72,'OI 2016'!$L$87:$L$99)*$E72</f>
        <v>0</v>
      </c>
      <c r="X72" s="1">
        <f>SUMIF('OI 2015'!$I$87:$I$101,'Vestas turbines hist MW'!$B72,'OI 2015'!$L$87:$L$101)*$E72</f>
        <v>0</v>
      </c>
      <c r="Y72" s="1">
        <f>SUMIF('OI 2014'!$I$87:$I$101,'Vestas turbines hist MW'!$B72,'OI 2014'!$L$87:$L$101)*$E72</f>
        <v>0</v>
      </c>
      <c r="Z72" s="1">
        <f>SUMIF('OI 2013'!$I$87:$I$101,'Vestas turbines hist MW'!$B72,'OI 2013'!$L$87:$L$101)*$E72</f>
        <v>0</v>
      </c>
      <c r="AA72" s="1">
        <f>SUMIF('OI 2012'!$I$87:$I$101,'Vestas turbines hist MW'!$B72,'OI 2012'!$L$87:$L$101)*$E72</f>
        <v>0</v>
      </c>
      <c r="AB72" s="1">
        <f>SUMIF('OI 2011'!$I$95:$I$104,'Vestas turbines hist MW'!$B72,'OI 2011'!$L$95:$L$104)*$E72</f>
        <v>0</v>
      </c>
      <c r="AC72" s="1">
        <f>SUMIF('OI 2010'!$I$95:$I$107,'Vestas turbines hist MW'!$B72,'OI 2010'!$L$95:$L$107)*$E72</f>
        <v>0</v>
      </c>
      <c r="AD72" s="1">
        <f>SUMIF('OI 2009'!$I$95:$I$107,'Vestas turbines hist MW'!$B72,'OI 2009'!$L$95:$L$107)*$E72</f>
        <v>0</v>
      </c>
      <c r="AE72" s="1">
        <f>SUMIF('OI 2008'!$I$95:$I$107,'Vestas turbines hist MW'!$B72,'OI 2008'!$L$95:$L$107)*$E72</f>
        <v>0</v>
      </c>
    </row>
    <row r="73" spans="1:31" x14ac:dyDescent="0.25">
      <c r="B73" s="10" t="s">
        <v>1481</v>
      </c>
      <c r="E73" s="24">
        <f t="shared" si="8"/>
        <v>9.5</v>
      </c>
      <c r="F73">
        <v>9500</v>
      </c>
      <c r="Q73" s="1">
        <f>SUMIF('OI 2022'!$I$158:$I$175,'Vestas turbines hist MW'!$B73,'OI 2022'!$K$158:$K$175)*$E73</f>
        <v>589</v>
      </c>
      <c r="R73" s="1">
        <f>SUMIF('OI 2021'!$I$146:$I$166,'Vestas turbines hist MW'!$B73,'OI 2021'!$K$146:$K$166)*$E73</f>
        <v>731.5</v>
      </c>
      <c r="S73" s="1">
        <f>SUMIF('OI 2020'!$I$144:$I$165,'Vestas turbines hist MW'!B73,'OI 2020'!$K$144:$K$165)*$E73</f>
        <v>0</v>
      </c>
      <c r="T73" s="1">
        <f>SUMIF('OI 2019'!$I$114:$I$131,'Vestas turbines hist MW'!B73,'OI 2019'!$L$114:$L$131)*$E73</f>
        <v>0</v>
      </c>
      <c r="U73" s="1">
        <f>SUMIF('OI 2018'!$I$114:$I$131,'Vestas turbines hist MW'!B73,'OI 2018'!$L$114:$L$131)*$E73</f>
        <v>0</v>
      </c>
      <c r="V73" s="1">
        <f>SUMIF('OI 2017'!$I$113:$I$130,'Vestas turbines hist MW'!B73,'OI 2017'!$L$113:$L$130)*$E73</f>
        <v>0</v>
      </c>
      <c r="W73" s="1">
        <f>SUMIF('OI 2016'!$I$87:$I$99,'Vestas turbines hist MW'!$B73,'OI 2016'!$L$87:$L$99)*$E73</f>
        <v>0</v>
      </c>
      <c r="X73" s="1">
        <f>SUMIF('OI 2015'!$I$87:$I$101,'Vestas turbines hist MW'!$B73,'OI 2015'!$L$87:$L$101)*$E73</f>
        <v>0</v>
      </c>
      <c r="Y73" s="1">
        <f>SUMIF('OI 2014'!$I$87:$I$101,'Vestas turbines hist MW'!$B73,'OI 2014'!$L$87:$L$101)*$E73</f>
        <v>0</v>
      </c>
      <c r="Z73" s="1">
        <f>SUMIF('OI 2013'!$I$87:$I$101,'Vestas turbines hist MW'!$B73,'OI 2013'!$L$87:$L$101)*$E73</f>
        <v>0</v>
      </c>
      <c r="AA73" s="1">
        <f>SUMIF('OI 2012'!$I$87:$I$101,'Vestas turbines hist MW'!$B73,'OI 2012'!$L$87:$L$101)*$E73</f>
        <v>0</v>
      </c>
      <c r="AB73" s="1">
        <f>SUMIF('OI 2011'!$I$95:$I$104,'Vestas turbines hist MW'!$B73,'OI 2011'!$L$95:$L$104)*$E73</f>
        <v>0</v>
      </c>
      <c r="AC73" s="1">
        <f>SUMIF('OI 2010'!$I$95:$I$107,'Vestas turbines hist MW'!$B73,'OI 2010'!$L$95:$L$107)*$E73</f>
        <v>0</v>
      </c>
      <c r="AD73" s="1">
        <f>SUMIF('OI 2009'!$I$95:$I$107,'Vestas turbines hist MW'!$B73,'OI 2009'!$L$95:$L$107)*$E73</f>
        <v>0</v>
      </c>
      <c r="AE73" s="1">
        <f>SUMIF('OI 2008'!$I$95:$I$107,'Vestas turbines hist MW'!$B73,'OI 2008'!$L$95:$L$107)*$E73</f>
        <v>0</v>
      </c>
    </row>
    <row r="79" spans="1:31" x14ac:dyDescent="0.25">
      <c r="B79" s="8"/>
    </row>
    <row r="81" spans="2:2" x14ac:dyDescent="0.25">
      <c r="B81" s="8"/>
    </row>
    <row r="82" spans="2:2" x14ac:dyDescent="0.25">
      <c r="B82" s="8"/>
    </row>
    <row r="85" spans="2:2" x14ac:dyDescent="0.25">
      <c r="B85" s="8"/>
    </row>
    <row r="86" spans="2:2" x14ac:dyDescent="0.25">
      <c r="B86" s="8"/>
    </row>
    <row r="87" spans="2:2" x14ac:dyDescent="0.25">
      <c r="B87" s="8"/>
    </row>
    <row r="88" spans="2:2" x14ac:dyDescent="0.25">
      <c r="B88" s="8"/>
    </row>
    <row r="90" spans="2:2" x14ac:dyDescent="0.25">
      <c r="B90" s="8"/>
    </row>
    <row r="91" spans="2:2" x14ac:dyDescent="0.25">
      <c r="B91" s="8"/>
    </row>
    <row r="93" spans="2:2" x14ac:dyDescent="0.25">
      <c r="B93" s="8"/>
    </row>
    <row r="103" spans="2:29" x14ac:dyDescent="0.25">
      <c r="U103" s="1">
        <f t="shared" ref="U103:AC103" si="9">SUM(U35:U101)</f>
        <v>9526.44032809296</v>
      </c>
      <c r="V103" s="1">
        <f t="shared" si="9"/>
        <v>7428.2276315789468</v>
      </c>
      <c r="W103" s="1">
        <f t="shared" si="9"/>
        <v>6615.1939393939392</v>
      </c>
      <c r="X103" s="1">
        <f t="shared" si="9"/>
        <v>6320.9029940119763</v>
      </c>
      <c r="Y103" s="1">
        <f t="shared" si="9"/>
        <v>3328.5999999999995</v>
      </c>
      <c r="Z103" s="1">
        <f t="shared" si="9"/>
        <v>3352.2</v>
      </c>
      <c r="AA103" s="1">
        <f t="shared" si="9"/>
        <v>729</v>
      </c>
      <c r="AB103" s="1">
        <f t="shared" si="9"/>
        <v>1504.8000000000002</v>
      </c>
      <c r="AC103" s="1">
        <f t="shared" si="9"/>
        <v>1053.5999999999999</v>
      </c>
    </row>
    <row r="105" spans="2:29" x14ac:dyDescent="0.25">
      <c r="P105" s="3">
        <v>2023</v>
      </c>
      <c r="Q105" s="3">
        <v>2022</v>
      </c>
      <c r="R105" s="3">
        <v>2021</v>
      </c>
      <c r="S105" s="3">
        <v>2020</v>
      </c>
      <c r="T105" s="3">
        <v>2019</v>
      </c>
      <c r="U105" s="3">
        <v>2018</v>
      </c>
      <c r="V105" s="3">
        <v>2017</v>
      </c>
      <c r="W105" s="3">
        <v>2016</v>
      </c>
      <c r="X105" s="3">
        <v>2015</v>
      </c>
      <c r="Y105" s="3">
        <v>2014</v>
      </c>
      <c r="Z105" s="3">
        <v>2013</v>
      </c>
      <c r="AA105" s="3">
        <v>2012</v>
      </c>
      <c r="AB105" s="3">
        <v>2011</v>
      </c>
      <c r="AC105" s="3">
        <v>2010</v>
      </c>
    </row>
    <row r="106" spans="2:29" x14ac:dyDescent="0.25">
      <c r="B106" t="s">
        <v>946</v>
      </c>
      <c r="P106" s="1">
        <f t="shared" ref="P106:AC122" si="10">SUMIF($B$35:$B$100,$B106&amp;"*",P$35:P$100)</f>
        <v>0</v>
      </c>
      <c r="Q106" s="1">
        <f t="shared" si="10"/>
        <v>0</v>
      </c>
      <c r="R106" s="1">
        <f t="shared" si="10"/>
        <v>0</v>
      </c>
      <c r="S106" s="1">
        <f t="shared" si="10"/>
        <v>0</v>
      </c>
      <c r="T106" s="1">
        <f t="shared" si="10"/>
        <v>0</v>
      </c>
      <c r="U106" s="1">
        <f t="shared" ref="U106:AC106" si="11">SUMIF($B$35:$B$100,$B106&amp;"*",U$35:U$100)</f>
        <v>0</v>
      </c>
      <c r="V106" s="1">
        <f t="shared" si="11"/>
        <v>0</v>
      </c>
      <c r="W106" s="1">
        <f t="shared" si="11"/>
        <v>0</v>
      </c>
      <c r="X106" s="1">
        <f t="shared" si="11"/>
        <v>0</v>
      </c>
      <c r="Y106" s="1">
        <f t="shared" si="11"/>
        <v>0</v>
      </c>
      <c r="Z106" s="1">
        <f t="shared" si="11"/>
        <v>0</v>
      </c>
      <c r="AA106" s="1">
        <f t="shared" si="11"/>
        <v>0</v>
      </c>
      <c r="AB106" s="1">
        <f t="shared" si="11"/>
        <v>0</v>
      </c>
      <c r="AC106" s="1">
        <f t="shared" si="11"/>
        <v>0</v>
      </c>
    </row>
    <row r="107" spans="2:29" x14ac:dyDescent="0.25">
      <c r="B107" t="s">
        <v>947</v>
      </c>
      <c r="P107" s="1">
        <f t="shared" si="10"/>
        <v>0</v>
      </c>
      <c r="Q107" s="1">
        <f t="shared" si="10"/>
        <v>0</v>
      </c>
      <c r="R107" s="1">
        <f t="shared" si="10"/>
        <v>0</v>
      </c>
      <c r="S107" s="1">
        <f t="shared" si="10"/>
        <v>0</v>
      </c>
      <c r="T107" s="1">
        <f t="shared" si="10"/>
        <v>0</v>
      </c>
      <c r="U107" s="1">
        <f t="shared" si="10"/>
        <v>0</v>
      </c>
      <c r="V107" s="1">
        <f t="shared" si="10"/>
        <v>0</v>
      </c>
      <c r="W107" s="1">
        <f t="shared" si="10"/>
        <v>0</v>
      </c>
      <c r="X107" s="1">
        <f t="shared" si="10"/>
        <v>0</v>
      </c>
      <c r="Y107" s="1">
        <f t="shared" si="10"/>
        <v>0</v>
      </c>
      <c r="Z107" s="1">
        <f t="shared" si="10"/>
        <v>0</v>
      </c>
      <c r="AA107" s="1">
        <f t="shared" si="10"/>
        <v>0</v>
      </c>
      <c r="AB107" s="1">
        <f t="shared" si="10"/>
        <v>0</v>
      </c>
      <c r="AC107" s="1">
        <f t="shared" si="10"/>
        <v>0</v>
      </c>
    </row>
    <row r="108" spans="2:29" x14ac:dyDescent="0.25">
      <c r="B108" t="s">
        <v>948</v>
      </c>
      <c r="P108" s="1">
        <f t="shared" si="10"/>
        <v>0</v>
      </c>
      <c r="Q108" s="1">
        <f t="shared" si="10"/>
        <v>0</v>
      </c>
      <c r="R108" s="1">
        <f t="shared" si="10"/>
        <v>0</v>
      </c>
      <c r="S108" s="1">
        <f t="shared" si="10"/>
        <v>0</v>
      </c>
      <c r="T108" s="1">
        <f t="shared" si="10"/>
        <v>0</v>
      </c>
      <c r="U108" s="1">
        <f t="shared" si="10"/>
        <v>0</v>
      </c>
      <c r="V108" s="1">
        <f t="shared" si="10"/>
        <v>0</v>
      </c>
      <c r="W108" s="1">
        <f t="shared" si="10"/>
        <v>0</v>
      </c>
      <c r="X108" s="1">
        <f t="shared" si="10"/>
        <v>0</v>
      </c>
      <c r="Y108" s="1">
        <f t="shared" si="10"/>
        <v>0</v>
      </c>
      <c r="Z108" s="1">
        <f t="shared" si="10"/>
        <v>0</v>
      </c>
      <c r="AA108" s="1">
        <f t="shared" si="10"/>
        <v>0</v>
      </c>
      <c r="AB108" s="1">
        <f t="shared" si="10"/>
        <v>0</v>
      </c>
      <c r="AC108" s="1">
        <f t="shared" si="10"/>
        <v>0</v>
      </c>
    </row>
    <row r="109" spans="2:29" x14ac:dyDescent="0.25">
      <c r="B109" t="s">
        <v>949</v>
      </c>
      <c r="P109" s="1">
        <f t="shared" si="10"/>
        <v>0</v>
      </c>
      <c r="Q109" s="1">
        <f t="shared" si="10"/>
        <v>4</v>
      </c>
      <c r="R109" s="1">
        <f t="shared" si="10"/>
        <v>172</v>
      </c>
      <c r="S109" s="1">
        <f t="shared" si="10"/>
        <v>248</v>
      </c>
      <c r="T109" s="1">
        <f t="shared" si="10"/>
        <v>0</v>
      </c>
      <c r="U109" s="1">
        <f t="shared" si="10"/>
        <v>282</v>
      </c>
      <c r="V109" s="1">
        <f t="shared" si="10"/>
        <v>144</v>
      </c>
      <c r="W109" s="1">
        <f t="shared" si="10"/>
        <v>235</v>
      </c>
      <c r="X109" s="1">
        <f t="shared" si="10"/>
        <v>1098</v>
      </c>
      <c r="Y109" s="1">
        <f t="shared" si="10"/>
        <v>1318</v>
      </c>
      <c r="Z109" s="1">
        <f t="shared" si="10"/>
        <v>1334.2</v>
      </c>
      <c r="AA109" s="1">
        <f t="shared" si="10"/>
        <v>384.00000000000006</v>
      </c>
      <c r="AB109" s="1">
        <f t="shared" si="10"/>
        <v>754.80000000000007</v>
      </c>
      <c r="AC109" s="1">
        <f t="shared" si="10"/>
        <v>453.6</v>
      </c>
    </row>
    <row r="110" spans="2:29" x14ac:dyDescent="0.25">
      <c r="B110" t="s">
        <v>950</v>
      </c>
      <c r="P110" s="1">
        <f t="shared" si="10"/>
        <v>0</v>
      </c>
      <c r="Q110" s="1">
        <f t="shared" si="10"/>
        <v>27.6</v>
      </c>
      <c r="R110" s="1">
        <f t="shared" si="10"/>
        <v>86.25</v>
      </c>
      <c r="S110" s="1">
        <f t="shared" si="10"/>
        <v>477.75000000000006</v>
      </c>
      <c r="T110" s="1">
        <f t="shared" si="10"/>
        <v>58.650000000000006</v>
      </c>
      <c r="U110" s="1">
        <f t="shared" si="10"/>
        <v>0</v>
      </c>
      <c r="V110" s="1">
        <f t="shared" si="10"/>
        <v>109.41666666666667</v>
      </c>
      <c r="W110" s="1">
        <f t="shared" si="10"/>
        <v>31</v>
      </c>
      <c r="X110" s="1">
        <f t="shared" si="10"/>
        <v>0</v>
      </c>
      <c r="Y110" s="1">
        <f t="shared" si="10"/>
        <v>0</v>
      </c>
      <c r="Z110" s="1">
        <f t="shared" si="10"/>
        <v>0</v>
      </c>
      <c r="AA110" s="1">
        <f t="shared" si="10"/>
        <v>0</v>
      </c>
      <c r="AB110" s="1">
        <f t="shared" si="10"/>
        <v>0</v>
      </c>
      <c r="AC110" s="1">
        <f t="shared" si="10"/>
        <v>0</v>
      </c>
    </row>
    <row r="111" spans="2:29" x14ac:dyDescent="0.25">
      <c r="B111" t="s">
        <v>951</v>
      </c>
      <c r="P111" s="1">
        <f t="shared" si="10"/>
        <v>0</v>
      </c>
      <c r="Q111" s="1">
        <f t="shared" si="10"/>
        <v>0</v>
      </c>
      <c r="R111" s="1">
        <f t="shared" si="10"/>
        <v>118</v>
      </c>
      <c r="S111" s="1">
        <f t="shared" si="10"/>
        <v>430</v>
      </c>
      <c r="T111" s="1">
        <f t="shared" si="10"/>
        <v>510</v>
      </c>
      <c r="U111" s="1">
        <f t="shared" si="10"/>
        <v>720.18181818181824</v>
      </c>
      <c r="V111" s="1">
        <f t="shared" si="10"/>
        <v>2819</v>
      </c>
      <c r="W111" s="1">
        <f t="shared" si="10"/>
        <v>2708.7272727272725</v>
      </c>
      <c r="X111" s="1">
        <f t="shared" si="10"/>
        <v>1720</v>
      </c>
      <c r="Y111" s="1">
        <f t="shared" si="10"/>
        <v>672</v>
      </c>
      <c r="Z111" s="1">
        <f t="shared" si="10"/>
        <v>590</v>
      </c>
      <c r="AA111" s="1">
        <f t="shared" si="10"/>
        <v>0</v>
      </c>
      <c r="AB111" s="1">
        <f t="shared" si="10"/>
        <v>0</v>
      </c>
      <c r="AC111" s="1">
        <f t="shared" si="10"/>
        <v>0</v>
      </c>
    </row>
    <row r="112" spans="2:29" x14ac:dyDescent="0.25">
      <c r="B112" t="s">
        <v>952</v>
      </c>
      <c r="P112" s="1">
        <f t="shared" si="10"/>
        <v>0</v>
      </c>
      <c r="Q112" s="1">
        <f t="shared" si="10"/>
        <v>6.9</v>
      </c>
      <c r="R112" s="1">
        <f t="shared" si="10"/>
        <v>34.5</v>
      </c>
      <c r="S112" s="1">
        <f t="shared" si="10"/>
        <v>117.30000000000001</v>
      </c>
      <c r="T112" s="1">
        <f t="shared" si="10"/>
        <v>278.10000000000002</v>
      </c>
      <c r="U112" s="1">
        <f t="shared" si="10"/>
        <v>136.18181818181819</v>
      </c>
      <c r="V112" s="1">
        <f t="shared" si="10"/>
        <v>224.43333333333334</v>
      </c>
      <c r="W112" s="1">
        <f t="shared" si="10"/>
        <v>681.35</v>
      </c>
      <c r="X112" s="1">
        <f t="shared" si="10"/>
        <v>1261.402994011976</v>
      </c>
      <c r="Y112" s="1">
        <f t="shared" si="10"/>
        <v>952.19999999999993</v>
      </c>
      <c r="Z112" s="1">
        <f t="shared" si="10"/>
        <v>1428</v>
      </c>
      <c r="AA112" s="1">
        <f t="shared" si="10"/>
        <v>336</v>
      </c>
      <c r="AB112" s="1">
        <f t="shared" si="10"/>
        <v>750</v>
      </c>
      <c r="AC112" s="1">
        <f t="shared" si="10"/>
        <v>600</v>
      </c>
    </row>
    <row r="113" spans="2:29" x14ac:dyDescent="0.25">
      <c r="B113" t="s">
        <v>953</v>
      </c>
      <c r="P113" s="1">
        <f t="shared" si="10"/>
        <v>0</v>
      </c>
      <c r="Q113" s="1">
        <f t="shared" si="10"/>
        <v>0</v>
      </c>
      <c r="R113" s="1">
        <f t="shared" si="10"/>
        <v>0</v>
      </c>
      <c r="S113" s="1">
        <f t="shared" si="10"/>
        <v>0</v>
      </c>
      <c r="T113" s="1">
        <f t="shared" si="10"/>
        <v>0</v>
      </c>
      <c r="U113" s="1">
        <f t="shared" si="10"/>
        <v>432</v>
      </c>
      <c r="V113" s="1">
        <f t="shared" si="10"/>
        <v>66</v>
      </c>
      <c r="W113" s="1">
        <f t="shared" si="10"/>
        <v>0</v>
      </c>
      <c r="X113" s="1">
        <f t="shared" si="10"/>
        <v>0</v>
      </c>
      <c r="Y113" s="1">
        <f t="shared" si="10"/>
        <v>0</v>
      </c>
      <c r="Z113" s="1">
        <f t="shared" si="10"/>
        <v>0</v>
      </c>
      <c r="AA113" s="1">
        <f t="shared" si="10"/>
        <v>0</v>
      </c>
      <c r="AB113" s="1">
        <f t="shared" si="10"/>
        <v>0</v>
      </c>
      <c r="AC113" s="1">
        <f t="shared" si="10"/>
        <v>0</v>
      </c>
    </row>
    <row r="114" spans="2:29" x14ac:dyDescent="0.25">
      <c r="B114" t="s">
        <v>954</v>
      </c>
      <c r="P114" s="1">
        <f t="shared" si="10"/>
        <v>0</v>
      </c>
      <c r="Q114" s="1">
        <f t="shared" si="10"/>
        <v>44.85</v>
      </c>
      <c r="R114" s="1">
        <f t="shared" si="10"/>
        <v>79.350000000000009</v>
      </c>
      <c r="S114" s="1">
        <f t="shared" si="10"/>
        <v>113.85000000000001</v>
      </c>
      <c r="T114" s="1">
        <f t="shared" si="10"/>
        <v>158.70000000000002</v>
      </c>
      <c r="U114" s="1">
        <f t="shared" si="10"/>
        <v>647.625</v>
      </c>
      <c r="V114" s="1">
        <f t="shared" si="10"/>
        <v>230.91666666666666</v>
      </c>
      <c r="W114" s="1">
        <f t="shared" si="10"/>
        <v>1554.45</v>
      </c>
      <c r="X114" s="1">
        <f t="shared" si="10"/>
        <v>1309.4999999999998</v>
      </c>
      <c r="Y114" s="1">
        <f t="shared" si="10"/>
        <v>62.699999999999996</v>
      </c>
      <c r="Z114" s="1">
        <f t="shared" si="10"/>
        <v>0</v>
      </c>
      <c r="AA114" s="1">
        <f t="shared" si="10"/>
        <v>0</v>
      </c>
      <c r="AB114" s="1">
        <f t="shared" si="10"/>
        <v>0</v>
      </c>
      <c r="AC114" s="1">
        <f t="shared" si="10"/>
        <v>0</v>
      </c>
    </row>
    <row r="115" spans="2:29" x14ac:dyDescent="0.25">
      <c r="B115" t="s">
        <v>955</v>
      </c>
      <c r="P115" s="1">
        <f t="shared" si="10"/>
        <v>0</v>
      </c>
      <c r="Q115" s="1">
        <f t="shared" si="10"/>
        <v>50.6</v>
      </c>
      <c r="R115" s="1">
        <f t="shared" si="10"/>
        <v>561</v>
      </c>
      <c r="S115" s="1">
        <f t="shared" si="10"/>
        <v>704</v>
      </c>
      <c r="T115" s="1">
        <f t="shared" si="10"/>
        <v>2790.5999999999995</v>
      </c>
      <c r="U115" s="1">
        <f t="shared" si="10"/>
        <v>972.40000000000009</v>
      </c>
      <c r="V115" s="1">
        <f t="shared" si="10"/>
        <v>0</v>
      </c>
      <c r="W115" s="1">
        <f t="shared" si="10"/>
        <v>0</v>
      </c>
      <c r="X115" s="1">
        <f t="shared" si="10"/>
        <v>0</v>
      </c>
      <c r="Y115" s="1">
        <f t="shared" si="10"/>
        <v>0</v>
      </c>
      <c r="Z115" s="1">
        <f t="shared" si="10"/>
        <v>0</v>
      </c>
      <c r="AA115" s="1">
        <f t="shared" si="10"/>
        <v>0</v>
      </c>
      <c r="AB115" s="1">
        <f t="shared" si="10"/>
        <v>0</v>
      </c>
      <c r="AC115" s="1">
        <f t="shared" si="10"/>
        <v>0</v>
      </c>
    </row>
    <row r="116" spans="2:29" x14ac:dyDescent="0.25">
      <c r="B116" t="s">
        <v>956</v>
      </c>
      <c r="P116" s="1">
        <f t="shared" si="10"/>
        <v>0</v>
      </c>
      <c r="Q116" s="1">
        <f t="shared" si="10"/>
        <v>86.25</v>
      </c>
      <c r="R116" s="1">
        <f t="shared" si="10"/>
        <v>621.15000000000009</v>
      </c>
      <c r="S116" s="1">
        <f t="shared" si="10"/>
        <v>820.35</v>
      </c>
      <c r="T116" s="1">
        <f t="shared" si="10"/>
        <v>708.95</v>
      </c>
      <c r="U116" s="1">
        <f t="shared" si="10"/>
        <v>793.8868421052631</v>
      </c>
      <c r="V116" s="1">
        <f t="shared" si="10"/>
        <v>1145.2833333333333</v>
      </c>
      <c r="W116" s="1">
        <f t="shared" si="10"/>
        <v>1404.6666666666665</v>
      </c>
      <c r="X116" s="1">
        <f t="shared" si="10"/>
        <v>814.99999999999989</v>
      </c>
      <c r="Y116" s="1">
        <f t="shared" si="10"/>
        <v>323.7</v>
      </c>
      <c r="Z116" s="1">
        <f t="shared" si="10"/>
        <v>0</v>
      </c>
      <c r="AA116" s="1">
        <f t="shared" si="10"/>
        <v>9</v>
      </c>
      <c r="AB116" s="1">
        <f t="shared" si="10"/>
        <v>0</v>
      </c>
      <c r="AC116" s="1">
        <f t="shared" si="10"/>
        <v>0</v>
      </c>
    </row>
    <row r="117" spans="2:29" x14ac:dyDescent="0.25">
      <c r="B117" t="s">
        <v>957</v>
      </c>
      <c r="P117" s="1">
        <f t="shared" si="10"/>
        <v>0</v>
      </c>
      <c r="Q117" s="1">
        <f t="shared" si="10"/>
        <v>811.95</v>
      </c>
      <c r="R117" s="1">
        <f t="shared" si="10"/>
        <v>588.54999999999995</v>
      </c>
      <c r="S117" s="1">
        <f t="shared" si="10"/>
        <v>1832.9</v>
      </c>
      <c r="T117" s="1">
        <f t="shared" si="10"/>
        <v>1391.2078626799557</v>
      </c>
      <c r="U117" s="1">
        <f t="shared" si="10"/>
        <v>4474.1648496240605</v>
      </c>
      <c r="V117" s="1">
        <f t="shared" si="10"/>
        <v>2689.1776315789475</v>
      </c>
      <c r="W117" s="1">
        <f t="shared" si="10"/>
        <v>0</v>
      </c>
      <c r="X117" s="1">
        <f t="shared" si="10"/>
        <v>117</v>
      </c>
      <c r="Y117" s="1">
        <f t="shared" si="10"/>
        <v>0</v>
      </c>
      <c r="Z117" s="1">
        <f t="shared" si="10"/>
        <v>0</v>
      </c>
      <c r="AA117" s="1">
        <f t="shared" si="10"/>
        <v>0</v>
      </c>
      <c r="AB117" s="1">
        <f t="shared" si="10"/>
        <v>0</v>
      </c>
      <c r="AC117" s="1">
        <f t="shared" si="10"/>
        <v>0</v>
      </c>
    </row>
    <row r="118" spans="2:29" x14ac:dyDescent="0.25">
      <c r="B118" t="s">
        <v>958</v>
      </c>
      <c r="P118" s="1">
        <f t="shared" si="10"/>
        <v>0</v>
      </c>
      <c r="Q118" s="1">
        <f t="shared" si="10"/>
        <v>3895</v>
      </c>
      <c r="R118" s="1">
        <f t="shared" si="10"/>
        <v>3275.7</v>
      </c>
      <c r="S118" s="1">
        <f t="shared" si="10"/>
        <v>4636.3190476190475</v>
      </c>
      <c r="T118" s="1">
        <f t="shared" si="10"/>
        <v>4512.8285714285712</v>
      </c>
      <c r="U118" s="1">
        <f t="shared" si="10"/>
        <v>1068</v>
      </c>
      <c r="V118" s="1">
        <f t="shared" si="10"/>
        <v>0</v>
      </c>
      <c r="W118" s="1">
        <f t="shared" si="10"/>
        <v>0</v>
      </c>
      <c r="X118" s="1">
        <f t="shared" si="10"/>
        <v>0</v>
      </c>
      <c r="Y118" s="1">
        <f t="shared" si="10"/>
        <v>0</v>
      </c>
      <c r="Z118" s="1">
        <f t="shared" si="10"/>
        <v>0</v>
      </c>
      <c r="AA118" s="1">
        <f t="shared" si="10"/>
        <v>0</v>
      </c>
      <c r="AB118" s="1">
        <f t="shared" si="10"/>
        <v>0</v>
      </c>
      <c r="AC118" s="1">
        <f t="shared" si="10"/>
        <v>0</v>
      </c>
    </row>
    <row r="119" spans="2:29" x14ac:dyDescent="0.25">
      <c r="B119" t="s">
        <v>1626</v>
      </c>
      <c r="P119" s="1">
        <f t="shared" si="10"/>
        <v>0</v>
      </c>
      <c r="Q119" s="1">
        <f t="shared" si="10"/>
        <v>54</v>
      </c>
      <c r="R119" s="1">
        <f t="shared" si="10"/>
        <v>0</v>
      </c>
      <c r="S119" s="1">
        <f t="shared" si="10"/>
        <v>0</v>
      </c>
      <c r="T119" s="1">
        <f t="shared" si="10"/>
        <v>0</v>
      </c>
      <c r="U119" s="1">
        <f t="shared" si="10"/>
        <v>0</v>
      </c>
      <c r="V119" s="1">
        <f t="shared" si="10"/>
        <v>0</v>
      </c>
      <c r="W119" s="1">
        <f t="shared" si="10"/>
        <v>0</v>
      </c>
      <c r="X119" s="1">
        <f t="shared" si="10"/>
        <v>0</v>
      </c>
      <c r="Y119" s="1">
        <f t="shared" si="10"/>
        <v>0</v>
      </c>
      <c r="Z119" s="1">
        <f t="shared" si="10"/>
        <v>0</v>
      </c>
      <c r="AA119" s="1">
        <f t="shared" si="10"/>
        <v>0</v>
      </c>
      <c r="AB119" s="1">
        <f t="shared" si="10"/>
        <v>0</v>
      </c>
      <c r="AC119" s="1">
        <f t="shared" si="10"/>
        <v>0</v>
      </c>
    </row>
    <row r="120" spans="2:29" x14ac:dyDescent="0.25">
      <c r="B120" t="s">
        <v>1627</v>
      </c>
      <c r="P120" s="1">
        <f t="shared" si="10"/>
        <v>0</v>
      </c>
      <c r="Q120" s="1">
        <f t="shared" si="10"/>
        <v>2430.4</v>
      </c>
      <c r="R120" s="1">
        <f t="shared" si="10"/>
        <v>3133.2</v>
      </c>
      <c r="S120" s="1">
        <f t="shared" si="10"/>
        <v>1230.4000000000001</v>
      </c>
      <c r="T120" s="1">
        <f t="shared" si="10"/>
        <v>251.99999999999997</v>
      </c>
      <c r="U120" s="1">
        <f t="shared" si="10"/>
        <v>0</v>
      </c>
      <c r="V120" s="1">
        <f t="shared" si="10"/>
        <v>0</v>
      </c>
      <c r="W120" s="1">
        <f t="shared" si="10"/>
        <v>0</v>
      </c>
      <c r="X120" s="1">
        <f t="shared" si="10"/>
        <v>0</v>
      </c>
      <c r="Y120" s="1">
        <f t="shared" si="10"/>
        <v>0</v>
      </c>
      <c r="Z120" s="1">
        <f t="shared" si="10"/>
        <v>0</v>
      </c>
      <c r="AA120" s="1">
        <f t="shared" si="10"/>
        <v>0</v>
      </c>
      <c r="AB120" s="1">
        <f t="shared" si="10"/>
        <v>0</v>
      </c>
      <c r="AC120" s="1">
        <f t="shared" si="10"/>
        <v>0</v>
      </c>
    </row>
    <row r="121" spans="2:29" x14ac:dyDescent="0.25">
      <c r="B121" t="s">
        <v>1628</v>
      </c>
      <c r="P121" s="1">
        <f t="shared" si="10"/>
        <v>0</v>
      </c>
      <c r="Q121" s="1">
        <f t="shared" si="10"/>
        <v>60</v>
      </c>
      <c r="R121" s="1">
        <f t="shared" si="10"/>
        <v>0</v>
      </c>
      <c r="S121" s="1">
        <f t="shared" si="10"/>
        <v>0</v>
      </c>
      <c r="T121" s="1">
        <f t="shared" si="10"/>
        <v>0</v>
      </c>
      <c r="U121" s="1">
        <f t="shared" si="10"/>
        <v>0</v>
      </c>
      <c r="V121" s="1">
        <f t="shared" si="10"/>
        <v>0</v>
      </c>
      <c r="W121" s="1">
        <f t="shared" si="10"/>
        <v>0</v>
      </c>
      <c r="X121" s="1">
        <f t="shared" si="10"/>
        <v>0</v>
      </c>
      <c r="Y121" s="1">
        <f t="shared" si="10"/>
        <v>0</v>
      </c>
      <c r="Z121" s="1">
        <f t="shared" si="10"/>
        <v>0</v>
      </c>
      <c r="AA121" s="1">
        <f t="shared" si="10"/>
        <v>0</v>
      </c>
      <c r="AB121" s="1">
        <f t="shared" si="10"/>
        <v>0</v>
      </c>
      <c r="AC121" s="1">
        <f t="shared" si="10"/>
        <v>0</v>
      </c>
    </row>
    <row r="122" spans="2:29" x14ac:dyDescent="0.25">
      <c r="B122" t="s">
        <v>1629</v>
      </c>
      <c r="P122" s="1">
        <f t="shared" si="10"/>
        <v>0</v>
      </c>
      <c r="Q122" s="1">
        <f t="shared" si="10"/>
        <v>589</v>
      </c>
      <c r="R122" s="1">
        <f t="shared" si="10"/>
        <v>731.5</v>
      </c>
      <c r="S122" s="1">
        <f t="shared" si="10"/>
        <v>0</v>
      </c>
      <c r="T122" s="1">
        <f t="shared" si="10"/>
        <v>0</v>
      </c>
      <c r="U122" s="1">
        <f t="shared" si="10"/>
        <v>0</v>
      </c>
      <c r="V122" s="1">
        <f t="shared" si="10"/>
        <v>0</v>
      </c>
      <c r="W122" s="1">
        <f t="shared" si="10"/>
        <v>0</v>
      </c>
      <c r="X122" s="1">
        <f t="shared" si="10"/>
        <v>0</v>
      </c>
      <c r="Y122" s="1">
        <f t="shared" si="10"/>
        <v>0</v>
      </c>
      <c r="Z122" s="1">
        <f t="shared" si="10"/>
        <v>0</v>
      </c>
      <c r="AA122" s="1">
        <f t="shared" si="10"/>
        <v>0</v>
      </c>
      <c r="AB122" s="1">
        <f t="shared" si="10"/>
        <v>0</v>
      </c>
      <c r="AC122" s="1">
        <f t="shared" si="10"/>
        <v>0</v>
      </c>
    </row>
  </sheetData>
  <pageMargins left="0.7" right="0.7" top="0.75" bottom="0.75" header="0.3" footer="0.3"/>
  <pageSetup paperSize="9" orientation="portrait" r:id="rId1"/>
  <headerFooter>
    <oddFooter>&amp;L&amp;1#&amp;"Arial"&amp;8&amp;KD5DAD9</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AJ50"/>
  <sheetViews>
    <sheetView zoomScale="80" zoomScaleNormal="80" workbookViewId="0">
      <selection activeCell="P25" sqref="P25"/>
    </sheetView>
  </sheetViews>
  <sheetFormatPr defaultRowHeight="15" x14ac:dyDescent="0.25"/>
  <sheetData>
    <row r="3" spans="1:36" x14ac:dyDescent="0.25">
      <c r="A3" t="s">
        <v>867</v>
      </c>
      <c r="B3" t="s">
        <v>864</v>
      </c>
      <c r="E3">
        <v>2009</v>
      </c>
      <c r="F3">
        <v>2010</v>
      </c>
      <c r="G3">
        <v>2011</v>
      </c>
      <c r="H3">
        <v>2012</v>
      </c>
      <c r="I3">
        <v>2013</v>
      </c>
      <c r="J3">
        <v>2014</v>
      </c>
      <c r="K3">
        <v>2015</v>
      </c>
      <c r="L3">
        <v>2016</v>
      </c>
      <c r="M3">
        <v>2017</v>
      </c>
      <c r="N3">
        <v>2018</v>
      </c>
      <c r="O3">
        <v>2019</v>
      </c>
      <c r="P3">
        <v>2020</v>
      </c>
      <c r="Q3">
        <v>2021</v>
      </c>
    </row>
    <row r="4" spans="1:36" x14ac:dyDescent="0.25">
      <c r="B4" t="s">
        <v>400</v>
      </c>
      <c r="E4" s="17">
        <f>SUM(E5:E49)</f>
        <v>38303</v>
      </c>
      <c r="F4" s="17">
        <f>SUM(F5:F49)</f>
        <v>44114</v>
      </c>
      <c r="G4" s="17">
        <f>SUM(G5:G49)</f>
        <v>54409</v>
      </c>
      <c r="H4" s="17">
        <f t="shared" ref="H4:N4" si="0">SUM(H5:H49)</f>
        <v>63896</v>
      </c>
      <c r="I4" s="17">
        <f t="shared" si="0"/>
        <v>68758</v>
      </c>
      <c r="J4" s="17">
        <f t="shared" si="0"/>
        <v>72767.299999999988</v>
      </c>
      <c r="K4" s="17">
        <f t="shared" si="0"/>
        <v>79423.475000000006</v>
      </c>
      <c r="L4" s="17">
        <f t="shared" si="0"/>
        <v>86607.22500000002</v>
      </c>
      <c r="M4" s="17">
        <f t="shared" si="0"/>
        <v>95078.674999999988</v>
      </c>
      <c r="N4" s="17">
        <f t="shared" si="0"/>
        <v>105535.52499999999</v>
      </c>
    </row>
    <row r="5" spans="1:36" x14ac:dyDescent="0.25">
      <c r="B5" t="s">
        <v>6</v>
      </c>
      <c r="E5" s="17">
        <v>13907</v>
      </c>
      <c r="F5" s="17">
        <v>13909</v>
      </c>
      <c r="G5" s="17">
        <v>19354</v>
      </c>
      <c r="H5" s="17">
        <v>22907</v>
      </c>
      <c r="I5" s="17">
        <v>22982</v>
      </c>
      <c r="J5" s="17">
        <v>22982</v>
      </c>
      <c r="K5" s="17">
        <v>22982</v>
      </c>
      <c r="L5" s="17">
        <v>22982</v>
      </c>
      <c r="M5" s="17">
        <v>22982</v>
      </c>
      <c r="N5" s="17">
        <v>22982</v>
      </c>
    </row>
    <row r="6" spans="1:36" x14ac:dyDescent="0.25">
      <c r="B6" t="s">
        <v>478</v>
      </c>
      <c r="E6" s="17">
        <v>2910</v>
      </c>
      <c r="F6" s="17">
        <v>3199</v>
      </c>
      <c r="G6" s="17">
        <v>3350</v>
      </c>
      <c r="H6" s="17">
        <v>3350</v>
      </c>
      <c r="I6" s="17">
        <v>3350</v>
      </c>
      <c r="J6" s="17">
        <f>I6+0.85*'OI 2014'!L87</f>
        <v>3660</v>
      </c>
      <c r="K6" s="17">
        <f>J6</f>
        <v>3660</v>
      </c>
      <c r="L6" s="17">
        <f>K6</f>
        <v>3660</v>
      </c>
      <c r="M6" s="17">
        <f>L6</f>
        <v>3660</v>
      </c>
      <c r="N6" s="17">
        <f>M6</f>
        <v>3660</v>
      </c>
    </row>
    <row r="7" spans="1:36" x14ac:dyDescent="0.25">
      <c r="B7" t="s">
        <v>868</v>
      </c>
      <c r="E7" s="17"/>
      <c r="F7" s="17">
        <v>13</v>
      </c>
      <c r="G7" s="17">
        <v>99</v>
      </c>
      <c r="H7" s="17">
        <v>99</v>
      </c>
      <c r="I7" s="17">
        <v>99</v>
      </c>
      <c r="J7" s="17">
        <v>99</v>
      </c>
      <c r="K7" s="17">
        <v>99</v>
      </c>
      <c r="L7" s="17">
        <v>99</v>
      </c>
      <c r="M7" s="17">
        <v>99</v>
      </c>
      <c r="N7" s="17">
        <v>99</v>
      </c>
    </row>
    <row r="8" spans="1:36" x14ac:dyDescent="0.25">
      <c r="B8" t="s">
        <v>803</v>
      </c>
      <c r="E8" s="17">
        <v>1829</v>
      </c>
      <c r="F8" s="17">
        <v>1829</v>
      </c>
      <c r="G8" s="17">
        <v>1829</v>
      </c>
      <c r="H8" s="17">
        <v>1829</v>
      </c>
      <c r="I8" s="17">
        <v>1829</v>
      </c>
      <c r="J8" s="17">
        <v>1829</v>
      </c>
      <c r="K8" s="17">
        <v>1829</v>
      </c>
      <c r="L8" s="17">
        <v>1829</v>
      </c>
      <c r="M8" s="17">
        <v>1829</v>
      </c>
      <c r="N8" s="17">
        <v>1829</v>
      </c>
    </row>
    <row r="9" spans="1:36" x14ac:dyDescent="0.25">
      <c r="B9" t="s">
        <v>462</v>
      </c>
      <c r="E9" s="17">
        <v>5446</v>
      </c>
      <c r="F9" s="17">
        <v>5962</v>
      </c>
      <c r="G9" s="17">
        <v>6336</v>
      </c>
      <c r="H9" s="17">
        <v>6538</v>
      </c>
      <c r="I9" s="17">
        <v>6712</v>
      </c>
      <c r="J9" s="17">
        <f>'OI 2014'!L96*2+I9</f>
        <v>6780</v>
      </c>
      <c r="K9" s="17">
        <f>J9</f>
        <v>6780</v>
      </c>
      <c r="L9" s="17">
        <f>K9</f>
        <v>6780</v>
      </c>
      <c r="M9" s="17">
        <f>L9</f>
        <v>6780</v>
      </c>
      <c r="N9" s="17">
        <f>M9</f>
        <v>6780</v>
      </c>
      <c r="Y9" s="17"/>
      <c r="AJ9" s="17"/>
    </row>
    <row r="10" spans="1:36" x14ac:dyDescent="0.25">
      <c r="B10" t="s">
        <v>804</v>
      </c>
      <c r="E10" s="17">
        <v>320</v>
      </c>
      <c r="F10" s="17">
        <v>320</v>
      </c>
      <c r="G10" s="17">
        <v>320</v>
      </c>
      <c r="H10" s="17">
        <v>320</v>
      </c>
      <c r="I10" s="17">
        <v>320</v>
      </c>
      <c r="J10" s="17">
        <v>320</v>
      </c>
      <c r="K10" s="17">
        <v>320</v>
      </c>
      <c r="L10" s="17">
        <v>320</v>
      </c>
      <c r="M10" s="17">
        <v>320</v>
      </c>
      <c r="N10" s="17">
        <v>320</v>
      </c>
    </row>
    <row r="11" spans="1:36" x14ac:dyDescent="0.25">
      <c r="B11" t="s">
        <v>805</v>
      </c>
      <c r="E11" s="17">
        <v>4306</v>
      </c>
      <c r="F11" s="17">
        <v>4757</v>
      </c>
      <c r="G11" s="17">
        <v>4757</v>
      </c>
      <c r="H11" s="17">
        <v>4757</v>
      </c>
      <c r="I11" s="17">
        <v>4757</v>
      </c>
      <c r="J11" s="17">
        <v>4757</v>
      </c>
      <c r="K11" s="17">
        <v>4757</v>
      </c>
      <c r="L11" s="17">
        <v>4757</v>
      </c>
      <c r="M11" s="17">
        <v>4757</v>
      </c>
      <c r="N11" s="17">
        <v>4757</v>
      </c>
    </row>
    <row r="12" spans="1:36" x14ac:dyDescent="0.25">
      <c r="B12" t="s">
        <v>806</v>
      </c>
      <c r="E12" s="17">
        <v>545</v>
      </c>
      <c r="F12" s="17">
        <v>1029</v>
      </c>
      <c r="G12" s="17">
        <v>2115</v>
      </c>
      <c r="H12" s="17">
        <v>2545</v>
      </c>
      <c r="I12" s="17">
        <v>2649</v>
      </c>
      <c r="J12" s="17">
        <v>2649</v>
      </c>
      <c r="K12" s="17">
        <v>2649</v>
      </c>
      <c r="L12" s="17">
        <v>2649</v>
      </c>
      <c r="M12" s="17">
        <v>2649</v>
      </c>
      <c r="N12" s="17">
        <v>2649</v>
      </c>
    </row>
    <row r="13" spans="1:36" x14ac:dyDescent="0.25">
      <c r="B13" t="s">
        <v>244</v>
      </c>
      <c r="E13" s="17">
        <v>5017</v>
      </c>
      <c r="F13" s="17">
        <v>6544</v>
      </c>
      <c r="G13" s="17">
        <v>7936</v>
      </c>
      <c r="H13" s="17">
        <v>9716</v>
      </c>
      <c r="I13" s="17">
        <v>10990</v>
      </c>
      <c r="J13" s="17">
        <f>I13+2*'OI 2014'!L97</f>
        <v>11032</v>
      </c>
      <c r="K13" s="17">
        <f>J13+2*49</f>
        <v>11130</v>
      </c>
      <c r="L13" s="17">
        <f>K13</f>
        <v>11130</v>
      </c>
      <c r="M13" s="17">
        <f>L13</f>
        <v>11130</v>
      </c>
      <c r="N13" s="17">
        <f>M13</f>
        <v>11130</v>
      </c>
    </row>
    <row r="14" spans="1:36" x14ac:dyDescent="0.25">
      <c r="B14" t="s">
        <v>233</v>
      </c>
      <c r="E14" s="17">
        <v>4023</v>
      </c>
      <c r="F14" s="17">
        <v>6510</v>
      </c>
      <c r="G14" s="17">
        <v>7455</v>
      </c>
      <c r="H14" s="17">
        <v>8190</v>
      </c>
      <c r="I14" s="17">
        <v>8669</v>
      </c>
      <c r="J14" s="17">
        <f>I14+3*'OI 2014'!L98</f>
        <v>8852</v>
      </c>
      <c r="K14" s="17">
        <f>J14+3*29</f>
        <v>8939</v>
      </c>
      <c r="L14" s="17">
        <f>K14+40*3</f>
        <v>9059</v>
      </c>
      <c r="M14" s="17">
        <f>L14</f>
        <v>9059</v>
      </c>
      <c r="N14" s="17">
        <f>M14</f>
        <v>9059</v>
      </c>
    </row>
    <row r="15" spans="1:36" x14ac:dyDescent="0.25">
      <c r="B15" t="s">
        <v>222</v>
      </c>
      <c r="E15" s="17"/>
      <c r="F15" s="17">
        <v>36</v>
      </c>
      <c r="G15" s="17">
        <v>669</v>
      </c>
      <c r="H15" s="17">
        <v>1911</v>
      </c>
      <c r="I15" s="17">
        <v>2525</v>
      </c>
      <c r="J15" s="17">
        <v>2525</v>
      </c>
      <c r="K15" s="17">
        <f>J15+1.8*70</f>
        <v>2651</v>
      </c>
      <c r="L15" s="17">
        <f>K15+1.8*15</f>
        <v>2678</v>
      </c>
      <c r="M15" s="17">
        <f>L15</f>
        <v>2678</v>
      </c>
      <c r="N15" s="17">
        <f>M15</f>
        <v>2678</v>
      </c>
    </row>
    <row r="16" spans="1:36" x14ac:dyDescent="0.25">
      <c r="B16" t="s">
        <v>113</v>
      </c>
      <c r="E16" s="17"/>
      <c r="F16" s="17"/>
      <c r="G16" s="17"/>
      <c r="H16" s="17">
        <v>32</v>
      </c>
      <c r="I16" s="17">
        <v>714</v>
      </c>
      <c r="J16" s="17">
        <f>I16+2*'OI 2014'!L89</f>
        <v>2032</v>
      </c>
      <c r="K16" s="17">
        <f>J16+2*486</f>
        <v>3004</v>
      </c>
      <c r="L16" s="17">
        <f>K16+2*104</f>
        <v>3212</v>
      </c>
      <c r="M16" s="17">
        <f>L16+2*72</f>
        <v>3356</v>
      </c>
      <c r="N16" s="17">
        <f>M16+2*141</f>
        <v>3638</v>
      </c>
    </row>
    <row r="17" spans="2:14" x14ac:dyDescent="0.25">
      <c r="B17" t="s">
        <v>778</v>
      </c>
      <c r="E17" s="17"/>
      <c r="F17" s="17"/>
      <c r="G17" s="17"/>
      <c r="H17" s="17">
        <v>133</v>
      </c>
      <c r="I17" s="17">
        <v>221</v>
      </c>
      <c r="J17" s="17">
        <v>221</v>
      </c>
      <c r="K17" s="17">
        <v>221</v>
      </c>
      <c r="L17" s="17">
        <v>221</v>
      </c>
      <c r="M17" s="17">
        <v>221</v>
      </c>
      <c r="N17" s="17">
        <v>221</v>
      </c>
    </row>
    <row r="18" spans="2:14" x14ac:dyDescent="0.25">
      <c r="B18" t="s">
        <v>114</v>
      </c>
      <c r="E18" s="17"/>
      <c r="F18" s="17"/>
      <c r="G18" s="17"/>
      <c r="H18" s="17"/>
      <c r="I18" s="17"/>
      <c r="J18" s="17"/>
      <c r="K18" s="17"/>
      <c r="L18" s="17">
        <f>3.45*9</f>
        <v>31.05</v>
      </c>
      <c r="M18" s="17">
        <f>L18+3.45*32</f>
        <v>141.45000000000002</v>
      </c>
      <c r="N18" s="17">
        <f>M18</f>
        <v>141.45000000000002</v>
      </c>
    </row>
    <row r="19" spans="2:14" x14ac:dyDescent="0.25">
      <c r="B19" t="s">
        <v>110</v>
      </c>
      <c r="E19" s="17"/>
      <c r="F19" s="17"/>
      <c r="G19" s="17"/>
      <c r="H19" s="17"/>
      <c r="I19" s="17">
        <v>6</v>
      </c>
      <c r="J19" s="17">
        <f>I19+2*'OI 2014'!L90</f>
        <v>678</v>
      </c>
      <c r="K19" s="17">
        <f>J19+2*860</f>
        <v>2398</v>
      </c>
      <c r="L19" s="17">
        <f>K19+2*1354</f>
        <v>5106</v>
      </c>
      <c r="M19" s="17">
        <f>L19+2*1410</f>
        <v>7926</v>
      </c>
      <c r="N19" s="17">
        <f>M19+2*360</f>
        <v>8646</v>
      </c>
    </row>
    <row r="20" spans="2:14" x14ac:dyDescent="0.25">
      <c r="B20" t="s">
        <v>119</v>
      </c>
      <c r="E20" s="17"/>
      <c r="F20" s="17"/>
      <c r="G20" s="17"/>
      <c r="H20" s="17"/>
      <c r="I20" s="17"/>
      <c r="J20" s="17"/>
      <c r="K20" s="17"/>
      <c r="L20" s="17"/>
      <c r="M20" s="17">
        <f>2.2*40</f>
        <v>88</v>
      </c>
      <c r="N20" s="17">
        <f>M20+2.2*183</f>
        <v>490.6</v>
      </c>
    </row>
    <row r="21" spans="2:14" x14ac:dyDescent="0.25">
      <c r="B21" t="s">
        <v>321</v>
      </c>
      <c r="E21" s="17"/>
      <c r="F21" s="17">
        <v>6</v>
      </c>
      <c r="G21" s="17">
        <v>189</v>
      </c>
      <c r="H21" s="17">
        <v>1569</v>
      </c>
      <c r="I21" s="17">
        <v>2816</v>
      </c>
      <c r="J21" s="17">
        <f>I21+3*'OI 2014'!L91</f>
        <v>3108</v>
      </c>
      <c r="K21" s="17">
        <f>J21+3.075*13+3*12</f>
        <v>3183.9749999999999</v>
      </c>
      <c r="L21" s="17">
        <f>K21</f>
        <v>3183.9749999999999</v>
      </c>
      <c r="M21" s="17">
        <f>L21</f>
        <v>3183.9749999999999</v>
      </c>
      <c r="N21" s="17">
        <f>M21+3*19</f>
        <v>3240.9749999999999</v>
      </c>
    </row>
    <row r="22" spans="2:14" x14ac:dyDescent="0.25">
      <c r="B22" t="s">
        <v>111</v>
      </c>
      <c r="E22" s="17"/>
      <c r="F22" s="17"/>
      <c r="G22" s="17"/>
      <c r="H22" s="17"/>
      <c r="I22" s="17">
        <v>92</v>
      </c>
      <c r="J22" s="17">
        <f>I22+3.3*'OI 2014'!L92</f>
        <v>752.19999999999993</v>
      </c>
      <c r="K22" s="17">
        <f>J22+3.3*212</f>
        <v>1451.7999999999997</v>
      </c>
      <c r="L22" s="17">
        <f>K22+3.3*35</f>
        <v>1567.2999999999997</v>
      </c>
      <c r="M22" s="17">
        <f>L22+3.3*26</f>
        <v>1653.0999999999997</v>
      </c>
      <c r="N22" s="17">
        <f>M22</f>
        <v>1653.0999999999997</v>
      </c>
    </row>
    <row r="23" spans="2:14" x14ac:dyDescent="0.25">
      <c r="B23" t="s">
        <v>112</v>
      </c>
      <c r="E23" s="17"/>
      <c r="F23" s="17"/>
      <c r="G23" s="17"/>
      <c r="H23" s="17"/>
      <c r="I23" s="17"/>
      <c r="J23" s="17"/>
      <c r="K23" s="1">
        <f>141*3.45</f>
        <v>486.45000000000005</v>
      </c>
      <c r="L23" s="17">
        <f>K23+3.45*164</f>
        <v>1052.25</v>
      </c>
      <c r="M23" s="17">
        <f>L23+3.45*40</f>
        <v>1190.25</v>
      </c>
      <c r="N23" s="17">
        <f>M23+3.45*23</f>
        <v>1269.5999999999999</v>
      </c>
    </row>
    <row r="24" spans="2:14" x14ac:dyDescent="0.25">
      <c r="B24" t="s">
        <v>122</v>
      </c>
      <c r="E24" s="17"/>
      <c r="F24" s="17"/>
      <c r="G24" s="17"/>
      <c r="H24" s="17"/>
      <c r="I24" s="17"/>
      <c r="J24" s="17"/>
      <c r="K24" s="1"/>
      <c r="L24" s="17"/>
      <c r="M24" s="17">
        <f>2*33</f>
        <v>66</v>
      </c>
      <c r="N24" s="17">
        <f>M24+2*216</f>
        <v>498</v>
      </c>
    </row>
    <row r="25" spans="2:14" x14ac:dyDescent="0.25">
      <c r="B25" s="8" t="s">
        <v>454</v>
      </c>
      <c r="E25" s="17"/>
      <c r="F25" s="17"/>
      <c r="G25" s="17"/>
      <c r="H25" s="17"/>
      <c r="I25" s="17"/>
      <c r="J25" s="17">
        <f>3*6</f>
        <v>18</v>
      </c>
      <c r="K25" s="17">
        <f>J25</f>
        <v>18</v>
      </c>
      <c r="L25" s="17">
        <f>K25</f>
        <v>18</v>
      </c>
      <c r="M25" s="17">
        <f>L25</f>
        <v>18</v>
      </c>
      <c r="N25" s="17">
        <f>M25</f>
        <v>18</v>
      </c>
    </row>
    <row r="26" spans="2:14" x14ac:dyDescent="0.25">
      <c r="B26" t="s">
        <v>224</v>
      </c>
      <c r="E26" s="17"/>
      <c r="F26" s="17"/>
      <c r="G26" s="17"/>
      <c r="H26" s="17"/>
      <c r="I26" s="17">
        <v>17</v>
      </c>
      <c r="J26" s="17">
        <f>I26+3.3*19</f>
        <v>79.699999999999989</v>
      </c>
      <c r="K26" s="17">
        <f>J26+3.3*365</f>
        <v>1284.2</v>
      </c>
      <c r="L26" s="17">
        <f>K26+3.3*54</f>
        <v>1462.4</v>
      </c>
      <c r="M26" s="17">
        <f>L26</f>
        <v>1462.4</v>
      </c>
      <c r="N26" s="17">
        <f>M26+3.3*10</f>
        <v>1495.4</v>
      </c>
    </row>
    <row r="27" spans="2:14" x14ac:dyDescent="0.25">
      <c r="B27" t="s">
        <v>115</v>
      </c>
      <c r="E27" s="17"/>
      <c r="F27" s="17"/>
      <c r="G27" s="17"/>
      <c r="H27" s="17"/>
      <c r="I27" s="17"/>
      <c r="J27" s="17"/>
      <c r="K27" s="1">
        <f>30*3.45</f>
        <v>103.5</v>
      </c>
      <c r="L27" s="17">
        <f>K27+3.45*399</f>
        <v>1480.0500000000002</v>
      </c>
      <c r="M27" s="17">
        <f>L27+3.45*67</f>
        <v>1711.2000000000003</v>
      </c>
      <c r="N27" s="17">
        <f>M27+3.45*178</f>
        <v>2325.3000000000002</v>
      </c>
    </row>
    <row r="28" spans="2:14" x14ac:dyDescent="0.25">
      <c r="B28" t="s">
        <v>578</v>
      </c>
      <c r="E28" s="17"/>
      <c r="F28" s="17"/>
      <c r="G28" s="17"/>
      <c r="H28" s="17"/>
      <c r="I28" s="17"/>
      <c r="J28" s="17"/>
      <c r="K28" s="1"/>
      <c r="L28" s="17"/>
      <c r="M28" s="17"/>
      <c r="N28" s="17">
        <f>2*195</f>
        <v>390</v>
      </c>
    </row>
    <row r="29" spans="2:14" x14ac:dyDescent="0.25">
      <c r="B29" t="s">
        <v>574</v>
      </c>
      <c r="E29" s="17"/>
      <c r="F29" s="17"/>
      <c r="G29" s="17"/>
      <c r="H29" s="17"/>
      <c r="I29" s="17"/>
      <c r="J29" s="17"/>
      <c r="K29" s="1"/>
      <c r="L29" s="17"/>
      <c r="M29" s="17"/>
      <c r="N29" s="17">
        <f>2.2*265</f>
        <v>583</v>
      </c>
    </row>
    <row r="30" spans="2:14" x14ac:dyDescent="0.25">
      <c r="B30" t="s">
        <v>106</v>
      </c>
      <c r="E30" s="17"/>
      <c r="F30" s="17"/>
      <c r="G30" s="17"/>
      <c r="H30" s="17"/>
      <c r="I30" s="17">
        <v>10</v>
      </c>
      <c r="J30" s="17">
        <f>I30+3.3*98</f>
        <v>333.4</v>
      </c>
      <c r="K30" s="17">
        <f>J30+3.3*219</f>
        <v>1056.0999999999999</v>
      </c>
      <c r="L30" s="17">
        <f>K30+3.3*59</f>
        <v>1250.8</v>
      </c>
      <c r="M30" s="17">
        <f>L30+3.3*22</f>
        <v>1323.3999999999999</v>
      </c>
      <c r="N30" s="17">
        <f>M30</f>
        <v>1323.3999999999999</v>
      </c>
    </row>
    <row r="31" spans="2:14" x14ac:dyDescent="0.25">
      <c r="B31" t="s">
        <v>109</v>
      </c>
      <c r="E31" s="17"/>
      <c r="F31" s="17"/>
      <c r="G31" s="17"/>
      <c r="H31" s="17"/>
      <c r="I31" s="17"/>
      <c r="J31" s="17"/>
      <c r="K31" s="1">
        <f>27*3.45</f>
        <v>93.15</v>
      </c>
      <c r="L31" s="17">
        <f>K31+3.45*351</f>
        <v>1304.1000000000001</v>
      </c>
      <c r="M31" s="17">
        <f>L31+3.45*311</f>
        <v>2377.0500000000002</v>
      </c>
      <c r="N31" s="17">
        <f>M31+3.45*230</f>
        <v>3170.55</v>
      </c>
    </row>
    <row r="32" spans="2:14" x14ac:dyDescent="0.25">
      <c r="B32" t="s">
        <v>120</v>
      </c>
      <c r="E32" s="17"/>
      <c r="F32" s="17"/>
      <c r="G32" s="17"/>
      <c r="H32" s="17"/>
      <c r="I32" s="17"/>
      <c r="J32" s="17"/>
      <c r="K32" s="1"/>
      <c r="L32" s="17"/>
      <c r="M32" s="17">
        <f>24*3.6</f>
        <v>86.4</v>
      </c>
      <c r="N32" s="17">
        <f>M32+31*3.6</f>
        <v>198</v>
      </c>
    </row>
    <row r="33" spans="2:14" x14ac:dyDescent="0.25">
      <c r="B33" t="s">
        <v>117</v>
      </c>
      <c r="E33" s="17"/>
      <c r="F33" s="17"/>
      <c r="G33" s="17"/>
      <c r="H33" s="17"/>
      <c r="I33" s="17"/>
      <c r="J33" s="17"/>
      <c r="K33" s="1"/>
      <c r="L33" s="17"/>
      <c r="M33" s="17">
        <f>3*60</f>
        <v>180</v>
      </c>
      <c r="N33" s="17">
        <f>M33</f>
        <v>180</v>
      </c>
    </row>
    <row r="34" spans="2:14" x14ac:dyDescent="0.25">
      <c r="B34" t="s">
        <v>108</v>
      </c>
      <c r="E34" s="17"/>
      <c r="F34" s="17"/>
      <c r="G34" s="17"/>
      <c r="H34" s="17"/>
      <c r="I34" s="17"/>
      <c r="J34" s="17"/>
      <c r="K34" s="1">
        <f>34*3.45</f>
        <v>117.30000000000001</v>
      </c>
      <c r="L34" s="17">
        <f>K34</f>
        <v>117.30000000000001</v>
      </c>
      <c r="M34" s="17">
        <f>L34+3.45*635</f>
        <v>2308.0500000000002</v>
      </c>
      <c r="N34" s="17">
        <f>M34+3.45*718</f>
        <v>4785.1499999999996</v>
      </c>
    </row>
    <row r="35" spans="2:14" x14ac:dyDescent="0.25">
      <c r="B35" t="s">
        <v>118</v>
      </c>
      <c r="E35" s="17"/>
      <c r="F35" s="17"/>
      <c r="G35" s="17"/>
      <c r="H35" s="17"/>
      <c r="I35" s="17"/>
      <c r="J35" s="17"/>
      <c r="K35" s="1"/>
      <c r="L35" s="17"/>
      <c r="M35" s="17">
        <f>3.6*44</f>
        <v>158.4</v>
      </c>
      <c r="N35" s="17">
        <f>M35+3.6*103</f>
        <v>529.20000000000005</v>
      </c>
    </row>
    <row r="36" spans="2:14" x14ac:dyDescent="0.25">
      <c r="B36" t="s">
        <v>121</v>
      </c>
      <c r="E36" s="17"/>
      <c r="F36" s="17"/>
      <c r="G36" s="17"/>
      <c r="H36" s="17"/>
      <c r="I36" s="17"/>
      <c r="J36" s="17"/>
      <c r="K36" s="1"/>
      <c r="L36" s="17"/>
      <c r="M36" s="17">
        <f>4.2*85</f>
        <v>357</v>
      </c>
      <c r="N36" s="17">
        <f>M36+4.2*407</f>
        <v>2066.4</v>
      </c>
    </row>
    <row r="37" spans="2:14" x14ac:dyDescent="0.25">
      <c r="B37" t="s">
        <v>619</v>
      </c>
      <c r="E37" s="17"/>
      <c r="F37" s="17"/>
      <c r="G37" s="17"/>
      <c r="H37" s="17"/>
      <c r="I37" s="17"/>
      <c r="J37" s="17"/>
      <c r="K37" s="1"/>
      <c r="L37" s="17"/>
      <c r="M37" s="17"/>
      <c r="N37" s="17">
        <f>4.2*267</f>
        <v>1121.4000000000001</v>
      </c>
    </row>
    <row r="38" spans="2:14" x14ac:dyDescent="0.25">
      <c r="B38" t="s">
        <v>1191</v>
      </c>
      <c r="E38" s="17"/>
      <c r="F38" s="17"/>
      <c r="G38" s="17"/>
      <c r="H38" s="17"/>
      <c r="I38" s="17"/>
      <c r="J38" s="17">
        <f>2*30</f>
        <v>60</v>
      </c>
      <c r="K38" s="17">
        <f>J38+2*75</f>
        <v>210</v>
      </c>
      <c r="L38" s="17">
        <f>K38+2*185</f>
        <v>580</v>
      </c>
      <c r="M38" s="17">
        <f>L38+2*175</f>
        <v>930</v>
      </c>
      <c r="N38" s="17">
        <f>M38+2*100</f>
        <v>1130</v>
      </c>
    </row>
    <row r="39" spans="2:14" x14ac:dyDescent="0.25">
      <c r="B39" t="s">
        <v>1192</v>
      </c>
      <c r="I39" s="1"/>
      <c r="J39" s="1"/>
      <c r="L39">
        <f>3*26</f>
        <v>78</v>
      </c>
      <c r="M39">
        <f>L39</f>
        <v>78</v>
      </c>
      <c r="N39">
        <f>M39</f>
        <v>78</v>
      </c>
    </row>
    <row r="40" spans="2:14" x14ac:dyDescent="0.25">
      <c r="B40" t="s">
        <v>1193</v>
      </c>
      <c r="I40" s="1"/>
      <c r="J40" s="1"/>
      <c r="M40">
        <f>80*4</f>
        <v>320</v>
      </c>
      <c r="N40">
        <f>M40+20*4</f>
        <v>400</v>
      </c>
    </row>
    <row r="41" spans="2:14" x14ac:dyDescent="0.25">
      <c r="B41" s="8"/>
      <c r="I41" s="1"/>
      <c r="J41" s="1"/>
    </row>
    <row r="42" spans="2:14" x14ac:dyDescent="0.25">
      <c r="B42" s="8"/>
      <c r="I42" s="1"/>
      <c r="J42" s="1"/>
    </row>
    <row r="43" spans="2:14" x14ac:dyDescent="0.25">
      <c r="B43" s="8"/>
      <c r="I43" s="1"/>
      <c r="J43" s="1"/>
    </row>
    <row r="44" spans="2:14" x14ac:dyDescent="0.25">
      <c r="B44" s="8"/>
      <c r="I44" s="1"/>
      <c r="J44" s="1"/>
    </row>
    <row r="45" spans="2:14" x14ac:dyDescent="0.25">
      <c r="I45" s="1"/>
      <c r="J45" s="1"/>
    </row>
    <row r="46" spans="2:14" x14ac:dyDescent="0.25">
      <c r="B46" s="8"/>
      <c r="I46" s="1"/>
      <c r="J46" s="1"/>
    </row>
    <row r="47" spans="2:14" x14ac:dyDescent="0.25">
      <c r="B47" s="8"/>
      <c r="I47" s="1"/>
      <c r="J47" s="1"/>
    </row>
    <row r="48" spans="2:14" x14ac:dyDescent="0.25">
      <c r="B48" s="8"/>
      <c r="I48" s="1"/>
    </row>
    <row r="49" spans="2:9" x14ac:dyDescent="0.25">
      <c r="B49" s="8"/>
      <c r="I49" s="1"/>
    </row>
    <row r="50" spans="2:9" x14ac:dyDescent="0.25">
      <c r="B50" s="8"/>
    </row>
  </sheetData>
  <sortState xmlns:xlrd2="http://schemas.microsoft.com/office/spreadsheetml/2017/richdata2" ref="Q12:T27">
    <sortCondition ref="Q12:Q27"/>
  </sortState>
  <pageMargins left="0.7" right="0.7" top="0.75" bottom="0.75" header="0.3" footer="0.3"/>
  <pageSetup orientation="portrait" r:id="rId1"/>
  <headerFooter>
    <oddFooter>&amp;L&amp;1#&amp;"Arial"&amp;8&amp;KD5DAD9</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33339-B68E-4225-A38E-403EA9144143}">
  <dimension ref="A1:FB89"/>
  <sheetViews>
    <sheetView workbookViewId="0">
      <selection activeCell="U16" sqref="U16"/>
    </sheetView>
  </sheetViews>
  <sheetFormatPr defaultRowHeight="15" x14ac:dyDescent="0.25"/>
  <sheetData>
    <row r="1" spans="1:158" x14ac:dyDescent="0.25">
      <c r="A1" s="3" t="s">
        <v>149</v>
      </c>
      <c r="B1" s="3" t="s">
        <v>1820</v>
      </c>
      <c r="C1" s="3" t="s">
        <v>1830</v>
      </c>
      <c r="D1" s="3" t="s">
        <v>1831</v>
      </c>
    </row>
    <row r="2" spans="1:158" x14ac:dyDescent="0.25">
      <c r="A2" t="s">
        <v>27</v>
      </c>
      <c r="B2">
        <v>563</v>
      </c>
      <c r="C2" s="17">
        <v>1982</v>
      </c>
      <c r="D2">
        <v>2023</v>
      </c>
      <c r="H2" s="17"/>
      <c r="O2" s="17"/>
      <c r="P2" s="17"/>
      <c r="T2" s="17"/>
      <c r="AJ2" s="17"/>
      <c r="AQ2" s="17"/>
      <c r="AR2" s="17"/>
      <c r="AY2" s="17"/>
      <c r="AZ2" s="17"/>
      <c r="BI2" s="17"/>
      <c r="BL2" s="17"/>
      <c r="BM2" s="17"/>
      <c r="CT2" s="17"/>
      <c r="CU2" s="17"/>
      <c r="DV2" s="17"/>
      <c r="DY2" s="17"/>
      <c r="DZ2" s="17"/>
      <c r="EG2" s="17"/>
      <c r="EH2" s="17"/>
      <c r="EK2" s="17"/>
      <c r="EL2" s="17"/>
      <c r="FA2" s="17"/>
      <c r="FB2" s="17"/>
    </row>
    <row r="3" spans="1:158" x14ac:dyDescent="0.25">
      <c r="A3" t="s">
        <v>1821</v>
      </c>
      <c r="B3">
        <v>10</v>
      </c>
      <c r="C3">
        <v>30</v>
      </c>
      <c r="D3">
        <v>2009</v>
      </c>
    </row>
    <row r="4" spans="1:158" x14ac:dyDescent="0.25">
      <c r="A4" t="s">
        <v>144</v>
      </c>
      <c r="B4" s="17">
        <v>1774</v>
      </c>
      <c r="C4" s="17">
        <v>5470</v>
      </c>
      <c r="D4">
        <v>2023</v>
      </c>
    </row>
    <row r="5" spans="1:158" x14ac:dyDescent="0.25">
      <c r="A5" t="s">
        <v>145</v>
      </c>
      <c r="B5">
        <v>542</v>
      </c>
      <c r="C5" s="17">
        <v>1486</v>
      </c>
      <c r="D5">
        <v>2023</v>
      </c>
    </row>
    <row r="6" spans="1:158" x14ac:dyDescent="0.25">
      <c r="A6" t="s">
        <v>1822</v>
      </c>
      <c r="B6">
        <v>2</v>
      </c>
      <c r="C6">
        <v>2</v>
      </c>
      <c r="D6">
        <v>2009</v>
      </c>
    </row>
    <row r="7" spans="1:158" x14ac:dyDescent="0.25">
      <c r="A7" t="s">
        <v>1823</v>
      </c>
      <c r="B7">
        <v>2</v>
      </c>
      <c r="C7">
        <v>2</v>
      </c>
      <c r="D7">
        <v>2018</v>
      </c>
    </row>
    <row r="8" spans="1:158" x14ac:dyDescent="0.25">
      <c r="A8" t="s">
        <v>1824</v>
      </c>
      <c r="B8">
        <v>2</v>
      </c>
      <c r="C8">
        <v>4</v>
      </c>
      <c r="D8">
        <v>2018</v>
      </c>
    </row>
    <row r="9" spans="1:158" x14ac:dyDescent="0.25">
      <c r="A9" t="s">
        <v>320</v>
      </c>
      <c r="B9">
        <v>605</v>
      </c>
      <c r="C9" s="17">
        <v>2104</v>
      </c>
      <c r="D9">
        <v>2023</v>
      </c>
    </row>
    <row r="10" spans="1:158" x14ac:dyDescent="0.25">
      <c r="A10" t="s">
        <v>608</v>
      </c>
      <c r="B10">
        <v>30</v>
      </c>
      <c r="C10">
        <v>108</v>
      </c>
      <c r="D10">
        <v>2021</v>
      </c>
      <c r="G10" s="17"/>
    </row>
    <row r="11" spans="1:158" x14ac:dyDescent="0.25">
      <c r="A11" t="s">
        <v>141</v>
      </c>
      <c r="B11" s="17">
        <v>2267</v>
      </c>
      <c r="C11" s="17">
        <v>8042</v>
      </c>
      <c r="D11">
        <v>2023</v>
      </c>
      <c r="G11" s="17"/>
    </row>
    <row r="12" spans="1:158" x14ac:dyDescent="0.25">
      <c r="A12" t="s">
        <v>959</v>
      </c>
      <c r="B12">
        <v>126</v>
      </c>
      <c r="C12">
        <v>323</v>
      </c>
      <c r="D12">
        <v>2013</v>
      </c>
    </row>
    <row r="13" spans="1:158" x14ac:dyDescent="0.25">
      <c r="A13" t="s">
        <v>45</v>
      </c>
      <c r="B13" s="17">
        <v>2210</v>
      </c>
      <c r="C13" s="17">
        <v>4720</v>
      </c>
      <c r="D13">
        <v>2023</v>
      </c>
    </row>
    <row r="14" spans="1:158" x14ac:dyDescent="0.25">
      <c r="A14" t="s">
        <v>1022</v>
      </c>
      <c r="B14">
        <v>39</v>
      </c>
      <c r="C14">
        <v>28</v>
      </c>
      <c r="D14">
        <v>2012</v>
      </c>
    </row>
    <row r="15" spans="1:158" x14ac:dyDescent="0.25">
      <c r="A15" t="s">
        <v>42</v>
      </c>
      <c r="B15">
        <v>584</v>
      </c>
      <c r="C15" s="17">
        <v>1607</v>
      </c>
      <c r="D15">
        <v>2023</v>
      </c>
    </row>
    <row r="16" spans="1:158" x14ac:dyDescent="0.25">
      <c r="A16" t="s">
        <v>142</v>
      </c>
      <c r="B16" s="17">
        <v>5536</v>
      </c>
      <c r="C16" s="17">
        <v>9589</v>
      </c>
      <c r="D16">
        <v>2023</v>
      </c>
    </row>
    <row r="17" spans="1:7" x14ac:dyDescent="0.25">
      <c r="A17" t="s">
        <v>1328</v>
      </c>
      <c r="B17">
        <v>14</v>
      </c>
      <c r="C17">
        <v>34</v>
      </c>
      <c r="D17">
        <v>2022</v>
      </c>
    </row>
    <row r="18" spans="1:7" x14ac:dyDescent="0.25">
      <c r="A18" t="s">
        <v>319</v>
      </c>
      <c r="B18">
        <v>89</v>
      </c>
      <c r="C18">
        <v>105</v>
      </c>
      <c r="D18">
        <v>2015</v>
      </c>
      <c r="G18" s="17"/>
    </row>
    <row r="19" spans="1:7" x14ac:dyDescent="0.25">
      <c r="A19" t="s">
        <v>448</v>
      </c>
      <c r="B19">
        <v>49</v>
      </c>
      <c r="C19" s="17">
        <v>132</v>
      </c>
      <c r="D19">
        <v>2015</v>
      </c>
    </row>
    <row r="20" spans="1:7" x14ac:dyDescent="0.25">
      <c r="A20" t="s">
        <v>1825</v>
      </c>
      <c r="B20">
        <v>4</v>
      </c>
      <c r="C20">
        <v>4</v>
      </c>
      <c r="D20">
        <v>2005</v>
      </c>
    </row>
    <row r="21" spans="1:7" x14ac:dyDescent="0.25">
      <c r="A21" t="s">
        <v>1826</v>
      </c>
      <c r="B21">
        <v>15</v>
      </c>
      <c r="C21">
        <v>47</v>
      </c>
      <c r="D21">
        <v>2017</v>
      </c>
    </row>
    <row r="22" spans="1:7" x14ac:dyDescent="0.25">
      <c r="A22" t="s">
        <v>1095</v>
      </c>
      <c r="B22">
        <v>47</v>
      </c>
      <c r="C22">
        <v>93</v>
      </c>
      <c r="D22">
        <v>2012</v>
      </c>
    </row>
    <row r="23" spans="1:7" x14ac:dyDescent="0.25">
      <c r="A23" t="s">
        <v>1832</v>
      </c>
      <c r="B23">
        <v>83</v>
      </c>
      <c r="C23">
        <v>148</v>
      </c>
      <c r="D23">
        <v>2023</v>
      </c>
    </row>
    <row r="24" spans="1:7" x14ac:dyDescent="0.25">
      <c r="A24" t="s">
        <v>163</v>
      </c>
      <c r="B24" s="17">
        <v>5486</v>
      </c>
      <c r="C24" s="17">
        <v>4608</v>
      </c>
      <c r="D24">
        <v>2023</v>
      </c>
    </row>
    <row r="25" spans="1:7" x14ac:dyDescent="0.25">
      <c r="A25" t="s">
        <v>449</v>
      </c>
      <c r="B25">
        <v>77</v>
      </c>
      <c r="C25">
        <v>236</v>
      </c>
      <c r="D25">
        <v>2023</v>
      </c>
    </row>
    <row r="26" spans="1:7" x14ac:dyDescent="0.25">
      <c r="A26" t="s">
        <v>1329</v>
      </c>
      <c r="B26">
        <v>192</v>
      </c>
      <c r="C26">
        <v>324</v>
      </c>
      <c r="D26">
        <v>2023</v>
      </c>
    </row>
    <row r="27" spans="1:7" x14ac:dyDescent="0.25">
      <c r="A27" t="s">
        <v>1222</v>
      </c>
      <c r="B27">
        <v>15</v>
      </c>
      <c r="C27">
        <v>54</v>
      </c>
      <c r="D27">
        <v>2021</v>
      </c>
    </row>
    <row r="28" spans="1:7" x14ac:dyDescent="0.25">
      <c r="A28" t="s">
        <v>1541</v>
      </c>
      <c r="B28">
        <v>26</v>
      </c>
      <c r="C28">
        <v>114</v>
      </c>
      <c r="D28">
        <v>2023</v>
      </c>
      <c r="F28" s="17"/>
    </row>
    <row r="29" spans="1:7" x14ac:dyDescent="0.25">
      <c r="A29" t="s">
        <v>1464</v>
      </c>
      <c r="B29">
        <v>9</v>
      </c>
      <c r="C29">
        <v>27</v>
      </c>
      <c r="D29">
        <v>2022</v>
      </c>
    </row>
    <row r="30" spans="1:7" x14ac:dyDescent="0.25">
      <c r="A30" t="s">
        <v>318</v>
      </c>
      <c r="B30">
        <v>918</v>
      </c>
      <c r="C30" s="17">
        <v>4113</v>
      </c>
      <c r="D30">
        <v>2023</v>
      </c>
    </row>
    <row r="31" spans="1:7" x14ac:dyDescent="0.25">
      <c r="A31" t="s">
        <v>206</v>
      </c>
      <c r="B31" s="17">
        <v>3352</v>
      </c>
      <c r="C31" s="17">
        <v>8121</v>
      </c>
      <c r="D31">
        <v>2023</v>
      </c>
    </row>
    <row r="32" spans="1:7" x14ac:dyDescent="0.25">
      <c r="A32" t="s">
        <v>1827</v>
      </c>
      <c r="B32">
        <v>6</v>
      </c>
      <c r="C32">
        <v>21</v>
      </c>
      <c r="D32">
        <v>2016</v>
      </c>
    </row>
    <row r="33" spans="1:4" x14ac:dyDescent="0.25">
      <c r="A33" t="s">
        <v>138</v>
      </c>
      <c r="B33" s="17">
        <v>9070</v>
      </c>
      <c r="C33" s="17">
        <v>18598</v>
      </c>
      <c r="D33">
        <v>2023</v>
      </c>
    </row>
    <row r="34" spans="1:4" x14ac:dyDescent="0.25">
      <c r="A34" t="s">
        <v>148</v>
      </c>
      <c r="B34" s="17">
        <v>1203</v>
      </c>
      <c r="C34" s="17">
        <v>2436</v>
      </c>
      <c r="D34">
        <v>2023</v>
      </c>
    </row>
    <row r="35" spans="1:4" x14ac:dyDescent="0.25">
      <c r="A35" t="s">
        <v>447</v>
      </c>
      <c r="B35">
        <v>23</v>
      </c>
      <c r="C35">
        <v>76</v>
      </c>
      <c r="D35">
        <v>2015</v>
      </c>
    </row>
    <row r="36" spans="1:4" x14ac:dyDescent="0.25">
      <c r="A36" t="s">
        <v>208</v>
      </c>
      <c r="B36">
        <v>18</v>
      </c>
      <c r="C36">
        <v>59</v>
      </c>
      <c r="D36">
        <v>2018</v>
      </c>
    </row>
    <row r="37" spans="1:4" x14ac:dyDescent="0.25">
      <c r="A37" t="s">
        <v>1094</v>
      </c>
      <c r="B37">
        <v>49</v>
      </c>
      <c r="C37">
        <v>105</v>
      </c>
      <c r="D37">
        <v>2010</v>
      </c>
    </row>
    <row r="38" spans="1:4" x14ac:dyDescent="0.25">
      <c r="A38" t="s">
        <v>137</v>
      </c>
      <c r="B38" s="17">
        <v>5222</v>
      </c>
      <c r="C38" s="17">
        <v>4436</v>
      </c>
      <c r="D38">
        <v>2023</v>
      </c>
    </row>
    <row r="39" spans="1:4" x14ac:dyDescent="0.25">
      <c r="A39" t="s">
        <v>1828</v>
      </c>
      <c r="B39">
        <v>37</v>
      </c>
      <c r="C39">
        <v>16</v>
      </c>
      <c r="D39">
        <v>2004</v>
      </c>
    </row>
    <row r="40" spans="1:4" x14ac:dyDescent="0.25">
      <c r="A40" t="s">
        <v>1829</v>
      </c>
      <c r="B40">
        <v>3</v>
      </c>
      <c r="C40">
        <v>1</v>
      </c>
      <c r="D40">
        <v>1993</v>
      </c>
    </row>
    <row r="41" spans="1:4" x14ac:dyDescent="0.25">
      <c r="A41" t="s">
        <v>146</v>
      </c>
      <c r="B41" s="17">
        <v>3279</v>
      </c>
      <c r="C41" s="17">
        <v>5292</v>
      </c>
      <c r="D41">
        <v>2023</v>
      </c>
    </row>
    <row r="42" spans="1:4" x14ac:dyDescent="0.25">
      <c r="A42" t="s">
        <v>317</v>
      </c>
      <c r="B42">
        <v>44</v>
      </c>
      <c r="C42">
        <v>75</v>
      </c>
      <c r="D42">
        <v>2016</v>
      </c>
    </row>
    <row r="43" spans="1:4" x14ac:dyDescent="0.25">
      <c r="A43" t="s">
        <v>605</v>
      </c>
      <c r="B43">
        <v>546</v>
      </c>
      <c r="C43" s="17">
        <v>1154</v>
      </c>
      <c r="D43">
        <v>2023</v>
      </c>
    </row>
    <row r="44" spans="1:4" x14ac:dyDescent="0.25">
      <c r="A44" t="s">
        <v>207</v>
      </c>
      <c r="B44">
        <v>113</v>
      </c>
      <c r="C44">
        <v>353</v>
      </c>
      <c r="D44">
        <v>2021</v>
      </c>
    </row>
    <row r="45" spans="1:4" x14ac:dyDescent="0.25">
      <c r="A45" t="s">
        <v>564</v>
      </c>
      <c r="B45">
        <v>29</v>
      </c>
      <c r="C45">
        <v>100</v>
      </c>
      <c r="D45">
        <v>2019</v>
      </c>
    </row>
    <row r="46" spans="1:4" x14ac:dyDescent="0.25">
      <c r="A46" t="s">
        <v>450</v>
      </c>
      <c r="B46">
        <v>379</v>
      </c>
      <c r="C46">
        <v>322</v>
      </c>
      <c r="D46">
        <v>2017</v>
      </c>
    </row>
    <row r="47" spans="1:4" x14ac:dyDescent="0.25">
      <c r="A47" t="s">
        <v>1465</v>
      </c>
      <c r="B47">
        <v>15</v>
      </c>
      <c r="C47">
        <v>60</v>
      </c>
      <c r="D47">
        <v>2022</v>
      </c>
    </row>
    <row r="48" spans="1:4" x14ac:dyDescent="0.25">
      <c r="A48" t="s">
        <v>1616</v>
      </c>
      <c r="B48">
        <v>18</v>
      </c>
      <c r="C48">
        <v>92</v>
      </c>
      <c r="D48">
        <v>2023</v>
      </c>
    </row>
    <row r="49" spans="1:7" x14ac:dyDescent="0.25">
      <c r="A49" t="s">
        <v>1833</v>
      </c>
      <c r="B49">
        <v>13</v>
      </c>
      <c r="C49">
        <v>9</v>
      </c>
      <c r="D49">
        <v>1999</v>
      </c>
    </row>
    <row r="50" spans="1:7" x14ac:dyDescent="0.25">
      <c r="A50" t="s">
        <v>1834</v>
      </c>
      <c r="B50">
        <v>1</v>
      </c>
      <c r="C50">
        <v>1</v>
      </c>
      <c r="D50">
        <v>1995</v>
      </c>
    </row>
    <row r="51" spans="1:7" x14ac:dyDescent="0.25">
      <c r="A51" t="s">
        <v>1835</v>
      </c>
      <c r="B51">
        <v>1</v>
      </c>
      <c r="C51">
        <v>1</v>
      </c>
      <c r="D51">
        <v>1986</v>
      </c>
    </row>
    <row r="52" spans="1:7" x14ac:dyDescent="0.25">
      <c r="A52" t="s">
        <v>34</v>
      </c>
      <c r="B52">
        <v>782</v>
      </c>
      <c r="C52" s="17">
        <v>2484</v>
      </c>
      <c r="D52">
        <v>2021</v>
      </c>
    </row>
    <row r="53" spans="1:7" x14ac:dyDescent="0.25">
      <c r="A53" t="s">
        <v>187</v>
      </c>
      <c r="B53">
        <v>50</v>
      </c>
      <c r="C53">
        <v>105</v>
      </c>
      <c r="D53">
        <v>2018</v>
      </c>
      <c r="G53" s="17"/>
    </row>
    <row r="54" spans="1:7" x14ac:dyDescent="0.25">
      <c r="A54" t="s">
        <v>1836</v>
      </c>
      <c r="B54">
        <v>2</v>
      </c>
      <c r="C54">
        <v>1</v>
      </c>
      <c r="D54">
        <v>1991</v>
      </c>
      <c r="G54" s="17"/>
    </row>
    <row r="55" spans="1:7" x14ac:dyDescent="0.25">
      <c r="A55" t="s">
        <v>186</v>
      </c>
      <c r="B55">
        <v>124</v>
      </c>
      <c r="C55">
        <v>170</v>
      </c>
      <c r="D55">
        <v>2018</v>
      </c>
    </row>
    <row r="56" spans="1:7" x14ac:dyDescent="0.25">
      <c r="A56" t="s">
        <v>527</v>
      </c>
      <c r="B56" s="17">
        <v>1854</v>
      </c>
      <c r="C56" s="17">
        <v>4160</v>
      </c>
      <c r="D56">
        <v>2023</v>
      </c>
    </row>
    <row r="57" spans="1:7" x14ac:dyDescent="0.25">
      <c r="A57" t="s">
        <v>1837</v>
      </c>
      <c r="B57">
        <v>20</v>
      </c>
      <c r="C57">
        <v>5</v>
      </c>
      <c r="D57">
        <v>1999</v>
      </c>
      <c r="G57" s="17"/>
    </row>
    <row r="58" spans="1:7" x14ac:dyDescent="0.25">
      <c r="A58" t="s">
        <v>1186</v>
      </c>
      <c r="B58">
        <v>301</v>
      </c>
      <c r="C58">
        <v>610</v>
      </c>
      <c r="D58">
        <v>2023</v>
      </c>
      <c r="G58" s="17"/>
    </row>
    <row r="59" spans="1:7" x14ac:dyDescent="0.25">
      <c r="A59" t="s">
        <v>835</v>
      </c>
      <c r="B59">
        <v>44</v>
      </c>
      <c r="C59">
        <v>79</v>
      </c>
      <c r="D59">
        <v>2013</v>
      </c>
    </row>
    <row r="60" spans="1:7" x14ac:dyDescent="0.25">
      <c r="A60" t="s">
        <v>1838</v>
      </c>
      <c r="B60">
        <v>2</v>
      </c>
      <c r="C60">
        <v>1</v>
      </c>
      <c r="D60">
        <v>1986</v>
      </c>
    </row>
    <row r="61" spans="1:7" x14ac:dyDescent="0.25">
      <c r="A61" t="s">
        <v>139</v>
      </c>
      <c r="B61">
        <v>616</v>
      </c>
      <c r="C61" s="17">
        <v>2303</v>
      </c>
      <c r="D61">
        <v>2021</v>
      </c>
    </row>
    <row r="62" spans="1:7" x14ac:dyDescent="0.25">
      <c r="A62" t="s">
        <v>916</v>
      </c>
      <c r="B62">
        <v>28</v>
      </c>
      <c r="C62">
        <v>50</v>
      </c>
      <c r="D62">
        <v>2012</v>
      </c>
    </row>
    <row r="63" spans="1:7" x14ac:dyDescent="0.25">
      <c r="A63" t="s">
        <v>593</v>
      </c>
      <c r="B63">
        <v>20</v>
      </c>
      <c r="C63">
        <v>72</v>
      </c>
      <c r="D63">
        <v>2021</v>
      </c>
    </row>
    <row r="64" spans="1:7" x14ac:dyDescent="0.25">
      <c r="A64" t="s">
        <v>826</v>
      </c>
      <c r="B64">
        <v>63</v>
      </c>
      <c r="C64">
        <v>112</v>
      </c>
      <c r="D64">
        <v>2014</v>
      </c>
    </row>
    <row r="65" spans="1:4" x14ac:dyDescent="0.25">
      <c r="A65" t="s">
        <v>446</v>
      </c>
      <c r="B65">
        <v>70</v>
      </c>
      <c r="C65">
        <v>183</v>
      </c>
      <c r="D65">
        <v>2014</v>
      </c>
    </row>
    <row r="66" spans="1:4" x14ac:dyDescent="0.25">
      <c r="A66" t="s">
        <v>161</v>
      </c>
      <c r="B66" s="17">
        <v>1990</v>
      </c>
      <c r="C66" s="17">
        <v>4565</v>
      </c>
      <c r="D66">
        <v>2023</v>
      </c>
    </row>
    <row r="67" spans="1:4" x14ac:dyDescent="0.25">
      <c r="A67" t="s">
        <v>852</v>
      </c>
      <c r="B67">
        <v>462</v>
      </c>
      <c r="C67" s="17">
        <v>1007</v>
      </c>
      <c r="D67">
        <v>2023</v>
      </c>
    </row>
    <row r="68" spans="1:4" x14ac:dyDescent="0.25">
      <c r="A68" t="s">
        <v>901</v>
      </c>
      <c r="B68">
        <v>26</v>
      </c>
      <c r="C68">
        <v>52</v>
      </c>
      <c r="D68">
        <v>2023</v>
      </c>
    </row>
    <row r="69" spans="1:4" x14ac:dyDescent="0.25">
      <c r="A69" t="s">
        <v>162</v>
      </c>
      <c r="B69">
        <v>704</v>
      </c>
      <c r="C69" s="17">
        <v>1024</v>
      </c>
      <c r="D69">
        <v>2023</v>
      </c>
    </row>
    <row r="70" spans="1:4" x14ac:dyDescent="0.25">
      <c r="A70" t="s">
        <v>526</v>
      </c>
      <c r="B70">
        <v>404</v>
      </c>
      <c r="C70" s="17">
        <v>1050</v>
      </c>
      <c r="D70">
        <v>2023</v>
      </c>
    </row>
    <row r="71" spans="1:4" x14ac:dyDescent="0.25">
      <c r="A71" t="s">
        <v>143</v>
      </c>
      <c r="B71">
        <v>269</v>
      </c>
      <c r="C71" s="17">
        <v>1078</v>
      </c>
      <c r="D71">
        <v>2021</v>
      </c>
    </row>
    <row r="72" spans="1:4" x14ac:dyDescent="0.25">
      <c r="A72" t="s">
        <v>1228</v>
      </c>
      <c r="B72">
        <v>99</v>
      </c>
      <c r="C72">
        <v>416</v>
      </c>
      <c r="D72">
        <v>2021</v>
      </c>
    </row>
    <row r="73" spans="1:4" x14ac:dyDescent="0.25">
      <c r="A73" t="s">
        <v>633</v>
      </c>
      <c r="B73">
        <v>46</v>
      </c>
      <c r="C73">
        <v>159</v>
      </c>
      <c r="D73">
        <v>2019</v>
      </c>
    </row>
    <row r="74" spans="1:4" x14ac:dyDescent="0.25">
      <c r="A74" t="s">
        <v>623</v>
      </c>
      <c r="B74">
        <v>25</v>
      </c>
      <c r="C74">
        <v>89</v>
      </c>
      <c r="D74">
        <v>2019</v>
      </c>
    </row>
    <row r="75" spans="1:4" x14ac:dyDescent="0.25">
      <c r="A75" t="s">
        <v>1839</v>
      </c>
      <c r="B75">
        <v>4</v>
      </c>
      <c r="C75">
        <v>3</v>
      </c>
      <c r="D75">
        <v>2003</v>
      </c>
    </row>
    <row r="76" spans="1:4" x14ac:dyDescent="0.25">
      <c r="A76" t="s">
        <v>528</v>
      </c>
      <c r="B76">
        <v>359</v>
      </c>
      <c r="C76" s="17">
        <v>1001</v>
      </c>
      <c r="D76">
        <v>2022</v>
      </c>
    </row>
    <row r="77" spans="1:4" x14ac:dyDescent="0.25">
      <c r="A77" t="s">
        <v>147</v>
      </c>
      <c r="B77">
        <v>215</v>
      </c>
      <c r="C77">
        <v>540</v>
      </c>
      <c r="D77">
        <v>2023</v>
      </c>
    </row>
    <row r="78" spans="1:4" x14ac:dyDescent="0.25">
      <c r="A78" t="s">
        <v>166</v>
      </c>
      <c r="B78" s="17">
        <v>3310</v>
      </c>
      <c r="C78" s="17">
        <v>5262</v>
      </c>
      <c r="D78">
        <v>2023</v>
      </c>
    </row>
    <row r="79" spans="1:4" x14ac:dyDescent="0.25">
      <c r="A79" t="s">
        <v>1139</v>
      </c>
      <c r="B79">
        <v>35</v>
      </c>
      <c r="C79">
        <v>107</v>
      </c>
      <c r="D79">
        <v>2020</v>
      </c>
    </row>
    <row r="80" spans="1:4" x14ac:dyDescent="0.25">
      <c r="A80" t="s">
        <v>140</v>
      </c>
      <c r="B80" s="17">
        <v>2638</v>
      </c>
      <c r="C80" s="17">
        <v>6481</v>
      </c>
      <c r="D80">
        <v>2023</v>
      </c>
    </row>
    <row r="81" spans="1:4" x14ac:dyDescent="0.25">
      <c r="A81" t="s">
        <v>1840</v>
      </c>
      <c r="B81">
        <v>26</v>
      </c>
      <c r="C81">
        <v>49</v>
      </c>
      <c r="D81">
        <v>2023</v>
      </c>
    </row>
    <row r="82" spans="1:4" x14ac:dyDescent="0.25">
      <c r="A82" t="s">
        <v>61</v>
      </c>
      <c r="B82">
        <v>144</v>
      </c>
      <c r="C82">
        <v>353</v>
      </c>
      <c r="D82">
        <v>2018</v>
      </c>
    </row>
    <row r="83" spans="1:4" x14ac:dyDescent="0.25">
      <c r="A83" t="s">
        <v>1841</v>
      </c>
      <c r="B83">
        <v>691</v>
      </c>
      <c r="C83" s="17">
        <v>2077</v>
      </c>
      <c r="D83">
        <v>2023</v>
      </c>
    </row>
    <row r="84" spans="1:4" x14ac:dyDescent="0.25">
      <c r="A84" t="s">
        <v>69</v>
      </c>
      <c r="B84">
        <v>227</v>
      </c>
      <c r="C84">
        <v>888</v>
      </c>
      <c r="D84">
        <v>2022</v>
      </c>
    </row>
    <row r="85" spans="1:4" x14ac:dyDescent="0.25">
      <c r="A85" t="s">
        <v>1842</v>
      </c>
      <c r="B85">
        <v>20</v>
      </c>
      <c r="C85">
        <v>43</v>
      </c>
      <c r="D85">
        <v>2023</v>
      </c>
    </row>
    <row r="86" spans="1:4" x14ac:dyDescent="0.25">
      <c r="A86" t="s">
        <v>165</v>
      </c>
      <c r="B86" s="17">
        <v>2695</v>
      </c>
      <c r="C86" s="17">
        <v>8848</v>
      </c>
      <c r="D86">
        <v>2023</v>
      </c>
    </row>
    <row r="87" spans="1:4" x14ac:dyDescent="0.25">
      <c r="A87" t="s">
        <v>164</v>
      </c>
      <c r="B87">
        <v>220</v>
      </c>
      <c r="C87">
        <v>564</v>
      </c>
      <c r="D87">
        <v>2019</v>
      </c>
    </row>
    <row r="88" spans="1:4" x14ac:dyDescent="0.25">
      <c r="A88" t="s">
        <v>20</v>
      </c>
      <c r="B88" s="17">
        <v>24493</v>
      </c>
      <c r="C88" s="17">
        <v>42600</v>
      </c>
      <c r="D88">
        <v>2023</v>
      </c>
    </row>
    <row r="89" spans="1:4" x14ac:dyDescent="0.25">
      <c r="A89" t="s">
        <v>175</v>
      </c>
      <c r="B89">
        <v>413</v>
      </c>
      <c r="C89" s="17">
        <v>1639</v>
      </c>
      <c r="D89">
        <v>2022</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3F8BB-623D-42AA-9A6D-236EBDC168C6}">
  <dimension ref="A1:AA24"/>
  <sheetViews>
    <sheetView workbookViewId="0">
      <selection activeCell="F17" sqref="F17"/>
    </sheetView>
  </sheetViews>
  <sheetFormatPr defaultRowHeight="15" x14ac:dyDescent="0.25"/>
  <cols>
    <col min="1" max="1" width="27" bestFit="1" customWidth="1"/>
  </cols>
  <sheetData>
    <row r="1" spans="1:27" x14ac:dyDescent="0.25">
      <c r="A1" s="3" t="s">
        <v>864</v>
      </c>
      <c r="B1" s="3" t="s">
        <v>1820</v>
      </c>
      <c r="C1" s="3" t="s">
        <v>1845</v>
      </c>
      <c r="E1" s="17"/>
      <c r="F1" s="17"/>
      <c r="G1" s="17"/>
      <c r="H1" s="17"/>
      <c r="I1" s="17"/>
      <c r="K1" s="17"/>
      <c r="L1" s="17"/>
      <c r="N1" s="17"/>
      <c r="O1" s="17"/>
      <c r="P1" s="17"/>
      <c r="Q1" s="17"/>
      <c r="R1" s="17"/>
      <c r="S1" s="17"/>
      <c r="T1" s="17"/>
      <c r="V1" s="17"/>
      <c r="W1" s="17"/>
      <c r="X1" s="17"/>
      <c r="Y1" s="17"/>
      <c r="AA1" s="17"/>
    </row>
    <row r="2" spans="1:27" x14ac:dyDescent="0.25">
      <c r="A2" s="3" t="s">
        <v>1843</v>
      </c>
      <c r="B2" s="1">
        <v>34652</v>
      </c>
      <c r="C2" s="1">
        <v>23716</v>
      </c>
    </row>
    <row r="3" spans="1:27" x14ac:dyDescent="0.25">
      <c r="A3" s="3" t="s">
        <v>1846</v>
      </c>
      <c r="B3" s="1">
        <v>4475</v>
      </c>
      <c r="C3" s="1">
        <v>8747</v>
      </c>
    </row>
    <row r="4" spans="1:27" x14ac:dyDescent="0.25">
      <c r="A4" s="3" t="s">
        <v>1847</v>
      </c>
      <c r="B4" s="1">
        <v>7841</v>
      </c>
      <c r="C4" s="1">
        <v>15355</v>
      </c>
    </row>
    <row r="5" spans="1:27" x14ac:dyDescent="0.25">
      <c r="A5" s="3" t="s">
        <v>1848</v>
      </c>
      <c r="B5" s="1">
        <v>3427</v>
      </c>
      <c r="C5" s="1">
        <v>10247</v>
      </c>
    </row>
    <row r="6" spans="1:27" x14ac:dyDescent="0.25">
      <c r="A6" s="3" t="s">
        <v>1849</v>
      </c>
      <c r="B6" s="1">
        <v>5961</v>
      </c>
      <c r="C6" s="1">
        <v>11713</v>
      </c>
    </row>
    <row r="7" spans="1:27" x14ac:dyDescent="0.25">
      <c r="A7" s="3" t="s">
        <v>1850</v>
      </c>
      <c r="B7" s="1">
        <v>272</v>
      </c>
      <c r="C7" s="1">
        <v>975</v>
      </c>
    </row>
    <row r="8" spans="1:27" x14ac:dyDescent="0.25">
      <c r="A8" s="3" t="s">
        <v>1851</v>
      </c>
      <c r="B8" s="1">
        <v>7166</v>
      </c>
      <c r="C8" s="1">
        <v>14735</v>
      </c>
    </row>
    <row r="9" spans="1:27" x14ac:dyDescent="0.25">
      <c r="A9" s="3" t="s">
        <v>1852</v>
      </c>
      <c r="B9" s="1">
        <v>4041</v>
      </c>
      <c r="C9" s="1">
        <v>12912</v>
      </c>
    </row>
    <row r="10" spans="1:27" x14ac:dyDescent="0.25">
      <c r="A10" s="3" t="s">
        <v>1853</v>
      </c>
      <c r="B10" s="1">
        <v>351</v>
      </c>
      <c r="C10" s="1">
        <v>702</v>
      </c>
    </row>
    <row r="11" spans="1:27" x14ac:dyDescent="0.25">
      <c r="A11" s="3" t="s">
        <v>1854</v>
      </c>
      <c r="B11" s="1">
        <v>2493</v>
      </c>
      <c r="C11" s="1">
        <v>8919</v>
      </c>
    </row>
    <row r="12" spans="1:27" x14ac:dyDescent="0.25">
      <c r="A12" s="3" t="s">
        <v>1855</v>
      </c>
      <c r="B12" s="1">
        <v>3124</v>
      </c>
      <c r="C12" s="1">
        <v>6798</v>
      </c>
    </row>
    <row r="13" spans="1:27" x14ac:dyDescent="0.25">
      <c r="A13" s="3" t="s">
        <v>1856</v>
      </c>
      <c r="B13" s="1">
        <v>3200</v>
      </c>
      <c r="C13" s="1">
        <v>11218</v>
      </c>
    </row>
    <row r="14" spans="1:27" x14ac:dyDescent="0.25">
      <c r="A14" s="3" t="s">
        <v>1857</v>
      </c>
      <c r="B14" s="1">
        <v>4370</v>
      </c>
      <c r="C14" s="1">
        <v>16550</v>
      </c>
    </row>
    <row r="15" spans="1:27" x14ac:dyDescent="0.25">
      <c r="A15" s="3" t="s">
        <v>1858</v>
      </c>
      <c r="B15" s="1">
        <v>3721</v>
      </c>
      <c r="C15" s="1">
        <v>15567</v>
      </c>
    </row>
    <row r="16" spans="1:27" x14ac:dyDescent="0.25">
      <c r="A16" s="3" t="s">
        <v>1859</v>
      </c>
      <c r="B16" s="1">
        <v>1096</v>
      </c>
      <c r="C16" s="1">
        <v>4914</v>
      </c>
    </row>
    <row r="17" spans="1:3" x14ac:dyDescent="0.25">
      <c r="A17" s="3" t="s">
        <v>1860</v>
      </c>
      <c r="B17" s="1">
        <v>234</v>
      </c>
      <c r="C17" s="1">
        <v>1309</v>
      </c>
    </row>
    <row r="18" spans="1:3" x14ac:dyDescent="0.25">
      <c r="A18" s="3" t="s">
        <v>1861</v>
      </c>
      <c r="B18" s="1">
        <v>142</v>
      </c>
      <c r="C18" s="1">
        <v>467</v>
      </c>
    </row>
    <row r="19" spans="1:3" x14ac:dyDescent="0.25">
      <c r="A19" s="3" t="s">
        <v>1862</v>
      </c>
      <c r="B19" s="1">
        <v>897</v>
      </c>
      <c r="C19" s="1">
        <v>5278</v>
      </c>
    </row>
    <row r="20" spans="1:3" x14ac:dyDescent="0.25">
      <c r="A20" s="3" t="s">
        <v>1863</v>
      </c>
      <c r="B20" s="1">
        <v>275</v>
      </c>
      <c r="C20" s="1">
        <v>2255</v>
      </c>
    </row>
    <row r="21" spans="1:3" x14ac:dyDescent="0.25">
      <c r="A21" s="3" t="s">
        <v>1864</v>
      </c>
      <c r="B21" s="1">
        <v>297</v>
      </c>
      <c r="C21" s="1">
        <v>2823</v>
      </c>
    </row>
    <row r="22" spans="1:3" x14ac:dyDescent="0.25">
      <c r="A22" s="3" t="s">
        <v>1844</v>
      </c>
      <c r="B22" s="1">
        <v>115</v>
      </c>
      <c r="C22" s="1">
        <v>1150</v>
      </c>
    </row>
    <row r="23" spans="1:3" x14ac:dyDescent="0.25">
      <c r="A23" s="3" t="s">
        <v>1865</v>
      </c>
      <c r="B23" s="1">
        <v>78</v>
      </c>
      <c r="C23" s="1">
        <v>741</v>
      </c>
    </row>
    <row r="24" spans="1:3" x14ac:dyDescent="0.25">
      <c r="A24" s="3" t="s">
        <v>1163</v>
      </c>
      <c r="B24" s="1">
        <v>88228</v>
      </c>
      <c r="C24" s="1">
        <v>177090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Regneark</vt:lpstr>
      </vt:variant>
      <vt:variant>
        <vt:i4>30</vt:i4>
      </vt:variant>
      <vt:variant>
        <vt:lpstr>Navngivne områder</vt:lpstr>
      </vt:variant>
      <vt:variant>
        <vt:i4>30</vt:i4>
      </vt:variant>
    </vt:vector>
  </HeadingPairs>
  <TitlesOfParts>
    <vt:vector size="60" baseType="lpstr">
      <vt:lpstr>info</vt:lpstr>
      <vt:lpstr>Vestas Economy</vt:lpstr>
      <vt:lpstr>Order and Service summary</vt:lpstr>
      <vt:lpstr>Market share</vt:lpstr>
      <vt:lpstr>blade delivery</vt:lpstr>
      <vt:lpstr>delivery 2024</vt:lpstr>
      <vt:lpstr>delivery 2023</vt:lpstr>
      <vt:lpstr>OI 2025</vt:lpstr>
      <vt:lpstr>OI 2024</vt:lpstr>
      <vt:lpstr>OI 2023</vt:lpstr>
      <vt:lpstr>OI 2022</vt:lpstr>
      <vt:lpstr>OI 2021</vt:lpstr>
      <vt:lpstr>OI 2020</vt:lpstr>
      <vt:lpstr>OI 2019</vt:lpstr>
      <vt:lpstr>OI 2018</vt:lpstr>
      <vt:lpstr>OI 2017</vt:lpstr>
      <vt:lpstr>OI 2016</vt:lpstr>
      <vt:lpstr>OI 2015</vt:lpstr>
      <vt:lpstr>OI 2014</vt:lpstr>
      <vt:lpstr>OI 2013</vt:lpstr>
      <vt:lpstr>OI 2012</vt:lpstr>
      <vt:lpstr>OI 2011</vt:lpstr>
      <vt:lpstr>OI 2010</vt:lpstr>
      <vt:lpstr>OI 2009</vt:lpstr>
      <vt:lpstr>OI 2008</vt:lpstr>
      <vt:lpstr>Vestas turbines hist #</vt:lpstr>
      <vt:lpstr>Vestas turbines hist MW</vt:lpstr>
      <vt:lpstr>Accumulated deliveries</vt:lpstr>
      <vt:lpstr>Track_record_country_end_23</vt:lpstr>
      <vt:lpstr>Track record turbines</vt:lpstr>
      <vt:lpstr>'OI 2008'!Kriterium</vt:lpstr>
      <vt:lpstr>'OI 2009'!Kriterium</vt:lpstr>
      <vt:lpstr>'OI 2010'!Kriterium</vt:lpstr>
      <vt:lpstr>'OI 2011'!Kriterium</vt:lpstr>
      <vt:lpstr>'OI 2012'!Kriterium</vt:lpstr>
      <vt:lpstr>'OI 2013'!Kriterium</vt:lpstr>
      <vt:lpstr>'OI 2014'!Kriterium</vt:lpstr>
      <vt:lpstr>'OI 2015'!Kriterium</vt:lpstr>
      <vt:lpstr>'OI 2016'!Kriterium</vt:lpstr>
      <vt:lpstr>'OI 2017'!Kriterium</vt:lpstr>
      <vt:lpstr>'OI 2018'!Kriterium</vt:lpstr>
      <vt:lpstr>'Order and Service summary'!Kriterium</vt:lpstr>
      <vt:lpstr>'OI 2008'!Uddrag</vt:lpstr>
      <vt:lpstr>'OI 2009'!Uddrag</vt:lpstr>
      <vt:lpstr>'OI 2010'!Uddrag</vt:lpstr>
      <vt:lpstr>'OI 2011'!Uddrag</vt:lpstr>
      <vt:lpstr>'OI 2012'!Uddrag</vt:lpstr>
      <vt:lpstr>'OI 2013'!Uddrag</vt:lpstr>
      <vt:lpstr>'OI 2014'!Uddrag</vt:lpstr>
      <vt:lpstr>'OI 2015'!Uddrag</vt:lpstr>
      <vt:lpstr>'OI 2016'!Uddrag</vt:lpstr>
      <vt:lpstr>'OI 2017'!Uddrag</vt:lpstr>
      <vt:lpstr>'OI 2018'!Uddrag</vt:lpstr>
      <vt:lpstr>'OI 2019'!Uddrag</vt:lpstr>
      <vt:lpstr>'OI 2020'!Uddrag</vt:lpstr>
      <vt:lpstr>'OI 2021'!Uddrag</vt:lpstr>
      <vt:lpstr>'OI 2022'!Uddrag</vt:lpstr>
      <vt:lpstr>'OI 2023'!Uddrag</vt:lpstr>
      <vt:lpstr>'OI 2024'!Uddrag</vt:lpstr>
      <vt:lpstr>'Order and Service summary'!Uddrag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Buhl</dc:creator>
  <cp:lastModifiedBy>Thomas Buhl</cp:lastModifiedBy>
  <cp:lastPrinted>2022-11-07T16:27:26Z</cp:lastPrinted>
  <dcterms:created xsi:type="dcterms:W3CDTF">2017-01-06T07:33:34Z</dcterms:created>
  <dcterms:modified xsi:type="dcterms:W3CDTF">2026-02-19T13:00:33Z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dc66bb9-bb5f-4af5-b5f6-a7d723e52f72_Enabled">
    <vt:lpwstr>true</vt:lpwstr>
  </property>
  <property fmtid="{D5CDD505-2E9C-101B-9397-08002B2CF9AE}" pid="3" name="MSIP_Label_8dc66bb9-bb5f-4af5-b5f6-a7d723e52f72_SetDate">
    <vt:lpwstr>2022-05-18T05:35:56Z</vt:lpwstr>
  </property>
  <property fmtid="{D5CDD505-2E9C-101B-9397-08002B2CF9AE}" pid="4" name="MSIP_Label_8dc66bb9-bb5f-4af5-b5f6-a7d723e52f72_Method">
    <vt:lpwstr>Privileged</vt:lpwstr>
  </property>
  <property fmtid="{D5CDD505-2E9C-101B-9397-08002B2CF9AE}" pid="5" name="MSIP_Label_8dc66bb9-bb5f-4af5-b5f6-a7d723e52f72_Name">
    <vt:lpwstr>Public Information</vt:lpwstr>
  </property>
  <property fmtid="{D5CDD505-2E9C-101B-9397-08002B2CF9AE}" pid="6" name="MSIP_Label_8dc66bb9-bb5f-4af5-b5f6-a7d723e52f72_SiteId">
    <vt:lpwstr>8b2696f6-2994-4523-a049-e4508962a8ed</vt:lpwstr>
  </property>
  <property fmtid="{D5CDD505-2E9C-101B-9397-08002B2CF9AE}" pid="7" name="MSIP_Label_8dc66bb9-bb5f-4af5-b5f6-a7d723e52f72_ActionId">
    <vt:lpwstr>7db10a46-0339-4930-b1c3-81a80bb2451c</vt:lpwstr>
  </property>
  <property fmtid="{D5CDD505-2E9C-101B-9397-08002B2CF9AE}" pid="8" name="MSIP_Label_8dc66bb9-bb5f-4af5-b5f6-a7d723e52f72_ContentBits">
    <vt:lpwstr>2</vt:lpwstr>
  </property>
</Properties>
</file>